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36538846-9FE5-47D8-9D4F-DB0110E93E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V" sheetId="7" r:id="rId1"/>
  </sheets>
  <definedNames>
    <definedName name="_xlnm._FilterDatabase" localSheetId="0" hidden="1">IV!$B$12:$R$257</definedName>
    <definedName name="_xlnm.Print_Area" localSheetId="0">IV!$B$1:$J$259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7" l="1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13" i="7"/>
  <c r="D253" i="7" l="1"/>
  <c r="H253" i="7"/>
  <c r="D254" i="7"/>
  <c r="D256" i="7"/>
  <c r="J253" i="7" l="1"/>
  <c r="J256" i="7" s="1"/>
  <c r="J257" i="7" s="1"/>
</calcChain>
</file>

<file path=xl/sharedStrings.xml><?xml version="1.0" encoding="utf-8"?>
<sst xmlns="http://schemas.openxmlformats.org/spreadsheetml/2006/main" count="2077" uniqueCount="464">
  <si>
    <t>COUNTRY OF ORIGIN</t>
  </si>
  <si>
    <t>MASTER CARTON CODE</t>
  </si>
  <si>
    <t>ITEM CODE</t>
  </si>
  <si>
    <t>HS CODE</t>
  </si>
  <si>
    <t>ITEM DESCRIPTION</t>
  </si>
  <si>
    <t>ITEM NAME</t>
  </si>
  <si>
    <t>TOTAL QUANTITY PCS</t>
  </si>
  <si>
    <t>INVOICE DATE :</t>
  </si>
  <si>
    <t>INVOICE NO :</t>
  </si>
  <si>
    <t>PACKAGE(S) :</t>
  </si>
  <si>
    <t>DESTINATION :</t>
  </si>
  <si>
    <t>COUNTRY OF EXPORTATION :</t>
  </si>
  <si>
    <t>TURKEY</t>
  </si>
  <si>
    <t>TYPE OF DELIVERY :</t>
  </si>
  <si>
    <t>TOTAL :</t>
  </si>
  <si>
    <t>UNIT PRICE EUR</t>
  </si>
  <si>
    <t>TOTAL AMOUNT EUR</t>
  </si>
  <si>
    <t>INVOICE</t>
  </si>
  <si>
    <t>IMPORTER :                                                                      
RHD CONSULT SPRL
BERKENDALLAAN, 46 1800 VILVOORDE / BELGIUM</t>
  </si>
  <si>
    <t>BELGIUM</t>
  </si>
  <si>
    <t>IV NO</t>
  </si>
  <si>
    <t>MATERIAL</t>
  </si>
  <si>
    <t>CIP</t>
  </si>
  <si>
    <t xml:space="preserve">Beneficiary : DEHA MAGAZACILIK EV TEKSTILI URUNLERI SAN. VE TIC. A.S.  </t>
  </si>
  <si>
    <t>ADDRESS : MECİDİYEKÖY MAH. OĞUZ SOK. RÖNESANS BİZ İŞ MERKEZİ. NO:4/14 K:4 ŞİŞLİ ISTANBUL,TURKEY TEL: +902122672751/TEL: +902122672752 FAX:+902122672780</t>
  </si>
  <si>
    <t>Freight</t>
  </si>
  <si>
    <t>Insurance</t>
  </si>
  <si>
    <t>Grand Total EUR</t>
  </si>
  <si>
    <t>Grand Total TRY</t>
  </si>
  <si>
    <t>CHINA</t>
  </si>
  <si>
    <t>Glass</t>
  </si>
  <si>
    <t>Declarion No</t>
  </si>
  <si>
    <t>Index</t>
  </si>
  <si>
    <t>NEW BONE</t>
  </si>
  <si>
    <t>PRESENTATION GROUP</t>
  </si>
  <si>
    <t>BUST</t>
  </si>
  <si>
    <t>MINI GLASS</t>
  </si>
  <si>
    <t>ORGANIZER</t>
  </si>
  <si>
    <t>JAR</t>
  </si>
  <si>
    <t>MUG</t>
  </si>
  <si>
    <t>VASE</t>
  </si>
  <si>
    <t>WINE GLASS</t>
  </si>
  <si>
    <t>Water glass</t>
  </si>
  <si>
    <t>Resin</t>
  </si>
  <si>
    <t>%100 PLASTIC</t>
  </si>
  <si>
    <t>GLASS - CERAMIC</t>
  </si>
  <si>
    <t>100% BAMBOO</t>
  </si>
  <si>
    <t>1111111097861</t>
  </si>
  <si>
    <t>1KKUPA0211121.</t>
  </si>
  <si>
    <t>1KKUPA0212121.</t>
  </si>
  <si>
    <t>1KKUPA0213121.</t>
  </si>
  <si>
    <t>1KKUPA0214121.</t>
  </si>
  <si>
    <t>1KKUPA0215121.</t>
  </si>
  <si>
    <t>1KKUPA0216121.</t>
  </si>
  <si>
    <t>1KBUST0092101.</t>
  </si>
  <si>
    <t>1KBUST0097101.</t>
  </si>
  <si>
    <t>TRINKET</t>
  </si>
  <si>
    <t>CANDLE HOLDER</t>
  </si>
  <si>
    <t>BOX</t>
  </si>
  <si>
    <t>Beverage glass</t>
  </si>
  <si>
    <t>Reve Bleu Myron Mug</t>
  </si>
  <si>
    <t>Reve Bleu Darla Mug</t>
  </si>
  <si>
    <t>Reve Bleu Freya Mug</t>
  </si>
  <si>
    <t>Reve Bleu Karmen Mug</t>
  </si>
  <si>
    <t>Reve Bleu Lori Mug</t>
  </si>
  <si>
    <t>Reve Bleu Mila Mug</t>
  </si>
  <si>
    <t>Posseidon Bust</t>
  </si>
  <si>
    <t>Ariel Bust</t>
  </si>
  <si>
    <t>INDIA</t>
  </si>
  <si>
    <t>1KCAME1919139.</t>
  </si>
  <si>
    <t>1KKVNZ0092529.</t>
  </si>
  <si>
    <t>1KASRV0251150.</t>
  </si>
  <si>
    <t>1KBARD0514139.</t>
  </si>
  <si>
    <t>1KKADE0364289.</t>
  </si>
  <si>
    <t>1KBUST0093103.</t>
  </si>
  <si>
    <t>ICE CREAM BOWL</t>
  </si>
  <si>
    <t>AMERICAN PLACEMAT</t>
  </si>
  <si>
    <t>Orville 2 Pcs ice Cream Cup Set</t>
  </si>
  <si>
    <t>Bird Jar Classic 650ml</t>
  </si>
  <si>
    <t>Leva Placemat 4pcs</t>
  </si>
  <si>
    <t>Audrey 4-piece Mini Coffee Side Set</t>
  </si>
  <si>
    <t>Dublin 4-Piece Glasses Set - 185 ML</t>
  </si>
  <si>
    <t>Palmyra Bust</t>
  </si>
  <si>
    <t>Soda Glass</t>
  </si>
  <si>
    <t>1111111088715</t>
  </si>
  <si>
    <t>1KTEPS2073332.</t>
  </si>
  <si>
    <t>1KTEPS2074332.</t>
  </si>
  <si>
    <t>1KBIBL1496239.</t>
  </si>
  <si>
    <t>1KBARD0526139.</t>
  </si>
  <si>
    <t>1KKVNZ0097529.</t>
  </si>
  <si>
    <t>1KOGNZ0089332.</t>
  </si>
  <si>
    <t>1KKADE0272139.</t>
  </si>
  <si>
    <t>1KYGLK0020139.</t>
  </si>
  <si>
    <t>TRAY</t>
  </si>
  <si>
    <t>TEACUP</t>
  </si>
  <si>
    <t>KITCHEN - OIL AND VINEGAR CONTAINER</t>
  </si>
  <si>
    <t>Mai Small Tray</t>
  </si>
  <si>
    <t>Mai Large Tray</t>
  </si>
  <si>
    <t>Vulpine Figurine</t>
  </si>
  <si>
    <t>Audrey 4-piece Beverage Glass Set</t>
  </si>
  <si>
    <t>Odetta Glass Str Jar Square 1450ml</t>
  </si>
  <si>
    <t>Ceriselle Organiser</t>
  </si>
  <si>
    <t>Audrey 4-piece Tall Wine Glass Set</t>
  </si>
  <si>
    <t>Olivie Oil-vinegar Mini Jar Set Of 2</t>
  </si>
  <si>
    <t>Soda Glass, Cork</t>
  </si>
  <si>
    <t>1KABJR0243284.</t>
  </si>
  <si>
    <t>1KKOVA0012139.</t>
  </si>
  <si>
    <t>1KCAYF0018139.</t>
  </si>
  <si>
    <t>1KCAYF0020139.</t>
  </si>
  <si>
    <t>1KCAME1917139.</t>
  </si>
  <si>
    <t>1KKVNZ0095529.</t>
  </si>
  <si>
    <t>1KSEBL0016139.</t>
  </si>
  <si>
    <t>1KBARD0457139.</t>
  </si>
  <si>
    <t>1KSTLK0006139.</t>
  </si>
  <si>
    <t>1KCAYD0065139.</t>
  </si>
  <si>
    <t>1KCAYF0025289.</t>
  </si>
  <si>
    <t>1KOGNZ0071139.</t>
  </si>
  <si>
    <t>1KOGNZ0099332.</t>
  </si>
  <si>
    <t>1KOGNZ0106332.</t>
  </si>
  <si>
    <t>1KCAME1922139.</t>
  </si>
  <si>
    <t>1KSEBL0017139.</t>
  </si>
  <si>
    <t>1KTABA0665139.</t>
  </si>
  <si>
    <t>1KCAME1921139.</t>
  </si>
  <si>
    <t>1KTABA0666139.</t>
  </si>
  <si>
    <t>Touch Lampshade</t>
  </si>
  <si>
    <t>ICE BUCKET</t>
  </si>
  <si>
    <t>TEAPOT</t>
  </si>
  <si>
    <t>GLASS BEVERAGE DISPENSER</t>
  </si>
  <si>
    <t>Stern Lampshade</t>
  </si>
  <si>
    <t>Audrey ice Bucket</t>
  </si>
  <si>
    <t>Ravi Teapot</t>
  </si>
  <si>
    <t>Vannes 4-piece Tea Cup Set</t>
  </si>
  <si>
    <t>Calais 4-piece Tea Cup Set</t>
  </si>
  <si>
    <t>Alouette 2 Pcs ice Cream Cup Set</t>
  </si>
  <si>
    <t>Odetta Glass Str Jar Square 650ml</t>
  </si>
  <si>
    <t>Audrey Glass Dispenser 1.8l</t>
  </si>
  <si>
    <t>Estee 4-piece Water Glass Set</t>
  </si>
  <si>
    <t>Petit Concept 2-piece Sauce Bowl</t>
  </si>
  <si>
    <t>Petit Concept Cream Pitcher</t>
  </si>
  <si>
    <t>Dublin 4-lü Çay Fincani</t>
  </si>
  <si>
    <t>Tour Organiser</t>
  </si>
  <si>
    <t>Prendre Organizer</t>
  </si>
  <si>
    <t>Tomber Organizer</t>
  </si>
  <si>
    <t>Darcey 2 Pcs ice Cream Cup Set</t>
  </si>
  <si>
    <t>Laurent Glass Dispenser 1.8l</t>
  </si>
  <si>
    <t>Petit Concept Round Handle Plate</t>
  </si>
  <si>
    <t>Yolanthe 2 Pcs ice Cream Cup Set</t>
  </si>
  <si>
    <t>%100 METAL</t>
  </si>
  <si>
    <t>PORCELAIN</t>
  </si>
  <si>
    <t>Aluminum</t>
  </si>
  <si>
    <t>Acacia Tree</t>
  </si>
  <si>
    <t>Unit Gross</t>
  </si>
  <si>
    <t>Unit Net</t>
  </si>
  <si>
    <t>Total Gross</t>
  </si>
  <si>
    <t>Total Net</t>
  </si>
  <si>
    <t>4602.11.00.90.00</t>
  </si>
  <si>
    <t>9405.21.90.00.00</t>
  </si>
  <si>
    <t>4601.92.10.00.00</t>
  </si>
  <si>
    <t>7013.49.99.00.00</t>
  </si>
  <si>
    <t>6911.10.00.00.19</t>
  </si>
  <si>
    <t>3926.40.00.00.19</t>
  </si>
  <si>
    <t>7013.37.91.00.00</t>
  </si>
  <si>
    <t>4419.20.90.90.19</t>
  </si>
  <si>
    <t>6913.10.00.00.90</t>
  </si>
  <si>
    <t>4602.90.00.90.00</t>
  </si>
  <si>
    <t xml:space="preserve">7013.28.90.00.00
</t>
  </si>
  <si>
    <t>6911.10.00.00.11</t>
  </si>
  <si>
    <t xml:space="preserve"> 8306.29.00.00.00</t>
  </si>
  <si>
    <t xml:space="preserve">
7013.28.90.00.00</t>
  </si>
  <si>
    <t>7013.28.90.00.00</t>
  </si>
  <si>
    <t>25410300AN00001321</t>
  </si>
  <si>
    <t>25410300AN00049115</t>
  </si>
  <si>
    <t>25410300AN00047374</t>
  </si>
  <si>
    <t>25410300AN00042208</t>
  </si>
  <si>
    <t>25410300AN00008456</t>
  </si>
  <si>
    <t>25410300AN00032680</t>
  </si>
  <si>
    <t>25410300AN00048160</t>
  </si>
  <si>
    <t>25410300AN00046350</t>
  </si>
  <si>
    <t>25410300AN00013187</t>
  </si>
  <si>
    <t>25410300AN00049207</t>
  </si>
  <si>
    <t>25410300AN00043539</t>
  </si>
  <si>
    <t>24410300AN00038543</t>
  </si>
  <si>
    <t>24410300AN00048356</t>
  </si>
  <si>
    <t>25410300AN00047378</t>
  </si>
  <si>
    <t>24410300AN00041110</t>
  </si>
  <si>
    <t>25410300AN00008863</t>
  </si>
  <si>
    <t>25410300AN00043468</t>
  </si>
  <si>
    <t>25410300AN00032456</t>
  </si>
  <si>
    <t>25410300AN00034597</t>
  </si>
  <si>
    <t>25410300AN00043508</t>
  </si>
  <si>
    <t>25410300AN00036626</t>
  </si>
  <si>
    <t>25410300AN00048856</t>
  </si>
  <si>
    <t>25410300AN00038699</t>
  </si>
  <si>
    <t>25410300AN00006460</t>
  </si>
  <si>
    <t>25410300AN00049193</t>
  </si>
  <si>
    <t>25410300AN00015036</t>
  </si>
  <si>
    <t>25410300AN00040562</t>
  </si>
  <si>
    <t>25410300AN00008890</t>
  </si>
  <si>
    <t>ANT2026000000023</t>
  </si>
  <si>
    <t>201 Boxes</t>
  </si>
  <si>
    <t>BANGLADESH</t>
  </si>
  <si>
    <t xml:space="preserve">ANT2026000000023    </t>
  </si>
  <si>
    <t>1111111059364</t>
  </si>
  <si>
    <t>1111111067390</t>
  </si>
  <si>
    <t>1111111067451</t>
  </si>
  <si>
    <t>1111111067482</t>
  </si>
  <si>
    <t>1111111067505</t>
  </si>
  <si>
    <t>1111111086032</t>
  </si>
  <si>
    <t>1111111086254</t>
  </si>
  <si>
    <t>1111111086261</t>
  </si>
  <si>
    <t>1111111099919</t>
  </si>
  <si>
    <t>1111111099926</t>
  </si>
  <si>
    <t>1111111088258</t>
  </si>
  <si>
    <t>1111111088432</t>
  </si>
  <si>
    <t>1111111089774</t>
  </si>
  <si>
    <t>1111111090893</t>
  </si>
  <si>
    <t>1111111095577</t>
  </si>
  <si>
    <t>1111111095317</t>
  </si>
  <si>
    <t>1111111100813</t>
  </si>
  <si>
    <t>1111111095171</t>
  </si>
  <si>
    <t>1KKUPS0152139.</t>
  </si>
  <si>
    <t>1KKUPS0153139.</t>
  </si>
  <si>
    <t>1KKUPS0154139.</t>
  </si>
  <si>
    <t>1KTABA1018106.</t>
  </si>
  <si>
    <t>1KTABA1019106.</t>
  </si>
  <si>
    <t>1KTABA1020106.</t>
  </si>
  <si>
    <t>1KTABA1037106.</t>
  </si>
  <si>
    <t>1KTABA1038106.</t>
  </si>
  <si>
    <t>1KTABA1039106.</t>
  </si>
  <si>
    <t>1KTABA1024106.</t>
  </si>
  <si>
    <t>1KTABA1025106.</t>
  </si>
  <si>
    <t>1KTABA1026106.</t>
  </si>
  <si>
    <t>1KTABA1027106.</t>
  </si>
  <si>
    <t>1KKASE0694106.</t>
  </si>
  <si>
    <t>1KKASE0695106.</t>
  </si>
  <si>
    <t>1KKASE0696106.</t>
  </si>
  <si>
    <t>1KKASE0697106.</t>
  </si>
  <si>
    <t>1KOGNZ0082239.</t>
  </si>
  <si>
    <t>1KOGNZ0083239.</t>
  </si>
  <si>
    <t>1KKUTU0098239.</t>
  </si>
  <si>
    <t>1KKUTU0099239.</t>
  </si>
  <si>
    <t>1KKUTU0100239.</t>
  </si>
  <si>
    <t>1KKUTU0101239.</t>
  </si>
  <si>
    <t>1KKUTU0102239.</t>
  </si>
  <si>
    <t>1KKUTU0103239.</t>
  </si>
  <si>
    <t>1KKUTU0104239.</t>
  </si>
  <si>
    <t>1KTABA1216121.</t>
  </si>
  <si>
    <t>1KTABA1217121.</t>
  </si>
  <si>
    <t>1KTABA1215121.</t>
  </si>
  <si>
    <t>1KTABA1219121.</t>
  </si>
  <si>
    <t>1KTABA1220121.</t>
  </si>
  <si>
    <t>1KTABA1218121.</t>
  </si>
  <si>
    <t>1KASRV0233139.</t>
  </si>
  <si>
    <t>1KBARD0743289.</t>
  </si>
  <si>
    <t>1KBARD0744289.</t>
  </si>
  <si>
    <t>1KBHRD0004630.</t>
  </si>
  <si>
    <t>1KBIBL1411169.</t>
  </si>
  <si>
    <t>1KBIBL1418147.</t>
  </si>
  <si>
    <t>1KBIBL1422376.</t>
  </si>
  <si>
    <t>1KBUST0094085.</t>
  </si>
  <si>
    <t>1KBUST0096101.</t>
  </si>
  <si>
    <t>1KBUST0098101.</t>
  </si>
  <si>
    <t>1KBUST0099101.</t>
  </si>
  <si>
    <t>1KDUGS0001139.</t>
  </si>
  <si>
    <t>1KDUGS0002289.</t>
  </si>
  <si>
    <t>1KDUGS0011289.</t>
  </si>
  <si>
    <t>1KTABA0664139.</t>
  </si>
  <si>
    <t>1KKVNZ0092103.</t>
  </si>
  <si>
    <t>1KMUML0498331.</t>
  </si>
  <si>
    <t>1KSOSL0029139.</t>
  </si>
  <si>
    <t>1KTABA1261239.</t>
  </si>
  <si>
    <t>1KTABA1262239.</t>
  </si>
  <si>
    <t>1KTABA1271239.</t>
  </si>
  <si>
    <t>1KVAZO0383093.</t>
  </si>
  <si>
    <t>1KVAZO0446101.</t>
  </si>
  <si>
    <t>1KVAZO0447101.</t>
  </si>
  <si>
    <t>1KYGLK0021139.</t>
  </si>
  <si>
    <t>1KYGLK0022139.</t>
  </si>
  <si>
    <t>1KBAPA6071123.</t>
  </si>
  <si>
    <t>1KBAPA6071149.</t>
  </si>
  <si>
    <t>1KBAPA6072123.</t>
  </si>
  <si>
    <t>1KBAPA6072149.</t>
  </si>
  <si>
    <t>1KBAPA6073123.</t>
  </si>
  <si>
    <t>1KBAPA6073149.</t>
  </si>
  <si>
    <t>1KKUPS0185121.</t>
  </si>
  <si>
    <t>1KKUPS0186085.</t>
  </si>
  <si>
    <t>1KKUPS0187085.</t>
  </si>
  <si>
    <t>1KRUNR0093332.</t>
  </si>
  <si>
    <t>1KASRV2090332.</t>
  </si>
  <si>
    <t>1KBAPA6111149.</t>
  </si>
  <si>
    <t>1KBAPA6111244.</t>
  </si>
  <si>
    <t>1KBAPA6111168.</t>
  </si>
  <si>
    <t>1KBAPA6111376.</t>
  </si>
  <si>
    <t>1KBAPA6112149.</t>
  </si>
  <si>
    <t>1KBAPA6112376.</t>
  </si>
  <si>
    <t>1KBAPA6112160.</t>
  </si>
  <si>
    <t>1KBAPA6112410.</t>
  </si>
  <si>
    <t>1KBAPA6113376.</t>
  </si>
  <si>
    <t>1KBAPA6113168.</t>
  </si>
  <si>
    <t>1KBAPA6113149.</t>
  </si>
  <si>
    <t>1KBAPA6113410.</t>
  </si>
  <si>
    <t>1KKUPA0244085.</t>
  </si>
  <si>
    <t>1KKUPA0245085.</t>
  </si>
  <si>
    <t>1KKUPA0246085.</t>
  </si>
  <si>
    <t>1KASRV0251239.</t>
  </si>
  <si>
    <t>1KASRV0251332.</t>
  </si>
  <si>
    <t>1KBARD0644139.</t>
  </si>
  <si>
    <t>1KBARD0645139.</t>
  </si>
  <si>
    <t>1KBARD0646139.</t>
  </si>
  <si>
    <t>1KBARD0647139.</t>
  </si>
  <si>
    <t>1KBIBL1494239.</t>
  </si>
  <si>
    <t>1KBIBL1495239.</t>
  </si>
  <si>
    <t>1KCRSF0183103.</t>
  </si>
  <si>
    <t>1KCRSF0183104.</t>
  </si>
  <si>
    <t>1KCRSF0183243.</t>
  </si>
  <si>
    <t>1KKVNZ0094529.</t>
  </si>
  <si>
    <t>1KKVNZ0104139.</t>
  </si>
  <si>
    <t>1KKVNZ0105139.</t>
  </si>
  <si>
    <t>1KSAKL0474289.</t>
  </si>
  <si>
    <t>1KLEDM0016101.</t>
  </si>
  <si>
    <t>1KLEDM0017101.</t>
  </si>
  <si>
    <t>1KLEDM0018101.</t>
  </si>
  <si>
    <t>1KLEDM0019101.</t>
  </si>
  <si>
    <t>1KBIBL1421196.</t>
  </si>
  <si>
    <t>1KCRSF0183244.</t>
  </si>
  <si>
    <t>1KKVNZ0098103.</t>
  </si>
  <si>
    <t>1KKVNZ0099103.</t>
  </si>
  <si>
    <t>MUG SET</t>
  </si>
  <si>
    <t>WHITE BLUE PRESENTATION GROUP</t>
  </si>
  <si>
    <t>TABLEWARE ACCESSORIES</t>
  </si>
  <si>
    <t>Oil Burner</t>
  </si>
  <si>
    <t>Wedding Set</t>
  </si>
  <si>
    <t>PLATE</t>
  </si>
  <si>
    <t>Bath Mat Cotton</t>
  </si>
  <si>
    <t>RUNNER</t>
  </si>
  <si>
    <t>TEA GLASS</t>
  </si>
  <si>
    <t>SHEET -  Microfiber  FITTED SHEET</t>
  </si>
  <si>
    <t>MINI GLASS - SALT - JAR</t>
  </si>
  <si>
    <t>Mini Food Container</t>
  </si>
  <si>
    <t>Lavender Jardin 2 Pcs Mug Set</t>
  </si>
  <si>
    <t>Lavender Pente 2 Pcs Mug Set</t>
  </si>
  <si>
    <t>Lavender Plaine 2 Pcs Mug Set</t>
  </si>
  <si>
    <t>Rêve Bleu Rennes Rectangular Plate</t>
  </si>
  <si>
    <t>Rêve Bleu Brest Rectangular Plate</t>
  </si>
  <si>
    <t>Rêve Bleu Angers Rectangular Plate</t>
  </si>
  <si>
    <t>Rêve Bleu Belfort Oval Handle Plate</t>
  </si>
  <si>
    <t>Rêve Bleu Rennes Oval Handle Plate</t>
  </si>
  <si>
    <t>Rêve Bleu Brest Oval Handle Plate</t>
  </si>
  <si>
    <t>Rêve Bleu Bourges Handle Plate</t>
  </si>
  <si>
    <t>Rêve Bleu Brest Handle Plate</t>
  </si>
  <si>
    <t>Rêve Bleu Nancy Handle Plate</t>
  </si>
  <si>
    <t>Rêve Bleu Angers Handle Plate</t>
  </si>
  <si>
    <t>Rêve Bleu Niort Mini Dish</t>
  </si>
  <si>
    <t>Rêve Bleu Rennes Mini Dish</t>
  </si>
  <si>
    <t>Rêve Bleu Lorient Mini Dish</t>
  </si>
  <si>
    <t>Rêve Bleu Drancy Mini Dish</t>
  </si>
  <si>
    <t>Stella Organiser - S</t>
  </si>
  <si>
    <t>Stella Organiser - L</t>
  </si>
  <si>
    <t>Linda Box 7 Cm</t>
  </si>
  <si>
    <t>Linda Box 10 Cm</t>
  </si>
  <si>
    <t>Linda Box 13 Cm</t>
  </si>
  <si>
    <t>Linda Box 16 Cm</t>
  </si>
  <si>
    <t>Linda Box 19 Cm</t>
  </si>
  <si>
    <t>Linda Box 22 Cm</t>
  </si>
  <si>
    <t>Linda Box 25 Cm</t>
  </si>
  <si>
    <t>Rêve Bleu Petite Fleur New Bone 14 Cm  Plate</t>
  </si>
  <si>
    <t>Rêve Bleu La Graine New Bone China 14 Cm  Plate</t>
  </si>
  <si>
    <t>Rêve Bleu Carre New Bone China  14 Cm Plate</t>
  </si>
  <si>
    <t>Rêve Bleu Petite Fleur New Bone 23 Cm  Plate</t>
  </si>
  <si>
    <t>Rêve Bleu La Graine New Bone China 23 Cm  Plate</t>
  </si>
  <si>
    <t>Rêve Bleu Carre New Bone 23cm  Plate</t>
  </si>
  <si>
    <t>Valerine Placemat</t>
  </si>
  <si>
    <t>Dublin 4 Piece Water Glass Set - 350ML</t>
  </si>
  <si>
    <t>Dublin 4-Piece Soft Drink Glass Set - 350ML</t>
  </si>
  <si>
    <t>Lucen Oil Burner</t>
  </si>
  <si>
    <t>Marlin Trinket</t>
  </si>
  <si>
    <t>Beatrice Trinket</t>
  </si>
  <si>
    <t>Valerie Trinket</t>
  </si>
  <si>
    <t>Amelie Bust</t>
  </si>
  <si>
    <t>Sandy Bust</t>
  </si>
  <si>
    <t>Ursula Bust</t>
  </si>
  <si>
    <t>Finley Bust</t>
  </si>
  <si>
    <t>Audrey 42-piece Wedding Set</t>
  </si>
  <si>
    <t>Stephanie 30-piece Wedding Set</t>
  </si>
  <si>
    <t>Aron 18-piece Wedding Set</t>
  </si>
  <si>
    <t>Petit Concept Rectangular Plate</t>
  </si>
  <si>
    <t>Karla Candle Holder-s</t>
  </si>
  <si>
    <t>Harmonie Decorative Plate</t>
  </si>
  <si>
    <t>Aurelie Decorative Plate</t>
  </si>
  <si>
    <t>Eglise Decorative Plate</t>
  </si>
  <si>
    <t>Fides Vase</t>
  </si>
  <si>
    <t>Bovin Vase</t>
  </si>
  <si>
    <t>Asante Vase</t>
  </si>
  <si>
    <t>Olivie Oil-vinegar Medium Jar Set Of 2</t>
  </si>
  <si>
    <t>Olivie Wine Bottle - Single 825ml</t>
  </si>
  <si>
    <t>Giverny Bath Mat</t>
  </si>
  <si>
    <t>Yvoire Bath Mat</t>
  </si>
  <si>
    <t>Gordes Bath Mat</t>
  </si>
  <si>
    <t>Marine Ocean 2 Pcs Mug Set</t>
  </si>
  <si>
    <t>Marine Vague 2 Pcs Mug Set</t>
  </si>
  <si>
    <t>Marine Corde 2 Pcs Mug Set</t>
  </si>
  <si>
    <t>Louvre Table Runner</t>
  </si>
  <si>
    <t>Louvre Placemat</t>
  </si>
  <si>
    <t>Aube Bath Mat</t>
  </si>
  <si>
    <t>Zéphyr  Bath Mat</t>
  </si>
  <si>
    <t>Marée Bath Mat</t>
  </si>
  <si>
    <t>Printems Longue Mug</t>
  </si>
  <si>
    <t>Printems Minuscule Mug</t>
  </si>
  <si>
    <t>Printems Grand Mug</t>
  </si>
  <si>
    <t>Carol 6-piece Tea Glass Set - 115ml</t>
  </si>
  <si>
    <t>Merlot 6-piece Tea Glass Set - 115ml</t>
  </si>
  <si>
    <t>Lucie 6-piece Tea Glass Set - 115ml</t>
  </si>
  <si>
    <t>Monde 6-piece Tea Glass Set - 115ml</t>
  </si>
  <si>
    <t>Canine Figurine</t>
  </si>
  <si>
    <t>Hound Figurine</t>
  </si>
  <si>
    <t>Mona Microfiber Fitted Sheet</t>
  </si>
  <si>
    <t>Bird Jar Classic 1300ml</t>
  </si>
  <si>
    <t>Monique Mini Jar 250ml</t>
  </si>
  <si>
    <t>Monique Mini Jar 320ml</t>
  </si>
  <si>
    <t>Marle 3-piece Square Mini Food Container - 150ml</t>
  </si>
  <si>
    <t>Brillance Led Decorative Candle Holder</t>
  </si>
  <si>
    <t>Rayon  Led Decorative Candle Holder</t>
  </si>
  <si>
    <t>Splendeur Led Decorative Candle Holder</t>
  </si>
  <si>
    <t>Chaleur Led Decorative Candle Holder</t>
  </si>
  <si>
    <t>Aurelie Trinket</t>
  </si>
  <si>
    <t>Odetta Glass Str Jar Round 2000ml</t>
  </si>
  <si>
    <t>Odetta Glass Str Jar Round 1000ml</t>
  </si>
  <si>
    <t>Bamboo</t>
  </si>
  <si>
    <t>%100 mimbre</t>
  </si>
  <si>
    <t>Stainless Steel/Glass</t>
  </si>
  <si>
    <t>MANGO TREE</t>
  </si>
  <si>
    <t>%100 COTTON</t>
  </si>
  <si>
    <t>New Bone</t>
  </si>
  <si>
    <t>%100 Jute</t>
  </si>
  <si>
    <t>59,4% Cotton, 30,5% Polyester, 7% Viscose, 2,1% Nylon, 1% Acrylic</t>
  </si>
  <si>
    <t>40,2% Cotton, 27% Polyester, 15,2% Acrylic, 8% Nylon, 7,9% Viscose, 1,7% Wool</t>
  </si>
  <si>
    <t>100% POLYESTER</t>
  </si>
  <si>
    <t>25410300AN00037771</t>
  </si>
  <si>
    <t>26410300AN00003107</t>
  </si>
  <si>
    <t>25410300AN00046349</t>
  </si>
  <si>
    <t>25410300AN00046347</t>
  </si>
  <si>
    <t>26410300AN00003105</t>
  </si>
  <si>
    <t>25410300AN00034961</t>
  </si>
  <si>
    <t>25410300AN00034613</t>
  </si>
  <si>
    <t>25410300AN00046351</t>
  </si>
  <si>
    <t>25410300AN00046437</t>
  </si>
  <si>
    <t>25410300AN00043553</t>
  </si>
  <si>
    <t>25410300AN00015034</t>
  </si>
  <si>
    <t>25410300AN00013334</t>
  </si>
  <si>
    <t>25410300AN00046436</t>
  </si>
  <si>
    <t>25410300AN00045924</t>
  </si>
  <si>
    <t>25410300AN00038856</t>
  </si>
  <si>
    <t>25410300AN00045923</t>
  </si>
  <si>
    <t>25410300AN00046584</t>
  </si>
  <si>
    <t>26410300AN00001245</t>
  </si>
  <si>
    <t>25410300AN00043554</t>
  </si>
  <si>
    <t>24410300AN00045896</t>
  </si>
  <si>
    <t>4601.94.10.00.00</t>
  </si>
  <si>
    <t>9405.41.39.00.00</t>
  </si>
  <si>
    <t>7013.99.00.00.00</t>
  </si>
  <si>
    <t>5703.39.99.00.00</t>
  </si>
  <si>
    <t>6304.99.00.00.19</t>
  </si>
  <si>
    <t>5702.42.00.00.00</t>
  </si>
  <si>
    <t>6302.3290.00.00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</si>
</sst>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USD]\ #,##0.00"/>
    <numFmt numFmtId="165" formatCode="[$EUR]\ #,##0.00"/>
    <numFmt numFmtId="166" formatCode="&quot;₺&quot;#,##0.00"/>
  </numFmts>
  <fonts count="16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u/>
      <sz val="26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3"/>
      <color theme="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4"/>
      <color rgb="FF3B3B3B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10" fillId="0" borderId="0">
      <alignment vertical="center"/>
    </xf>
    <xf numFmtId="0" fontId="11" fillId="0" borderId="0"/>
  </cellStyleXfs>
  <cellXfs count="98">
    <xf numFmtId="0" fontId="0" fillId="0" borderId="0" xfId="0"/>
    <xf numFmtId="0" fontId="2" fillId="0" borderId="0" xfId="0" applyFont="1" applyAlignment="1">
      <alignment horizontal="left" vertical="top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2" borderId="0" xfId="0" applyFill="1" applyAlignment="1">
      <alignment horizontal="center"/>
    </xf>
    <xf numFmtId="1" fontId="2" fillId="0" borderId="5" xfId="0" applyNumberFormat="1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0" fontId="6" fillId="2" borderId="13" xfId="0" applyFont="1" applyFill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top" wrapText="1"/>
    </xf>
    <xf numFmtId="14" fontId="8" fillId="0" borderId="8" xfId="0" applyNumberFormat="1" applyFont="1" applyBorder="1" applyAlignment="1">
      <alignment horizontal="left" vertical="center" wrapText="1"/>
    </xf>
    <xf numFmtId="164" fontId="8" fillId="0" borderId="8" xfId="0" applyNumberFormat="1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1" fontId="8" fillId="0" borderId="8" xfId="0" quotePrefix="1" applyNumberFormat="1" applyFont="1" applyBorder="1" applyAlignment="1">
      <alignment horizontal="left" vertical="center"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left" vertical="center" wrapText="1"/>
    </xf>
    <xf numFmtId="164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" fontId="8" fillId="0" borderId="0" xfId="0" quotePrefix="1" applyNumberFormat="1" applyFont="1" applyAlignment="1">
      <alignment horizontal="left" vertical="center" wrapText="1"/>
    </xf>
    <xf numFmtId="0" fontId="6" fillId="2" borderId="19" xfId="0" applyFont="1" applyFill="1" applyBorder="1" applyAlignment="1">
      <alignment horizontal="center" vertical="center" wrapText="1"/>
    </xf>
    <xf numFmtId="1" fontId="6" fillId="2" borderId="3" xfId="0" applyNumberFormat="1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1" fontId="1" fillId="2" borderId="20" xfId="0" applyNumberFormat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/>
    </xf>
    <xf numFmtId="1" fontId="2" fillId="0" borderId="18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65" fontId="2" fillId="0" borderId="13" xfId="0" applyNumberFormat="1" applyFont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165" fontId="2" fillId="0" borderId="24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1" fontId="14" fillId="0" borderId="16" xfId="0" applyNumberFormat="1" applyFont="1" applyBorder="1"/>
    <xf numFmtId="49" fontId="15" fillId="3" borderId="16" xfId="0" applyNumberFormat="1" applyFont="1" applyFill="1" applyBorder="1" applyAlignment="1">
      <alignment horizontal="left" vertical="center" wrapText="1" shrinkToFit="1"/>
    </xf>
    <xf numFmtId="1" fontId="14" fillId="0" borderId="16" xfId="0" applyNumberFormat="1" applyFont="1" applyBorder="1" applyAlignment="1">
      <alignment horizontal="center" vertical="center"/>
    </xf>
    <xf numFmtId="165" fontId="14" fillId="0" borderId="16" xfId="0" applyNumberFormat="1" applyFont="1" applyBorder="1" applyAlignment="1">
      <alignment horizontal="center" vertical="center"/>
    </xf>
    <xf numFmtId="165" fontId="14" fillId="0" borderId="17" xfId="0" applyNumberFormat="1" applyFont="1" applyBorder="1" applyAlignment="1">
      <alignment horizontal="center" vertical="center"/>
    </xf>
    <xf numFmtId="1" fontId="14" fillId="0" borderId="16" xfId="0" applyNumberFormat="1" applyFont="1" applyBorder="1" applyAlignment="1">
      <alignment horizontal="center" wrapText="1"/>
    </xf>
    <xf numFmtId="0" fontId="14" fillId="0" borderId="16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/>
    </xf>
    <xf numFmtId="0" fontId="6" fillId="4" borderId="19" xfId="0" applyFont="1" applyFill="1" applyBorder="1" applyAlignment="1">
      <alignment horizontal="center" vertical="center" wrapText="1"/>
    </xf>
    <xf numFmtId="0" fontId="13" fillId="4" borderId="25" xfId="0" applyFont="1" applyFill="1" applyBorder="1"/>
    <xf numFmtId="2" fontId="13" fillId="4" borderId="25" xfId="0" applyNumberFormat="1" applyFont="1" applyFill="1" applyBorder="1"/>
    <xf numFmtId="0" fontId="14" fillId="0" borderId="14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" fontId="14" fillId="0" borderId="12" xfId="0" applyNumberFormat="1" applyFont="1" applyBorder="1"/>
    <xf numFmtId="49" fontId="15" fillId="3" borderId="12" xfId="0" applyNumberFormat="1" applyFont="1" applyFill="1" applyBorder="1" applyAlignment="1">
      <alignment horizontal="left" vertical="center" wrapText="1" shrinkToFit="1"/>
    </xf>
    <xf numFmtId="1" fontId="14" fillId="0" borderId="12" xfId="0" applyNumberFormat="1" applyFont="1" applyBorder="1" applyAlignment="1">
      <alignment horizontal="center" wrapText="1"/>
    </xf>
    <xf numFmtId="0" fontId="14" fillId="0" borderId="12" xfId="0" applyFont="1" applyBorder="1" applyAlignment="1">
      <alignment horizontal="center" vertical="center" wrapText="1"/>
    </xf>
    <xf numFmtId="1" fontId="14" fillId="0" borderId="12" xfId="0" applyNumberFormat="1" applyFont="1" applyBorder="1" applyAlignment="1">
      <alignment horizontal="center" vertical="center"/>
    </xf>
    <xf numFmtId="165" fontId="14" fillId="0" borderId="12" xfId="0" applyNumberFormat="1" applyFont="1" applyBorder="1" applyAlignment="1">
      <alignment horizontal="center" vertical="center"/>
    </xf>
    <xf numFmtId="165" fontId="14" fillId="0" borderId="26" xfId="0" applyNumberFormat="1" applyFont="1" applyBorder="1" applyAlignment="1">
      <alignment horizontal="center" vertical="center"/>
    </xf>
    <xf numFmtId="2" fontId="14" fillId="0" borderId="0" xfId="0" applyNumberFormat="1" applyFont="1"/>
    <xf numFmtId="0" fontId="13" fillId="0" borderId="23" xfId="0" applyFont="1" applyBorder="1" applyAlignment="1">
      <alignment horizontal="center"/>
    </xf>
    <xf numFmtId="0" fontId="9" fillId="0" borderId="5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left" vertical="top" wrapText="1"/>
    </xf>
    <xf numFmtId="0" fontId="12" fillId="2" borderId="3" xfId="0" applyFont="1" applyFill="1" applyBorder="1" applyAlignment="1">
      <alignment horizontal="left" vertical="top" wrapText="1"/>
    </xf>
    <xf numFmtId="0" fontId="12" fillId="2" borderId="7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colors>
    <mruColors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158750</xdr:rowOff>
    </xdr:from>
    <xdr:to>
      <xdr:col>8</xdr:col>
      <xdr:colOff>118004</xdr:colOff>
      <xdr:row>0</xdr:row>
      <xdr:rowOff>778480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4F71D75-5A14-4B26-ADE6-93A9DF8D55D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23707" y="158750"/>
          <a:ext cx="6514118" cy="6197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259"/>
  <sheetViews>
    <sheetView tabSelected="1" topLeftCell="H235" zoomScale="70" zoomScaleNormal="70" zoomScalePageLayoutView="70" workbookViewId="0">
      <selection activeCell="M13" sqref="M13:R252"/>
    </sheetView>
  </sheetViews>
  <sheetFormatPr defaultColWidth="8.90625" defaultRowHeight="14.5"/>
  <cols>
    <col min="1" max="1" width="7.6328125" customWidth="1"/>
    <col min="2" max="2" width="16.08984375" style="3" customWidth="1"/>
    <col min="3" max="3" width="26.54296875" style="3" customWidth="1"/>
    <col min="4" max="4" width="18.453125" style="2" customWidth="1"/>
    <col min="5" max="5" width="22.453125" style="3" customWidth="1"/>
    <col min="6" max="6" width="32.36328125" style="4" customWidth="1"/>
    <col min="7" max="7" width="44.1796875" style="3" customWidth="1"/>
    <col min="8" max="8" width="13" style="2" customWidth="1"/>
    <col min="9" max="9" width="25.453125" style="10" customWidth="1"/>
    <col min="10" max="10" width="38.54296875" style="10" customWidth="1"/>
    <col min="11" max="11" width="17.08984375" style="10" bestFit="1" customWidth="1"/>
    <col min="12" max="12" width="35.26953125" style="26" bestFit="1" customWidth="1"/>
    <col min="13" max="13" width="23.08984375" bestFit="1" customWidth="1"/>
    <col min="15" max="17" width="9.54296875" bestFit="1" customWidth="1"/>
    <col min="18" max="18" width="9.26953125" bestFit="1" customWidth="1"/>
  </cols>
  <sheetData>
    <row r="1" spans="2:18" ht="67.5" customHeight="1" thickBot="1">
      <c r="B1" s="78"/>
      <c r="C1" s="79"/>
      <c r="D1" s="79"/>
      <c r="E1" s="79"/>
      <c r="F1" s="79"/>
      <c r="G1" s="79"/>
      <c r="H1" s="79"/>
      <c r="I1" s="79"/>
      <c r="J1" s="80"/>
      <c r="K1" s="14"/>
    </row>
    <row r="2" spans="2:18" ht="24" thickBot="1">
      <c r="B2" s="81" t="s">
        <v>23</v>
      </c>
      <c r="C2" s="82"/>
      <c r="D2" s="82"/>
      <c r="E2" s="82"/>
      <c r="F2" s="82"/>
      <c r="G2" s="82"/>
      <c r="H2" s="82"/>
      <c r="I2" s="82"/>
      <c r="J2" s="83"/>
      <c r="K2" s="17"/>
    </row>
    <row r="3" spans="2:18" ht="21.5" thickBot="1">
      <c r="B3" s="84" t="s">
        <v>24</v>
      </c>
      <c r="C3" s="85"/>
      <c r="D3" s="86"/>
      <c r="E3" s="86"/>
      <c r="F3" s="86"/>
      <c r="G3" s="86"/>
      <c r="H3" s="86"/>
      <c r="I3" s="86"/>
      <c r="J3" s="87"/>
      <c r="K3" s="18"/>
    </row>
    <row r="4" spans="2:18" ht="34.5" customHeight="1" thickBot="1">
      <c r="B4" s="75" t="s">
        <v>17</v>
      </c>
      <c r="C4" s="76"/>
      <c r="D4" s="76"/>
      <c r="E4" s="76"/>
      <c r="F4" s="76"/>
      <c r="G4" s="76"/>
      <c r="H4" s="76"/>
      <c r="I4" s="76"/>
      <c r="J4" s="77"/>
      <c r="K4" s="27"/>
    </row>
    <row r="5" spans="2:18" ht="17">
      <c r="B5" s="88" t="s">
        <v>18</v>
      </c>
      <c r="C5" s="89"/>
      <c r="D5" s="90"/>
      <c r="E5" s="90"/>
      <c r="F5" s="91"/>
      <c r="G5"/>
      <c r="H5" s="73" t="s">
        <v>7</v>
      </c>
      <c r="I5" s="73"/>
      <c r="J5" s="22">
        <v>46062</v>
      </c>
      <c r="K5" s="28"/>
    </row>
    <row r="6" spans="2:18" ht="45" customHeight="1">
      <c r="B6" s="92"/>
      <c r="C6" s="93"/>
      <c r="D6" s="93"/>
      <c r="E6" s="93"/>
      <c r="F6" s="94"/>
      <c r="G6" s="1"/>
      <c r="H6" s="74" t="s">
        <v>8</v>
      </c>
      <c r="I6" s="74"/>
      <c r="J6" s="23" t="s">
        <v>198</v>
      </c>
      <c r="K6" s="29"/>
    </row>
    <row r="7" spans="2:18" ht="81" customHeight="1">
      <c r="B7" s="92"/>
      <c r="C7" s="93"/>
      <c r="D7" s="93"/>
      <c r="E7" s="93"/>
      <c r="F7" s="94"/>
      <c r="G7" s="1"/>
      <c r="H7" s="74" t="s">
        <v>9</v>
      </c>
      <c r="I7" s="74"/>
      <c r="J7" s="24" t="s">
        <v>199</v>
      </c>
      <c r="K7" s="30"/>
    </row>
    <row r="8" spans="2:18" ht="17" customHeight="1">
      <c r="B8" s="92"/>
      <c r="C8" s="93"/>
      <c r="D8" s="93"/>
      <c r="E8" s="93"/>
      <c r="F8" s="94"/>
      <c r="G8" s="1"/>
      <c r="H8" s="74" t="s">
        <v>10</v>
      </c>
      <c r="I8" s="74"/>
      <c r="J8" s="23" t="s">
        <v>19</v>
      </c>
      <c r="K8" s="29"/>
    </row>
    <row r="9" spans="2:18" ht="17" customHeight="1">
      <c r="B9" s="92"/>
      <c r="C9" s="93"/>
      <c r="D9" s="93"/>
      <c r="E9" s="93"/>
      <c r="F9" s="94"/>
      <c r="G9" s="1"/>
      <c r="H9" s="74" t="s">
        <v>11</v>
      </c>
      <c r="I9" s="74"/>
      <c r="J9" s="23" t="s">
        <v>12</v>
      </c>
      <c r="K9" s="29"/>
    </row>
    <row r="10" spans="2:18" ht="17.75" customHeight="1" thickBot="1">
      <c r="B10" s="95"/>
      <c r="C10" s="96"/>
      <c r="D10" s="96"/>
      <c r="E10" s="96"/>
      <c r="F10" s="97"/>
      <c r="G10" s="1"/>
      <c r="H10" s="74"/>
      <c r="I10" s="74"/>
      <c r="J10" s="23"/>
      <c r="K10" s="29"/>
    </row>
    <row r="11" spans="2:18" ht="17.75" customHeight="1" thickBot="1">
      <c r="B11" s="19"/>
      <c r="C11" s="1"/>
      <c r="D11" s="21"/>
      <c r="E11" s="16"/>
      <c r="F11" s="15"/>
      <c r="G11" s="16"/>
      <c r="H11" s="72" t="s">
        <v>13</v>
      </c>
      <c r="I11" s="72"/>
      <c r="J11" s="25" t="s">
        <v>22</v>
      </c>
      <c r="K11" s="31"/>
    </row>
    <row r="12" spans="2:18" ht="77.75" customHeight="1" thickBot="1">
      <c r="B12" s="32" t="s">
        <v>0</v>
      </c>
      <c r="C12" s="32" t="s">
        <v>20</v>
      </c>
      <c r="D12" s="33" t="s">
        <v>1</v>
      </c>
      <c r="E12" s="20" t="s">
        <v>2</v>
      </c>
      <c r="F12" s="34" t="s">
        <v>4</v>
      </c>
      <c r="G12" s="32" t="s">
        <v>5</v>
      </c>
      <c r="H12" s="35" t="s">
        <v>6</v>
      </c>
      <c r="I12" s="36" t="s">
        <v>15</v>
      </c>
      <c r="J12" s="32" t="s">
        <v>16</v>
      </c>
      <c r="K12" s="41" t="s">
        <v>3</v>
      </c>
      <c r="L12" s="20" t="s">
        <v>21</v>
      </c>
      <c r="M12" s="58" t="s">
        <v>31</v>
      </c>
      <c r="N12" s="58" t="s">
        <v>32</v>
      </c>
      <c r="O12" s="58" t="s">
        <v>153</v>
      </c>
      <c r="P12" s="58" t="s">
        <v>154</v>
      </c>
      <c r="Q12" s="58" t="s">
        <v>151</v>
      </c>
      <c r="R12" s="58" t="s">
        <v>152</v>
      </c>
    </row>
    <row r="13" spans="2:18" ht="18.5">
      <c r="B13" s="48" t="s">
        <v>29</v>
      </c>
      <c r="C13" s="49" t="s">
        <v>201</v>
      </c>
      <c r="D13" s="50" t="s">
        <v>202</v>
      </c>
      <c r="E13" s="51" t="s">
        <v>220</v>
      </c>
      <c r="F13" s="55" t="s">
        <v>327</v>
      </c>
      <c r="G13" s="56" t="s">
        <v>339</v>
      </c>
      <c r="H13" s="52">
        <v>8</v>
      </c>
      <c r="I13" s="53">
        <v>1.3779254815713933</v>
      </c>
      <c r="J13" s="54">
        <f>I13*H13</f>
        <v>11.023403852571146</v>
      </c>
      <c r="K13" s="71" t="s">
        <v>159</v>
      </c>
      <c r="L13" s="46" t="s">
        <v>33</v>
      </c>
      <c r="M13" s="59" t="s">
        <v>437</v>
      </c>
      <c r="N13" s="59">
        <v>1</v>
      </c>
      <c r="O13" s="60">
        <v>3.8000000000000003</v>
      </c>
      <c r="P13" s="60">
        <v>3.1333333333333333</v>
      </c>
      <c r="Q13" s="60">
        <v>0.47500000000000003</v>
      </c>
      <c r="R13" s="60">
        <v>0.39166666666666666</v>
      </c>
    </row>
    <row r="14" spans="2:18" ht="18.5">
      <c r="B14" s="61" t="s">
        <v>29</v>
      </c>
      <c r="C14" s="62" t="s">
        <v>201</v>
      </c>
      <c r="D14" s="63" t="s">
        <v>202</v>
      </c>
      <c r="E14" s="64" t="s">
        <v>221</v>
      </c>
      <c r="F14" s="65" t="s">
        <v>327</v>
      </c>
      <c r="G14" s="66" t="s">
        <v>340</v>
      </c>
      <c r="H14" s="67">
        <v>8</v>
      </c>
      <c r="I14" s="68">
        <v>1.3509953418664149</v>
      </c>
      <c r="J14" s="69">
        <f t="shared" ref="J14:J77" si="0">I14*H14</f>
        <v>10.807962734931319</v>
      </c>
      <c r="K14" s="57" t="s">
        <v>159</v>
      </c>
      <c r="L14" s="57" t="s">
        <v>33</v>
      </c>
      <c r="M14" s="59" t="s">
        <v>437</v>
      </c>
      <c r="N14" s="59">
        <v>1</v>
      </c>
      <c r="O14" s="60">
        <v>3.8000000000000003</v>
      </c>
      <c r="P14" s="60">
        <v>3.1333333333333333</v>
      </c>
      <c r="Q14" s="60">
        <v>0.47500000000000003</v>
      </c>
      <c r="R14" s="60">
        <v>0.39166666666666666</v>
      </c>
    </row>
    <row r="15" spans="2:18" ht="18.5">
      <c r="B15" s="61" t="s">
        <v>29</v>
      </c>
      <c r="C15" s="62" t="s">
        <v>201</v>
      </c>
      <c r="D15" s="63" t="s">
        <v>202</v>
      </c>
      <c r="E15" s="64" t="s">
        <v>222</v>
      </c>
      <c r="F15" s="65" t="s">
        <v>327</v>
      </c>
      <c r="G15" s="66" t="s">
        <v>341</v>
      </c>
      <c r="H15" s="67">
        <v>8</v>
      </c>
      <c r="I15" s="68">
        <v>1.3509953418664149</v>
      </c>
      <c r="J15" s="69">
        <f t="shared" si="0"/>
        <v>10.807962734931319</v>
      </c>
      <c r="K15" s="57" t="s">
        <v>159</v>
      </c>
      <c r="L15" s="57" t="s">
        <v>33</v>
      </c>
      <c r="M15" s="59" t="s">
        <v>437</v>
      </c>
      <c r="N15" s="59">
        <v>1</v>
      </c>
      <c r="O15" s="60">
        <v>3.8000000000000003</v>
      </c>
      <c r="P15" s="60">
        <v>3.1333333333333333</v>
      </c>
      <c r="Q15" s="60">
        <v>0.47500000000000003</v>
      </c>
      <c r="R15" s="60">
        <v>0.39166666666666666</v>
      </c>
    </row>
    <row r="16" spans="2:18" ht="37">
      <c r="B16" s="61" t="s">
        <v>29</v>
      </c>
      <c r="C16" s="62" t="s">
        <v>201</v>
      </c>
      <c r="D16" s="63" t="s">
        <v>203</v>
      </c>
      <c r="E16" s="64" t="s">
        <v>223</v>
      </c>
      <c r="F16" s="65" t="s">
        <v>328</v>
      </c>
      <c r="G16" s="66" t="s">
        <v>342</v>
      </c>
      <c r="H16" s="67">
        <v>24</v>
      </c>
      <c r="I16" s="68">
        <v>0.966362694340963</v>
      </c>
      <c r="J16" s="69">
        <f t="shared" si="0"/>
        <v>23.192704664183111</v>
      </c>
      <c r="K16" s="57" t="s">
        <v>159</v>
      </c>
      <c r="L16" s="57" t="s">
        <v>33</v>
      </c>
      <c r="M16" s="59" t="s">
        <v>196</v>
      </c>
      <c r="N16" s="59">
        <v>2</v>
      </c>
      <c r="O16" s="60">
        <v>9.0666666666666664</v>
      </c>
      <c r="P16" s="60">
        <v>8.3999999999999986</v>
      </c>
      <c r="Q16" s="60">
        <v>0.37777777777777777</v>
      </c>
      <c r="R16" s="60">
        <v>0.35</v>
      </c>
    </row>
    <row r="17" spans="2:18" ht="37">
      <c r="B17" s="61" t="s">
        <v>29</v>
      </c>
      <c r="C17" s="62" t="s">
        <v>201</v>
      </c>
      <c r="D17" s="63" t="s">
        <v>203</v>
      </c>
      <c r="E17" s="64" t="s">
        <v>224</v>
      </c>
      <c r="F17" s="65" t="s">
        <v>328</v>
      </c>
      <c r="G17" s="66" t="s">
        <v>343</v>
      </c>
      <c r="H17" s="67">
        <v>24</v>
      </c>
      <c r="I17" s="68">
        <v>0.966362694340963</v>
      </c>
      <c r="J17" s="69">
        <f t="shared" si="0"/>
        <v>23.192704664183111</v>
      </c>
      <c r="K17" s="57" t="s">
        <v>159</v>
      </c>
      <c r="L17" s="57" t="s">
        <v>33</v>
      </c>
      <c r="M17" s="59" t="s">
        <v>196</v>
      </c>
      <c r="N17" s="59">
        <v>2</v>
      </c>
      <c r="O17" s="60">
        <v>9.0666666666666664</v>
      </c>
      <c r="P17" s="60">
        <v>8.3999999999999986</v>
      </c>
      <c r="Q17" s="60">
        <v>0.37777777777777777</v>
      </c>
      <c r="R17" s="60">
        <v>0.35</v>
      </c>
    </row>
    <row r="18" spans="2:18" ht="37">
      <c r="B18" s="61" t="s">
        <v>29</v>
      </c>
      <c r="C18" s="62" t="s">
        <v>201</v>
      </c>
      <c r="D18" s="63" t="s">
        <v>203</v>
      </c>
      <c r="E18" s="64" t="s">
        <v>225</v>
      </c>
      <c r="F18" s="65" t="s">
        <v>328</v>
      </c>
      <c r="G18" s="66" t="s">
        <v>344</v>
      </c>
      <c r="H18" s="67">
        <v>24</v>
      </c>
      <c r="I18" s="68">
        <v>0.966362694340963</v>
      </c>
      <c r="J18" s="69">
        <f t="shared" si="0"/>
        <v>23.192704664183111</v>
      </c>
      <c r="K18" s="57" t="s">
        <v>159</v>
      </c>
      <c r="L18" s="57" t="s">
        <v>33</v>
      </c>
      <c r="M18" s="59" t="s">
        <v>196</v>
      </c>
      <c r="N18" s="59">
        <v>2</v>
      </c>
      <c r="O18" s="60">
        <v>9.0666666666666664</v>
      </c>
      <c r="P18" s="60">
        <v>8.3999999999999986</v>
      </c>
      <c r="Q18" s="60">
        <v>0.37777777777777777</v>
      </c>
      <c r="R18" s="60">
        <v>0.35</v>
      </c>
    </row>
    <row r="19" spans="2:18" ht="37">
      <c r="B19" s="61" t="s">
        <v>29</v>
      </c>
      <c r="C19" s="62" t="s">
        <v>201</v>
      </c>
      <c r="D19" s="63" t="s">
        <v>204</v>
      </c>
      <c r="E19" s="64" t="s">
        <v>226</v>
      </c>
      <c r="F19" s="65" t="s">
        <v>328</v>
      </c>
      <c r="G19" s="66" t="s">
        <v>345</v>
      </c>
      <c r="H19" s="67">
        <v>16</v>
      </c>
      <c r="I19" s="68">
        <v>1.0290045410460213</v>
      </c>
      <c r="J19" s="69">
        <f t="shared" si="0"/>
        <v>16.464072656736342</v>
      </c>
      <c r="K19" s="57" t="s">
        <v>159</v>
      </c>
      <c r="L19" s="57" t="s">
        <v>33</v>
      </c>
      <c r="M19" s="59" t="s">
        <v>438</v>
      </c>
      <c r="N19" s="59">
        <v>3</v>
      </c>
      <c r="O19" s="60">
        <v>5.2</v>
      </c>
      <c r="P19" s="60">
        <v>4.8666666666666663</v>
      </c>
      <c r="Q19" s="60">
        <v>0.32500000000000001</v>
      </c>
      <c r="R19" s="60">
        <v>0.30416666666666664</v>
      </c>
    </row>
    <row r="20" spans="2:18" ht="37">
      <c r="B20" s="61" t="s">
        <v>29</v>
      </c>
      <c r="C20" s="62" t="s">
        <v>201</v>
      </c>
      <c r="D20" s="63" t="s">
        <v>204</v>
      </c>
      <c r="E20" s="64" t="s">
        <v>227</v>
      </c>
      <c r="F20" s="65" t="s">
        <v>328</v>
      </c>
      <c r="G20" s="66" t="s">
        <v>346</v>
      </c>
      <c r="H20" s="67">
        <v>16</v>
      </c>
      <c r="I20" s="68">
        <v>1.0290045410460213</v>
      </c>
      <c r="J20" s="69">
        <f t="shared" si="0"/>
        <v>16.464072656736342</v>
      </c>
      <c r="K20" s="57" t="s">
        <v>159</v>
      </c>
      <c r="L20" s="57" t="s">
        <v>33</v>
      </c>
      <c r="M20" s="59" t="s">
        <v>438</v>
      </c>
      <c r="N20" s="59">
        <v>3</v>
      </c>
      <c r="O20" s="60">
        <v>5.2</v>
      </c>
      <c r="P20" s="60">
        <v>4.8666666666666663</v>
      </c>
      <c r="Q20" s="60">
        <v>0.32500000000000001</v>
      </c>
      <c r="R20" s="60">
        <v>0.30416666666666664</v>
      </c>
    </row>
    <row r="21" spans="2:18" ht="37">
      <c r="B21" s="61" t="s">
        <v>29</v>
      </c>
      <c r="C21" s="62" t="s">
        <v>201</v>
      </c>
      <c r="D21" s="63" t="s">
        <v>204</v>
      </c>
      <c r="E21" s="64" t="s">
        <v>228</v>
      </c>
      <c r="F21" s="65" t="s">
        <v>328</v>
      </c>
      <c r="G21" s="66" t="s">
        <v>347</v>
      </c>
      <c r="H21" s="67">
        <v>16</v>
      </c>
      <c r="I21" s="68">
        <v>1.0290045410460213</v>
      </c>
      <c r="J21" s="69">
        <f t="shared" si="0"/>
        <v>16.464072656736342</v>
      </c>
      <c r="K21" s="57" t="s">
        <v>159</v>
      </c>
      <c r="L21" s="57" t="s">
        <v>33</v>
      </c>
      <c r="M21" s="59" t="s">
        <v>438</v>
      </c>
      <c r="N21" s="59">
        <v>3</v>
      </c>
      <c r="O21" s="60">
        <v>5.2</v>
      </c>
      <c r="P21" s="60">
        <v>4.8666666666666663</v>
      </c>
      <c r="Q21" s="60">
        <v>0.32500000000000001</v>
      </c>
      <c r="R21" s="60">
        <v>0.30416666666666664</v>
      </c>
    </row>
    <row r="22" spans="2:18" ht="37">
      <c r="B22" s="61" t="s">
        <v>29</v>
      </c>
      <c r="C22" s="62" t="s">
        <v>201</v>
      </c>
      <c r="D22" s="63" t="s">
        <v>205</v>
      </c>
      <c r="E22" s="64" t="s">
        <v>229</v>
      </c>
      <c r="F22" s="65" t="s">
        <v>328</v>
      </c>
      <c r="G22" s="66" t="s">
        <v>348</v>
      </c>
      <c r="H22" s="67">
        <v>9</v>
      </c>
      <c r="I22" s="68">
        <v>1.0557395348111085</v>
      </c>
      <c r="J22" s="69">
        <f t="shared" si="0"/>
        <v>9.5016558132999762</v>
      </c>
      <c r="K22" s="57" t="s">
        <v>159</v>
      </c>
      <c r="L22" s="57" t="s">
        <v>33</v>
      </c>
      <c r="M22" s="59" t="s">
        <v>438</v>
      </c>
      <c r="N22" s="59">
        <v>3</v>
      </c>
      <c r="O22" s="60">
        <v>2.75</v>
      </c>
      <c r="P22" s="60">
        <v>2.5</v>
      </c>
      <c r="Q22" s="60">
        <v>0.30555555555555558</v>
      </c>
      <c r="R22" s="60">
        <v>0.27777777777777779</v>
      </c>
    </row>
    <row r="23" spans="2:18" ht="37">
      <c r="B23" s="61" t="s">
        <v>29</v>
      </c>
      <c r="C23" s="62" t="s">
        <v>201</v>
      </c>
      <c r="D23" s="63" t="s">
        <v>205</v>
      </c>
      <c r="E23" s="64" t="s">
        <v>230</v>
      </c>
      <c r="F23" s="65" t="s">
        <v>328</v>
      </c>
      <c r="G23" s="66" t="s">
        <v>349</v>
      </c>
      <c r="H23" s="67">
        <v>9</v>
      </c>
      <c r="I23" s="68">
        <v>1.0557395348111085</v>
      </c>
      <c r="J23" s="69">
        <f t="shared" si="0"/>
        <v>9.5016558132999762</v>
      </c>
      <c r="K23" s="57" t="s">
        <v>159</v>
      </c>
      <c r="L23" s="57" t="s">
        <v>33</v>
      </c>
      <c r="M23" s="59" t="s">
        <v>438</v>
      </c>
      <c r="N23" s="59">
        <v>3</v>
      </c>
      <c r="O23" s="60">
        <v>2.75</v>
      </c>
      <c r="P23" s="60">
        <v>2.5</v>
      </c>
      <c r="Q23" s="60">
        <v>0.30555555555555558</v>
      </c>
      <c r="R23" s="60">
        <v>0.27777777777777779</v>
      </c>
    </row>
    <row r="24" spans="2:18" ht="37">
      <c r="B24" s="61" t="s">
        <v>29</v>
      </c>
      <c r="C24" s="62" t="s">
        <v>201</v>
      </c>
      <c r="D24" s="63" t="s">
        <v>205</v>
      </c>
      <c r="E24" s="64" t="s">
        <v>231</v>
      </c>
      <c r="F24" s="65" t="s">
        <v>328</v>
      </c>
      <c r="G24" s="66" t="s">
        <v>350</v>
      </c>
      <c r="H24" s="67">
        <v>9</v>
      </c>
      <c r="I24" s="68">
        <v>1.0557395348111085</v>
      </c>
      <c r="J24" s="69">
        <f t="shared" si="0"/>
        <v>9.5016558132999762</v>
      </c>
      <c r="K24" s="57" t="s">
        <v>159</v>
      </c>
      <c r="L24" s="57" t="s">
        <v>33</v>
      </c>
      <c r="M24" s="59" t="s">
        <v>438</v>
      </c>
      <c r="N24" s="59">
        <v>3</v>
      </c>
      <c r="O24" s="60">
        <v>2.75</v>
      </c>
      <c r="P24" s="60">
        <v>2.5</v>
      </c>
      <c r="Q24" s="60">
        <v>0.30555555555555558</v>
      </c>
      <c r="R24" s="60">
        <v>0.27777777777777779</v>
      </c>
    </row>
    <row r="25" spans="2:18" ht="37">
      <c r="B25" s="61" t="s">
        <v>29</v>
      </c>
      <c r="C25" s="62" t="s">
        <v>201</v>
      </c>
      <c r="D25" s="63" t="s">
        <v>205</v>
      </c>
      <c r="E25" s="64" t="s">
        <v>232</v>
      </c>
      <c r="F25" s="65" t="s">
        <v>328</v>
      </c>
      <c r="G25" s="66" t="s">
        <v>351</v>
      </c>
      <c r="H25" s="67">
        <v>9</v>
      </c>
      <c r="I25" s="68">
        <v>1.0557395348111085</v>
      </c>
      <c r="J25" s="69">
        <f t="shared" si="0"/>
        <v>9.5016558132999762</v>
      </c>
      <c r="K25" s="57" t="s">
        <v>159</v>
      </c>
      <c r="L25" s="57" t="s">
        <v>33</v>
      </c>
      <c r="M25" s="59" t="s">
        <v>438</v>
      </c>
      <c r="N25" s="59">
        <v>3</v>
      </c>
      <c r="O25" s="60">
        <v>2.75</v>
      </c>
      <c r="P25" s="60">
        <v>2.5</v>
      </c>
      <c r="Q25" s="60">
        <v>0.30555555555555558</v>
      </c>
      <c r="R25" s="60">
        <v>0.27777777777777779</v>
      </c>
    </row>
    <row r="26" spans="2:18" ht="37">
      <c r="B26" s="61" t="s">
        <v>29</v>
      </c>
      <c r="C26" s="62" t="s">
        <v>201</v>
      </c>
      <c r="D26" s="63" t="s">
        <v>206</v>
      </c>
      <c r="E26" s="64" t="s">
        <v>233</v>
      </c>
      <c r="F26" s="65" t="s">
        <v>328</v>
      </c>
      <c r="G26" s="66" t="s">
        <v>352</v>
      </c>
      <c r="H26" s="67">
        <v>36</v>
      </c>
      <c r="I26" s="68">
        <v>0.47420463393548867</v>
      </c>
      <c r="J26" s="69">
        <f t="shared" si="0"/>
        <v>17.071366821677593</v>
      </c>
      <c r="K26" s="57" t="s">
        <v>159</v>
      </c>
      <c r="L26" s="57" t="s">
        <v>33</v>
      </c>
      <c r="M26" s="59" t="s">
        <v>196</v>
      </c>
      <c r="N26" s="59">
        <v>2</v>
      </c>
      <c r="O26" s="60">
        <v>4</v>
      </c>
      <c r="P26" s="60">
        <v>3.75</v>
      </c>
      <c r="Q26" s="60">
        <v>0.1111111111111111</v>
      </c>
      <c r="R26" s="60">
        <v>0.10416666666666667</v>
      </c>
    </row>
    <row r="27" spans="2:18" ht="37">
      <c r="B27" s="61" t="s">
        <v>29</v>
      </c>
      <c r="C27" s="62" t="s">
        <v>201</v>
      </c>
      <c r="D27" s="63" t="s">
        <v>206</v>
      </c>
      <c r="E27" s="64" t="s">
        <v>234</v>
      </c>
      <c r="F27" s="65" t="s">
        <v>328</v>
      </c>
      <c r="G27" s="66" t="s">
        <v>353</v>
      </c>
      <c r="H27" s="67">
        <v>36</v>
      </c>
      <c r="I27" s="68">
        <v>0.47420463393548867</v>
      </c>
      <c r="J27" s="69">
        <f t="shared" si="0"/>
        <v>17.071366821677593</v>
      </c>
      <c r="K27" s="57" t="s">
        <v>159</v>
      </c>
      <c r="L27" s="57" t="s">
        <v>33</v>
      </c>
      <c r="M27" s="59" t="s">
        <v>196</v>
      </c>
      <c r="N27" s="59">
        <v>2</v>
      </c>
      <c r="O27" s="60">
        <v>4</v>
      </c>
      <c r="P27" s="60">
        <v>3.75</v>
      </c>
      <c r="Q27" s="60">
        <v>0.1111111111111111</v>
      </c>
      <c r="R27" s="60">
        <v>0.10416666666666667</v>
      </c>
    </row>
    <row r="28" spans="2:18" ht="37">
      <c r="B28" s="61" t="s">
        <v>29</v>
      </c>
      <c r="C28" s="62" t="s">
        <v>201</v>
      </c>
      <c r="D28" s="63" t="s">
        <v>206</v>
      </c>
      <c r="E28" s="64" t="s">
        <v>235</v>
      </c>
      <c r="F28" s="65" t="s">
        <v>328</v>
      </c>
      <c r="G28" s="66" t="s">
        <v>354</v>
      </c>
      <c r="H28" s="67">
        <v>36</v>
      </c>
      <c r="I28" s="68">
        <v>0.47420463393548867</v>
      </c>
      <c r="J28" s="69">
        <f t="shared" si="0"/>
        <v>17.071366821677593</v>
      </c>
      <c r="K28" s="57" t="s">
        <v>159</v>
      </c>
      <c r="L28" s="57" t="s">
        <v>33</v>
      </c>
      <c r="M28" s="59" t="s">
        <v>196</v>
      </c>
      <c r="N28" s="59">
        <v>2</v>
      </c>
      <c r="O28" s="60">
        <v>4</v>
      </c>
      <c r="P28" s="60">
        <v>3.75</v>
      </c>
      <c r="Q28" s="60">
        <v>0.1111111111111111</v>
      </c>
      <c r="R28" s="60">
        <v>0.10416666666666667</v>
      </c>
    </row>
    <row r="29" spans="2:18" ht="37">
      <c r="B29" s="61" t="s">
        <v>29</v>
      </c>
      <c r="C29" s="62" t="s">
        <v>201</v>
      </c>
      <c r="D29" s="63" t="s">
        <v>206</v>
      </c>
      <c r="E29" s="64" t="s">
        <v>236</v>
      </c>
      <c r="F29" s="65" t="s">
        <v>328</v>
      </c>
      <c r="G29" s="66" t="s">
        <v>355</v>
      </c>
      <c r="H29" s="67">
        <v>36</v>
      </c>
      <c r="I29" s="68">
        <v>0.47420463393548867</v>
      </c>
      <c r="J29" s="69">
        <f t="shared" si="0"/>
        <v>17.071366821677593</v>
      </c>
      <c r="K29" s="57" t="s">
        <v>159</v>
      </c>
      <c r="L29" s="57" t="s">
        <v>33</v>
      </c>
      <c r="M29" s="59" t="s">
        <v>196</v>
      </c>
      <c r="N29" s="59">
        <v>2</v>
      </c>
      <c r="O29" s="60">
        <v>4</v>
      </c>
      <c r="P29" s="60">
        <v>3.75</v>
      </c>
      <c r="Q29" s="60">
        <v>0.1111111111111111</v>
      </c>
      <c r="R29" s="60">
        <v>0.10416666666666667</v>
      </c>
    </row>
    <row r="30" spans="2:18" ht="18.5">
      <c r="B30" s="61" t="s">
        <v>29</v>
      </c>
      <c r="C30" s="62" t="s">
        <v>201</v>
      </c>
      <c r="D30" s="63" t="s">
        <v>207</v>
      </c>
      <c r="E30" s="64" t="s">
        <v>237</v>
      </c>
      <c r="F30" s="65" t="s">
        <v>37</v>
      </c>
      <c r="G30" s="66" t="s">
        <v>356</v>
      </c>
      <c r="H30" s="67">
        <v>8</v>
      </c>
      <c r="I30" s="68">
        <v>1.8788651092719693</v>
      </c>
      <c r="J30" s="69">
        <f t="shared" si="0"/>
        <v>15.030920874175754</v>
      </c>
      <c r="K30" s="57" t="s">
        <v>164</v>
      </c>
      <c r="L30" s="57" t="s">
        <v>44</v>
      </c>
      <c r="M30" s="59" t="s">
        <v>177</v>
      </c>
      <c r="N30" s="59">
        <v>4</v>
      </c>
      <c r="O30" s="60">
        <v>1.55</v>
      </c>
      <c r="P30" s="60">
        <v>1.32</v>
      </c>
      <c r="Q30" s="60">
        <v>0.19375000000000001</v>
      </c>
      <c r="R30" s="60">
        <v>0.16500000000000001</v>
      </c>
    </row>
    <row r="31" spans="2:18" ht="18.5">
      <c r="B31" s="61" t="s">
        <v>29</v>
      </c>
      <c r="C31" s="62" t="s">
        <v>201</v>
      </c>
      <c r="D31" s="63" t="s">
        <v>207</v>
      </c>
      <c r="E31" s="64" t="s">
        <v>238</v>
      </c>
      <c r="F31" s="65" t="s">
        <v>37</v>
      </c>
      <c r="G31" s="66" t="s">
        <v>357</v>
      </c>
      <c r="H31" s="67">
        <v>8</v>
      </c>
      <c r="I31" s="68">
        <v>2.6842324032027354</v>
      </c>
      <c r="J31" s="69">
        <f t="shared" si="0"/>
        <v>21.473859225621883</v>
      </c>
      <c r="K31" s="57" t="s">
        <v>164</v>
      </c>
      <c r="L31" s="57" t="s">
        <v>44</v>
      </c>
      <c r="M31" s="59" t="s">
        <v>177</v>
      </c>
      <c r="N31" s="59">
        <v>4</v>
      </c>
      <c r="O31" s="60">
        <v>1.55</v>
      </c>
      <c r="P31" s="60">
        <v>1.32</v>
      </c>
      <c r="Q31" s="60">
        <v>0.19375000000000001</v>
      </c>
      <c r="R31" s="60">
        <v>0.16500000000000001</v>
      </c>
    </row>
    <row r="32" spans="2:18" ht="18.5">
      <c r="B32" s="61" t="s">
        <v>29</v>
      </c>
      <c r="C32" s="62" t="s">
        <v>201</v>
      </c>
      <c r="D32" s="63" t="s">
        <v>208</v>
      </c>
      <c r="E32" s="64" t="s">
        <v>239</v>
      </c>
      <c r="F32" s="65" t="s">
        <v>58</v>
      </c>
      <c r="G32" s="66" t="s">
        <v>358</v>
      </c>
      <c r="H32" s="67">
        <v>6</v>
      </c>
      <c r="I32" s="68">
        <v>0.55479990711053262</v>
      </c>
      <c r="J32" s="69">
        <f t="shared" si="0"/>
        <v>3.3287994426631959</v>
      </c>
      <c r="K32" s="57" t="s">
        <v>155</v>
      </c>
      <c r="L32" s="57" t="s">
        <v>427</v>
      </c>
      <c r="M32" s="59" t="s">
        <v>170</v>
      </c>
      <c r="N32" s="59">
        <v>5</v>
      </c>
      <c r="O32" s="60">
        <v>0.8571428571428571</v>
      </c>
      <c r="P32" s="60">
        <v>0.78571428571428581</v>
      </c>
      <c r="Q32" s="60">
        <v>0.14285714285714285</v>
      </c>
      <c r="R32" s="60">
        <v>0.13095238095238096</v>
      </c>
    </row>
    <row r="33" spans="2:18" ht="18.5">
      <c r="B33" s="61" t="s">
        <v>29</v>
      </c>
      <c r="C33" s="62" t="s">
        <v>201</v>
      </c>
      <c r="D33" s="63" t="s">
        <v>208</v>
      </c>
      <c r="E33" s="64" t="s">
        <v>240</v>
      </c>
      <c r="F33" s="65" t="s">
        <v>58</v>
      </c>
      <c r="G33" s="66" t="s">
        <v>359</v>
      </c>
      <c r="H33" s="67">
        <v>6</v>
      </c>
      <c r="I33" s="68">
        <v>0.68886516781575102</v>
      </c>
      <c r="J33" s="69">
        <f t="shared" si="0"/>
        <v>4.1331910068945064</v>
      </c>
      <c r="K33" s="57" t="s">
        <v>155</v>
      </c>
      <c r="L33" s="57" t="s">
        <v>427</v>
      </c>
      <c r="M33" s="59" t="s">
        <v>170</v>
      </c>
      <c r="N33" s="59">
        <v>5</v>
      </c>
      <c r="O33" s="60">
        <v>0.8571428571428571</v>
      </c>
      <c r="P33" s="60">
        <v>0.78571428571428581</v>
      </c>
      <c r="Q33" s="60">
        <v>0.14285714285714285</v>
      </c>
      <c r="R33" s="60">
        <v>0.13095238095238096</v>
      </c>
    </row>
    <row r="34" spans="2:18" ht="18.5">
      <c r="B34" s="61" t="s">
        <v>29</v>
      </c>
      <c r="C34" s="62" t="s">
        <v>201</v>
      </c>
      <c r="D34" s="63" t="s">
        <v>208</v>
      </c>
      <c r="E34" s="64" t="s">
        <v>241</v>
      </c>
      <c r="F34" s="65" t="s">
        <v>58</v>
      </c>
      <c r="G34" s="66" t="s">
        <v>360</v>
      </c>
      <c r="H34" s="67">
        <v>6</v>
      </c>
      <c r="I34" s="68">
        <v>0.82312557446086065</v>
      </c>
      <c r="J34" s="69">
        <f t="shared" si="0"/>
        <v>4.9387534467651637</v>
      </c>
      <c r="K34" s="57" t="s">
        <v>155</v>
      </c>
      <c r="L34" s="57" t="s">
        <v>427</v>
      </c>
      <c r="M34" s="59" t="s">
        <v>170</v>
      </c>
      <c r="N34" s="59">
        <v>5</v>
      </c>
      <c r="O34" s="60">
        <v>0.8571428571428571</v>
      </c>
      <c r="P34" s="60">
        <v>0.78571428571428581</v>
      </c>
      <c r="Q34" s="60">
        <v>0.14285714285714285</v>
      </c>
      <c r="R34" s="60">
        <v>0.13095238095238096</v>
      </c>
    </row>
    <row r="35" spans="2:18" ht="18.5">
      <c r="B35" s="61" t="s">
        <v>29</v>
      </c>
      <c r="C35" s="62" t="s">
        <v>201</v>
      </c>
      <c r="D35" s="63" t="s">
        <v>208</v>
      </c>
      <c r="E35" s="64" t="s">
        <v>242</v>
      </c>
      <c r="F35" s="65" t="s">
        <v>58</v>
      </c>
      <c r="G35" s="66" t="s">
        <v>361</v>
      </c>
      <c r="H35" s="67">
        <v>6</v>
      </c>
      <c r="I35" s="68">
        <v>0.90372084763590466</v>
      </c>
      <c r="J35" s="69">
        <f t="shared" si="0"/>
        <v>5.4223250858154284</v>
      </c>
      <c r="K35" s="57" t="s">
        <v>155</v>
      </c>
      <c r="L35" s="57" t="s">
        <v>427</v>
      </c>
      <c r="M35" s="59" t="s">
        <v>170</v>
      </c>
      <c r="N35" s="59">
        <v>5</v>
      </c>
      <c r="O35" s="60">
        <v>0.8571428571428571</v>
      </c>
      <c r="P35" s="60">
        <v>0.78571428571428581</v>
      </c>
      <c r="Q35" s="60">
        <v>0.14285714285714285</v>
      </c>
      <c r="R35" s="60">
        <v>0.13095238095238096</v>
      </c>
    </row>
    <row r="36" spans="2:18" ht="18.5">
      <c r="B36" s="61" t="s">
        <v>29</v>
      </c>
      <c r="C36" s="62" t="s">
        <v>201</v>
      </c>
      <c r="D36" s="63" t="s">
        <v>209</v>
      </c>
      <c r="E36" s="64" t="s">
        <v>243</v>
      </c>
      <c r="F36" s="65" t="s">
        <v>58</v>
      </c>
      <c r="G36" s="66" t="s">
        <v>362</v>
      </c>
      <c r="H36" s="67">
        <v>6</v>
      </c>
      <c r="I36" s="68">
        <v>1.0736929612810941</v>
      </c>
      <c r="J36" s="69">
        <f t="shared" si="0"/>
        <v>6.4421577676865649</v>
      </c>
      <c r="K36" s="57" t="s">
        <v>155</v>
      </c>
      <c r="L36" s="57" t="s">
        <v>427</v>
      </c>
      <c r="M36" s="59" t="s">
        <v>170</v>
      </c>
      <c r="N36" s="59">
        <v>5</v>
      </c>
      <c r="O36" s="60">
        <v>0.8571428571428571</v>
      </c>
      <c r="P36" s="60">
        <v>0.78571428571428581</v>
      </c>
      <c r="Q36" s="60">
        <v>0.14285714285714285</v>
      </c>
      <c r="R36" s="60">
        <v>0.13095238095238096</v>
      </c>
    </row>
    <row r="37" spans="2:18" ht="18.5">
      <c r="B37" s="61" t="s">
        <v>29</v>
      </c>
      <c r="C37" s="62" t="s">
        <v>201</v>
      </c>
      <c r="D37" s="63" t="s">
        <v>209</v>
      </c>
      <c r="E37" s="64" t="s">
        <v>244</v>
      </c>
      <c r="F37" s="65" t="s">
        <v>58</v>
      </c>
      <c r="G37" s="66" t="s">
        <v>363</v>
      </c>
      <c r="H37" s="67">
        <v>6</v>
      </c>
      <c r="I37" s="68">
        <v>1.3332370613363203</v>
      </c>
      <c r="J37" s="69">
        <f t="shared" si="0"/>
        <v>7.9994223680179211</v>
      </c>
      <c r="K37" s="57" t="s">
        <v>155</v>
      </c>
      <c r="L37" s="57" t="s">
        <v>427</v>
      </c>
      <c r="M37" s="59" t="s">
        <v>170</v>
      </c>
      <c r="N37" s="59">
        <v>5</v>
      </c>
      <c r="O37" s="60">
        <v>0.8571428571428571</v>
      </c>
      <c r="P37" s="60">
        <v>0.78571428571428581</v>
      </c>
      <c r="Q37" s="60">
        <v>0.14285714285714285</v>
      </c>
      <c r="R37" s="60">
        <v>0.13095238095238096</v>
      </c>
    </row>
    <row r="38" spans="2:18" ht="18.5">
      <c r="B38" s="61" t="s">
        <v>29</v>
      </c>
      <c r="C38" s="62" t="s">
        <v>201</v>
      </c>
      <c r="D38" s="63" t="s">
        <v>209</v>
      </c>
      <c r="E38" s="64" t="s">
        <v>245</v>
      </c>
      <c r="F38" s="65" t="s">
        <v>58</v>
      </c>
      <c r="G38" s="66" t="s">
        <v>364</v>
      </c>
      <c r="H38" s="67">
        <v>6</v>
      </c>
      <c r="I38" s="68">
        <v>1.6015627286866483</v>
      </c>
      <c r="J38" s="69">
        <f t="shared" si="0"/>
        <v>9.6093763721198897</v>
      </c>
      <c r="K38" s="57" t="s">
        <v>155</v>
      </c>
      <c r="L38" s="57" t="s">
        <v>427</v>
      </c>
      <c r="M38" s="59" t="s">
        <v>170</v>
      </c>
      <c r="N38" s="59">
        <v>5</v>
      </c>
      <c r="O38" s="60">
        <v>0.8571428571428571</v>
      </c>
      <c r="P38" s="60">
        <v>0.78571428571428581</v>
      </c>
      <c r="Q38" s="60">
        <v>0.14285714285714285</v>
      </c>
      <c r="R38" s="60">
        <v>0.13095238095238096</v>
      </c>
    </row>
    <row r="39" spans="2:18" ht="18.5">
      <c r="B39" s="61" t="s">
        <v>29</v>
      </c>
      <c r="C39" s="62" t="s">
        <v>201</v>
      </c>
      <c r="D39" s="63" t="s">
        <v>84</v>
      </c>
      <c r="E39" s="64" t="s">
        <v>85</v>
      </c>
      <c r="F39" s="65" t="s">
        <v>93</v>
      </c>
      <c r="G39" s="66" t="s">
        <v>96</v>
      </c>
      <c r="H39" s="67">
        <v>8</v>
      </c>
      <c r="I39" s="68">
        <v>3.1851720309033111</v>
      </c>
      <c r="J39" s="69">
        <f t="shared" si="0"/>
        <v>25.481376247226489</v>
      </c>
      <c r="K39" s="57" t="s">
        <v>164</v>
      </c>
      <c r="L39" s="57" t="s">
        <v>44</v>
      </c>
      <c r="M39" s="59" t="s">
        <v>177</v>
      </c>
      <c r="N39" s="59">
        <v>4</v>
      </c>
      <c r="O39" s="60">
        <v>2.85</v>
      </c>
      <c r="P39" s="60">
        <v>2.38</v>
      </c>
      <c r="Q39" s="60">
        <v>0.35625000000000001</v>
      </c>
      <c r="R39" s="60">
        <v>0.29749999999999999</v>
      </c>
    </row>
    <row r="40" spans="2:18" ht="18.5">
      <c r="B40" s="61" t="s">
        <v>29</v>
      </c>
      <c r="C40" s="62" t="s">
        <v>201</v>
      </c>
      <c r="D40" s="63" t="s">
        <v>84</v>
      </c>
      <c r="E40" s="64" t="s">
        <v>86</v>
      </c>
      <c r="F40" s="65" t="s">
        <v>93</v>
      </c>
      <c r="G40" s="66" t="s">
        <v>97</v>
      </c>
      <c r="H40" s="67">
        <v>8</v>
      </c>
      <c r="I40" s="68">
        <v>4.0262510318341569</v>
      </c>
      <c r="J40" s="69">
        <f t="shared" si="0"/>
        <v>32.210008254673255</v>
      </c>
      <c r="K40" s="57" t="s">
        <v>164</v>
      </c>
      <c r="L40" s="57" t="s">
        <v>44</v>
      </c>
      <c r="M40" s="59" t="s">
        <v>177</v>
      </c>
      <c r="N40" s="59">
        <v>4</v>
      </c>
      <c r="O40" s="60">
        <v>2.85</v>
      </c>
      <c r="P40" s="60">
        <v>2.38</v>
      </c>
      <c r="Q40" s="60">
        <v>0.35625000000000001</v>
      </c>
      <c r="R40" s="60">
        <v>0.29749999999999999</v>
      </c>
    </row>
    <row r="41" spans="2:18" ht="18.5">
      <c r="B41" s="61" t="s">
        <v>29</v>
      </c>
      <c r="C41" s="62" t="s">
        <v>201</v>
      </c>
      <c r="D41" s="63" t="s">
        <v>47</v>
      </c>
      <c r="E41" s="64" t="s">
        <v>48</v>
      </c>
      <c r="F41" s="65" t="s">
        <v>39</v>
      </c>
      <c r="G41" s="66" t="s">
        <v>60</v>
      </c>
      <c r="H41" s="67">
        <v>4</v>
      </c>
      <c r="I41" s="68">
        <v>1.2883534951613564</v>
      </c>
      <c r="J41" s="69">
        <f t="shared" si="0"/>
        <v>5.1534139806454258</v>
      </c>
      <c r="K41" s="57" t="s">
        <v>159</v>
      </c>
      <c r="L41" s="57" t="s">
        <v>33</v>
      </c>
      <c r="M41" s="59" t="s">
        <v>188</v>
      </c>
      <c r="N41" s="59">
        <v>6</v>
      </c>
      <c r="O41" s="60">
        <v>1.3499999999999999</v>
      </c>
      <c r="P41" s="60">
        <v>1.1166666666666667</v>
      </c>
      <c r="Q41" s="60">
        <v>0.33749999999999997</v>
      </c>
      <c r="R41" s="60">
        <v>0.27916666666666667</v>
      </c>
    </row>
    <row r="42" spans="2:18" ht="18.5">
      <c r="B42" s="61" t="s">
        <v>29</v>
      </c>
      <c r="C42" s="62" t="s">
        <v>201</v>
      </c>
      <c r="D42" s="63" t="s">
        <v>47</v>
      </c>
      <c r="E42" s="64" t="s">
        <v>49</v>
      </c>
      <c r="F42" s="65" t="s">
        <v>39</v>
      </c>
      <c r="G42" s="66" t="s">
        <v>61</v>
      </c>
      <c r="H42" s="67">
        <v>4</v>
      </c>
      <c r="I42" s="68">
        <v>1.2883534951613564</v>
      </c>
      <c r="J42" s="69">
        <f t="shared" si="0"/>
        <v>5.1534139806454258</v>
      </c>
      <c r="K42" s="57" t="s">
        <v>159</v>
      </c>
      <c r="L42" s="57" t="s">
        <v>33</v>
      </c>
      <c r="M42" s="59" t="s">
        <v>188</v>
      </c>
      <c r="N42" s="59">
        <v>6</v>
      </c>
      <c r="O42" s="60">
        <v>1.3499999999999999</v>
      </c>
      <c r="P42" s="60">
        <v>1.1166666666666667</v>
      </c>
      <c r="Q42" s="60">
        <v>0.33749999999999997</v>
      </c>
      <c r="R42" s="60">
        <v>0.27916666666666667</v>
      </c>
    </row>
    <row r="43" spans="2:18" ht="18.5">
      <c r="B43" s="61" t="s">
        <v>29</v>
      </c>
      <c r="C43" s="62" t="s">
        <v>201</v>
      </c>
      <c r="D43" s="63" t="s">
        <v>47</v>
      </c>
      <c r="E43" s="64" t="s">
        <v>50</v>
      </c>
      <c r="F43" s="65" t="s">
        <v>39</v>
      </c>
      <c r="G43" s="66" t="s">
        <v>62</v>
      </c>
      <c r="H43" s="67">
        <v>4</v>
      </c>
      <c r="I43" s="68">
        <v>1.2883534951613564</v>
      </c>
      <c r="J43" s="69">
        <f t="shared" si="0"/>
        <v>5.1534139806454258</v>
      </c>
      <c r="K43" s="57" t="s">
        <v>159</v>
      </c>
      <c r="L43" s="57" t="s">
        <v>33</v>
      </c>
      <c r="M43" s="59" t="s">
        <v>188</v>
      </c>
      <c r="N43" s="59">
        <v>6</v>
      </c>
      <c r="O43" s="60">
        <v>1.3499999999999999</v>
      </c>
      <c r="P43" s="60">
        <v>1.1166666666666667</v>
      </c>
      <c r="Q43" s="60">
        <v>0.33749999999999997</v>
      </c>
      <c r="R43" s="60">
        <v>0.27916666666666667</v>
      </c>
    </row>
    <row r="44" spans="2:18" ht="18.5">
      <c r="B44" s="61" t="s">
        <v>29</v>
      </c>
      <c r="C44" s="62" t="s">
        <v>201</v>
      </c>
      <c r="D44" s="63" t="s">
        <v>47</v>
      </c>
      <c r="E44" s="64" t="s">
        <v>51</v>
      </c>
      <c r="F44" s="65" t="s">
        <v>39</v>
      </c>
      <c r="G44" s="66" t="s">
        <v>63</v>
      </c>
      <c r="H44" s="67">
        <v>4</v>
      </c>
      <c r="I44" s="68">
        <v>1.2883534951613564</v>
      </c>
      <c r="J44" s="69">
        <f t="shared" si="0"/>
        <v>5.1534139806454258</v>
      </c>
      <c r="K44" s="57" t="s">
        <v>159</v>
      </c>
      <c r="L44" s="57" t="s">
        <v>33</v>
      </c>
      <c r="M44" s="59" t="s">
        <v>188</v>
      </c>
      <c r="N44" s="59">
        <v>6</v>
      </c>
      <c r="O44" s="60">
        <v>1.3499999999999999</v>
      </c>
      <c r="P44" s="60">
        <v>1.1166666666666667</v>
      </c>
      <c r="Q44" s="60">
        <v>0.33749999999999997</v>
      </c>
      <c r="R44" s="60">
        <v>0.27916666666666667</v>
      </c>
    </row>
    <row r="45" spans="2:18" ht="18.5">
      <c r="B45" s="61" t="s">
        <v>29</v>
      </c>
      <c r="C45" s="62" t="s">
        <v>201</v>
      </c>
      <c r="D45" s="63" t="s">
        <v>47</v>
      </c>
      <c r="E45" s="64" t="s">
        <v>52</v>
      </c>
      <c r="F45" s="65" t="s">
        <v>39</v>
      </c>
      <c r="G45" s="66" t="s">
        <v>64</v>
      </c>
      <c r="H45" s="67">
        <v>4</v>
      </c>
      <c r="I45" s="68">
        <v>1.2883534951613564</v>
      </c>
      <c r="J45" s="69">
        <f t="shared" si="0"/>
        <v>5.1534139806454258</v>
      </c>
      <c r="K45" s="57" t="s">
        <v>159</v>
      </c>
      <c r="L45" s="57" t="s">
        <v>33</v>
      </c>
      <c r="M45" s="59" t="s">
        <v>188</v>
      </c>
      <c r="N45" s="59">
        <v>6</v>
      </c>
      <c r="O45" s="60">
        <v>1.3499999999999999</v>
      </c>
      <c r="P45" s="60">
        <v>1.1166666666666667</v>
      </c>
      <c r="Q45" s="60">
        <v>0.33749999999999997</v>
      </c>
      <c r="R45" s="60">
        <v>0.27916666666666667</v>
      </c>
    </row>
    <row r="46" spans="2:18" ht="18.5">
      <c r="B46" s="61" t="s">
        <v>29</v>
      </c>
      <c r="C46" s="62" t="s">
        <v>201</v>
      </c>
      <c r="D46" s="63" t="s">
        <v>47</v>
      </c>
      <c r="E46" s="64" t="s">
        <v>53</v>
      </c>
      <c r="F46" s="65" t="s">
        <v>39</v>
      </c>
      <c r="G46" s="66" t="s">
        <v>65</v>
      </c>
      <c r="H46" s="67">
        <v>4</v>
      </c>
      <c r="I46" s="68">
        <v>1.2883534951613564</v>
      </c>
      <c r="J46" s="69">
        <f t="shared" si="0"/>
        <v>5.1534139806454258</v>
      </c>
      <c r="K46" s="57" t="s">
        <v>159</v>
      </c>
      <c r="L46" s="57" t="s">
        <v>33</v>
      </c>
      <c r="M46" s="59" t="s">
        <v>188</v>
      </c>
      <c r="N46" s="59">
        <v>6</v>
      </c>
      <c r="O46" s="60">
        <v>1.3499999999999999</v>
      </c>
      <c r="P46" s="60">
        <v>1.1166666666666667</v>
      </c>
      <c r="Q46" s="60">
        <v>0.33749999999999997</v>
      </c>
      <c r="R46" s="60">
        <v>0.27916666666666667</v>
      </c>
    </row>
    <row r="47" spans="2:18" ht="37">
      <c r="B47" s="61" t="s">
        <v>29</v>
      </c>
      <c r="C47" s="62" t="s">
        <v>201</v>
      </c>
      <c r="D47" s="63" t="s">
        <v>210</v>
      </c>
      <c r="E47" s="64" t="s">
        <v>246</v>
      </c>
      <c r="F47" s="65" t="s">
        <v>328</v>
      </c>
      <c r="G47" s="66" t="s">
        <v>365</v>
      </c>
      <c r="H47" s="67">
        <v>16</v>
      </c>
      <c r="I47" s="68">
        <v>0.66213017405066388</v>
      </c>
      <c r="J47" s="69">
        <f t="shared" si="0"/>
        <v>10.594082784810622</v>
      </c>
      <c r="K47" s="57" t="s">
        <v>159</v>
      </c>
      <c r="L47" s="57" t="s">
        <v>33</v>
      </c>
      <c r="M47" s="59" t="s">
        <v>438</v>
      </c>
      <c r="N47" s="59">
        <v>3</v>
      </c>
      <c r="O47" s="60">
        <v>1.8333333333333333</v>
      </c>
      <c r="P47" s="60">
        <v>1.5</v>
      </c>
      <c r="Q47" s="60">
        <v>0.11458333333333333</v>
      </c>
      <c r="R47" s="60">
        <v>9.375E-2</v>
      </c>
    </row>
    <row r="48" spans="2:18" ht="37">
      <c r="B48" s="61" t="s">
        <v>29</v>
      </c>
      <c r="C48" s="62" t="s">
        <v>201</v>
      </c>
      <c r="D48" s="63" t="s">
        <v>210</v>
      </c>
      <c r="E48" s="64" t="s">
        <v>247</v>
      </c>
      <c r="F48" s="65" t="s">
        <v>328</v>
      </c>
      <c r="G48" s="66" t="s">
        <v>366</v>
      </c>
      <c r="H48" s="67">
        <v>16</v>
      </c>
      <c r="I48" s="68">
        <v>0.66213017405066388</v>
      </c>
      <c r="J48" s="69">
        <f t="shared" si="0"/>
        <v>10.594082784810622</v>
      </c>
      <c r="K48" s="57" t="s">
        <v>159</v>
      </c>
      <c r="L48" s="57" t="s">
        <v>33</v>
      </c>
      <c r="M48" s="59" t="s">
        <v>438</v>
      </c>
      <c r="N48" s="59">
        <v>3</v>
      </c>
      <c r="O48" s="60">
        <v>1.8333333333333333</v>
      </c>
      <c r="P48" s="60">
        <v>1.5</v>
      </c>
      <c r="Q48" s="60">
        <v>0.11458333333333333</v>
      </c>
      <c r="R48" s="60">
        <v>9.375E-2</v>
      </c>
    </row>
    <row r="49" spans="2:18" ht="37">
      <c r="B49" s="61" t="s">
        <v>29</v>
      </c>
      <c r="C49" s="62" t="s">
        <v>201</v>
      </c>
      <c r="D49" s="63" t="s">
        <v>210</v>
      </c>
      <c r="E49" s="64" t="s">
        <v>248</v>
      </c>
      <c r="F49" s="65" t="s">
        <v>328</v>
      </c>
      <c r="G49" s="66" t="s">
        <v>367</v>
      </c>
      <c r="H49" s="67">
        <v>16</v>
      </c>
      <c r="I49" s="68">
        <v>0.66213017405066388</v>
      </c>
      <c r="J49" s="69">
        <f t="shared" si="0"/>
        <v>10.594082784810622</v>
      </c>
      <c r="K49" s="57" t="s">
        <v>159</v>
      </c>
      <c r="L49" s="57" t="s">
        <v>33</v>
      </c>
      <c r="M49" s="59" t="s">
        <v>438</v>
      </c>
      <c r="N49" s="59">
        <v>3</v>
      </c>
      <c r="O49" s="60">
        <v>1.8333333333333333</v>
      </c>
      <c r="P49" s="60">
        <v>1.5</v>
      </c>
      <c r="Q49" s="60">
        <v>0.11458333333333333</v>
      </c>
      <c r="R49" s="60">
        <v>9.375E-2</v>
      </c>
    </row>
    <row r="50" spans="2:18" ht="37">
      <c r="B50" s="61" t="s">
        <v>29</v>
      </c>
      <c r="C50" s="62" t="s">
        <v>201</v>
      </c>
      <c r="D50" s="63" t="s">
        <v>211</v>
      </c>
      <c r="E50" s="64" t="s">
        <v>249</v>
      </c>
      <c r="F50" s="65" t="s">
        <v>328</v>
      </c>
      <c r="G50" s="66" t="s">
        <v>368</v>
      </c>
      <c r="H50" s="67">
        <v>12</v>
      </c>
      <c r="I50" s="68">
        <v>0.90372084763590466</v>
      </c>
      <c r="J50" s="69">
        <f t="shared" si="0"/>
        <v>10.844650171630857</v>
      </c>
      <c r="K50" s="57" t="s">
        <v>159</v>
      </c>
      <c r="L50" s="57" t="s">
        <v>33</v>
      </c>
      <c r="M50" s="59" t="s">
        <v>438</v>
      </c>
      <c r="N50" s="59">
        <v>3</v>
      </c>
      <c r="O50" s="60">
        <v>2.1666666666666665</v>
      </c>
      <c r="P50" s="60">
        <v>1.8333333333333335</v>
      </c>
      <c r="Q50" s="60">
        <v>0.18055555555555555</v>
      </c>
      <c r="R50" s="60">
        <v>0.15277777777777779</v>
      </c>
    </row>
    <row r="51" spans="2:18" ht="37">
      <c r="B51" s="61" t="s">
        <v>29</v>
      </c>
      <c r="C51" s="62" t="s">
        <v>201</v>
      </c>
      <c r="D51" s="63" t="s">
        <v>211</v>
      </c>
      <c r="E51" s="64" t="s">
        <v>250</v>
      </c>
      <c r="F51" s="65" t="s">
        <v>328</v>
      </c>
      <c r="G51" s="66" t="s">
        <v>369</v>
      </c>
      <c r="H51" s="67">
        <v>12</v>
      </c>
      <c r="I51" s="68">
        <v>0.90372084763590466</v>
      </c>
      <c r="J51" s="69">
        <f t="shared" si="0"/>
        <v>10.844650171630857</v>
      </c>
      <c r="K51" s="57" t="s">
        <v>159</v>
      </c>
      <c r="L51" s="57" t="s">
        <v>33</v>
      </c>
      <c r="M51" s="59" t="s">
        <v>438</v>
      </c>
      <c r="N51" s="59">
        <v>3</v>
      </c>
      <c r="O51" s="60">
        <v>2.1666666666666665</v>
      </c>
      <c r="P51" s="60">
        <v>1.8333333333333335</v>
      </c>
      <c r="Q51" s="60">
        <v>0.18055555555555555</v>
      </c>
      <c r="R51" s="60">
        <v>0.15277777777777779</v>
      </c>
    </row>
    <row r="52" spans="2:18" ht="37">
      <c r="B52" s="61" t="s">
        <v>29</v>
      </c>
      <c r="C52" s="62" t="s">
        <v>201</v>
      </c>
      <c r="D52" s="63" t="s">
        <v>211</v>
      </c>
      <c r="E52" s="64" t="s">
        <v>251</v>
      </c>
      <c r="F52" s="65" t="s">
        <v>328</v>
      </c>
      <c r="G52" s="66" t="s">
        <v>370</v>
      </c>
      <c r="H52" s="67">
        <v>12</v>
      </c>
      <c r="I52" s="68">
        <v>0.90372084763590466</v>
      </c>
      <c r="J52" s="69">
        <f t="shared" si="0"/>
        <v>10.844650171630857</v>
      </c>
      <c r="K52" s="57" t="s">
        <v>159</v>
      </c>
      <c r="L52" s="57" t="s">
        <v>33</v>
      </c>
      <c r="M52" s="59" t="s">
        <v>438</v>
      </c>
      <c r="N52" s="59">
        <v>3</v>
      </c>
      <c r="O52" s="60">
        <v>2.1666666666666665</v>
      </c>
      <c r="P52" s="60">
        <v>1.8333333333333335</v>
      </c>
      <c r="Q52" s="60">
        <v>0.18055555555555555</v>
      </c>
      <c r="R52" s="60">
        <v>0.15277777777777779</v>
      </c>
    </row>
    <row r="53" spans="2:18" ht="18.5">
      <c r="B53" s="61" t="s">
        <v>200</v>
      </c>
      <c r="C53" s="62" t="s">
        <v>201</v>
      </c>
      <c r="D53" s="63"/>
      <c r="E53" s="64" t="s">
        <v>252</v>
      </c>
      <c r="F53" s="65" t="s">
        <v>329</v>
      </c>
      <c r="G53" s="66" t="s">
        <v>371</v>
      </c>
      <c r="H53" s="67">
        <v>25</v>
      </c>
      <c r="I53" s="68">
        <v>1.1094046682811742</v>
      </c>
      <c r="J53" s="69">
        <f t="shared" si="0"/>
        <v>27.735116707029356</v>
      </c>
      <c r="K53" s="57" t="s">
        <v>457</v>
      </c>
      <c r="L53" s="57" t="s">
        <v>428</v>
      </c>
      <c r="M53" s="59" t="s">
        <v>439</v>
      </c>
      <c r="N53" s="59">
        <v>7</v>
      </c>
      <c r="O53" s="60">
        <v>4.1399999999999997</v>
      </c>
      <c r="P53" s="60">
        <v>2.02</v>
      </c>
      <c r="Q53" s="60">
        <v>0.1656</v>
      </c>
      <c r="R53" s="60">
        <v>8.0799999999999997E-2</v>
      </c>
    </row>
    <row r="54" spans="2:18" ht="18.5">
      <c r="B54" s="61" t="s">
        <v>29</v>
      </c>
      <c r="C54" s="62" t="s">
        <v>201</v>
      </c>
      <c r="D54" s="63"/>
      <c r="E54" s="64" t="s">
        <v>253</v>
      </c>
      <c r="F54" s="65" t="s">
        <v>42</v>
      </c>
      <c r="G54" s="66" t="s">
        <v>372</v>
      </c>
      <c r="H54" s="67">
        <v>12</v>
      </c>
      <c r="I54" s="68">
        <v>1.8611068287418748</v>
      </c>
      <c r="J54" s="69">
        <f t="shared" si="0"/>
        <v>22.333281944902499</v>
      </c>
      <c r="K54" s="57" t="s">
        <v>161</v>
      </c>
      <c r="L54" s="57" t="s">
        <v>30</v>
      </c>
      <c r="M54" s="59" t="s">
        <v>440</v>
      </c>
      <c r="N54" s="59">
        <v>8</v>
      </c>
      <c r="O54" s="60">
        <v>20</v>
      </c>
      <c r="P54" s="60">
        <v>19</v>
      </c>
      <c r="Q54" s="60">
        <v>1.6666666666666667</v>
      </c>
      <c r="R54" s="60">
        <v>1.5833333333333333</v>
      </c>
    </row>
    <row r="55" spans="2:18" ht="37">
      <c r="B55" s="61" t="s">
        <v>29</v>
      </c>
      <c r="C55" s="62" t="s">
        <v>201</v>
      </c>
      <c r="D55" s="63"/>
      <c r="E55" s="64" t="s">
        <v>254</v>
      </c>
      <c r="F55" s="65" t="s">
        <v>59</v>
      </c>
      <c r="G55" s="66" t="s">
        <v>373</v>
      </c>
      <c r="H55" s="67">
        <v>8</v>
      </c>
      <c r="I55" s="68">
        <v>2.2190044825022395</v>
      </c>
      <c r="J55" s="69">
        <f t="shared" si="0"/>
        <v>17.752035860017916</v>
      </c>
      <c r="K55" s="57" t="s">
        <v>161</v>
      </c>
      <c r="L55" s="57" t="s">
        <v>30</v>
      </c>
      <c r="M55" s="59" t="s">
        <v>440</v>
      </c>
      <c r="N55" s="59">
        <v>8</v>
      </c>
      <c r="O55" s="60">
        <v>13.15</v>
      </c>
      <c r="P55" s="60">
        <v>12.15</v>
      </c>
      <c r="Q55" s="60">
        <v>1.64375</v>
      </c>
      <c r="R55" s="60">
        <v>1.51875</v>
      </c>
    </row>
    <row r="56" spans="2:18" ht="18.5">
      <c r="B56" s="61" t="s">
        <v>29</v>
      </c>
      <c r="C56" s="62" t="s">
        <v>201</v>
      </c>
      <c r="D56" s="63"/>
      <c r="E56" s="64" t="s">
        <v>255</v>
      </c>
      <c r="F56" s="65" t="s">
        <v>330</v>
      </c>
      <c r="G56" s="66" t="s">
        <v>374</v>
      </c>
      <c r="H56" s="67">
        <v>48</v>
      </c>
      <c r="I56" s="68">
        <v>1.6821580018616924</v>
      </c>
      <c r="J56" s="69">
        <f t="shared" si="0"/>
        <v>80.743584089361235</v>
      </c>
      <c r="K56" s="57" t="s">
        <v>163</v>
      </c>
      <c r="L56" s="57" t="s">
        <v>148</v>
      </c>
      <c r="M56" s="59" t="s">
        <v>441</v>
      </c>
      <c r="N56" s="59">
        <v>9</v>
      </c>
      <c r="O56" s="60">
        <v>16</v>
      </c>
      <c r="P56" s="60">
        <v>14</v>
      </c>
      <c r="Q56" s="60">
        <v>0.33333333333333331</v>
      </c>
      <c r="R56" s="60">
        <v>0.29166666666666669</v>
      </c>
    </row>
    <row r="57" spans="2:18" ht="18.5">
      <c r="B57" s="61" t="s">
        <v>29</v>
      </c>
      <c r="C57" s="62" t="s">
        <v>201</v>
      </c>
      <c r="D57" s="63"/>
      <c r="E57" s="64" t="s">
        <v>256</v>
      </c>
      <c r="F57" s="65" t="s">
        <v>56</v>
      </c>
      <c r="G57" s="66" t="s">
        <v>375</v>
      </c>
      <c r="H57" s="67">
        <v>2</v>
      </c>
      <c r="I57" s="68">
        <v>16.865878146972214</v>
      </c>
      <c r="J57" s="69">
        <f t="shared" si="0"/>
        <v>33.731756293944429</v>
      </c>
      <c r="K57" s="57" t="s">
        <v>160</v>
      </c>
      <c r="L57" s="57" t="s">
        <v>43</v>
      </c>
      <c r="M57" s="59" t="s">
        <v>442</v>
      </c>
      <c r="N57" s="59">
        <v>10</v>
      </c>
      <c r="O57" s="60">
        <v>6.6</v>
      </c>
      <c r="P57" s="60">
        <v>5.6000000000000023</v>
      </c>
      <c r="Q57" s="60">
        <v>3.3</v>
      </c>
      <c r="R57" s="60">
        <v>2.8000000000000012</v>
      </c>
    </row>
    <row r="58" spans="2:18" ht="18.5">
      <c r="B58" s="61" t="s">
        <v>29</v>
      </c>
      <c r="C58" s="62" t="s">
        <v>201</v>
      </c>
      <c r="D58" s="63"/>
      <c r="E58" s="64" t="s">
        <v>257</v>
      </c>
      <c r="F58" s="65" t="s">
        <v>56</v>
      </c>
      <c r="G58" s="66" t="s">
        <v>376</v>
      </c>
      <c r="H58" s="67">
        <v>2</v>
      </c>
      <c r="I58" s="68">
        <v>33.731561148004538</v>
      </c>
      <c r="J58" s="69">
        <f t="shared" si="0"/>
        <v>67.463122296009075</v>
      </c>
      <c r="K58" s="57" t="s">
        <v>160</v>
      </c>
      <c r="L58" s="57" t="s">
        <v>43</v>
      </c>
      <c r="M58" s="59" t="s">
        <v>174</v>
      </c>
      <c r="N58" s="59">
        <v>11</v>
      </c>
      <c r="O58" s="60">
        <v>12</v>
      </c>
      <c r="P58" s="60">
        <v>9.8000000000000007</v>
      </c>
      <c r="Q58" s="60">
        <v>6</v>
      </c>
      <c r="R58" s="60">
        <v>4.9000000000000004</v>
      </c>
    </row>
    <row r="59" spans="2:18" ht="18.5">
      <c r="B59" s="61" t="s">
        <v>29</v>
      </c>
      <c r="C59" s="62" t="s">
        <v>201</v>
      </c>
      <c r="D59" s="63"/>
      <c r="E59" s="64" t="s">
        <v>258</v>
      </c>
      <c r="F59" s="65" t="s">
        <v>56</v>
      </c>
      <c r="G59" s="66" t="s">
        <v>377</v>
      </c>
      <c r="H59" s="67">
        <v>2</v>
      </c>
      <c r="I59" s="68">
        <v>10.817329740046095</v>
      </c>
      <c r="J59" s="69">
        <f t="shared" si="0"/>
        <v>21.634659480092189</v>
      </c>
      <c r="K59" s="57" t="s">
        <v>160</v>
      </c>
      <c r="L59" s="57" t="s">
        <v>43</v>
      </c>
      <c r="M59" s="59" t="s">
        <v>442</v>
      </c>
      <c r="N59" s="59">
        <v>10</v>
      </c>
      <c r="O59" s="60">
        <v>4.8</v>
      </c>
      <c r="P59" s="60">
        <v>3.8</v>
      </c>
      <c r="Q59" s="60">
        <v>2.4</v>
      </c>
      <c r="R59" s="60">
        <v>1.9</v>
      </c>
    </row>
    <row r="60" spans="2:18" ht="18.5">
      <c r="B60" s="61" t="s">
        <v>29</v>
      </c>
      <c r="C60" s="62" t="s">
        <v>201</v>
      </c>
      <c r="D60" s="63"/>
      <c r="E60" s="64" t="s">
        <v>87</v>
      </c>
      <c r="F60" s="65" t="s">
        <v>56</v>
      </c>
      <c r="G60" s="66" t="s">
        <v>98</v>
      </c>
      <c r="H60" s="67">
        <v>2</v>
      </c>
      <c r="I60" s="68">
        <v>6.8000554214469293</v>
      </c>
      <c r="J60" s="69">
        <f t="shared" si="0"/>
        <v>13.600110842893859</v>
      </c>
      <c r="K60" s="57" t="s">
        <v>160</v>
      </c>
      <c r="L60" s="57" t="s">
        <v>43</v>
      </c>
      <c r="M60" s="59" t="s">
        <v>189</v>
      </c>
      <c r="N60" s="59">
        <v>12</v>
      </c>
      <c r="O60" s="60">
        <v>2.5</v>
      </c>
      <c r="P60" s="60">
        <v>2</v>
      </c>
      <c r="Q60" s="60">
        <v>1.25</v>
      </c>
      <c r="R60" s="60">
        <v>1</v>
      </c>
    </row>
    <row r="61" spans="2:18" ht="18.5">
      <c r="B61" s="61" t="s">
        <v>29</v>
      </c>
      <c r="C61" s="62" t="s">
        <v>201</v>
      </c>
      <c r="D61" s="63"/>
      <c r="E61" s="64" t="s">
        <v>54</v>
      </c>
      <c r="F61" s="65" t="s">
        <v>35</v>
      </c>
      <c r="G61" s="66" t="s">
        <v>66</v>
      </c>
      <c r="H61" s="67">
        <v>3</v>
      </c>
      <c r="I61" s="68">
        <v>22.100082546732576</v>
      </c>
      <c r="J61" s="69">
        <f t="shared" si="0"/>
        <v>66.300247640197725</v>
      </c>
      <c r="K61" s="57" t="s">
        <v>160</v>
      </c>
      <c r="L61" s="57" t="s">
        <v>43</v>
      </c>
      <c r="M61" s="59" t="s">
        <v>192</v>
      </c>
      <c r="N61" s="59">
        <v>13</v>
      </c>
      <c r="O61" s="60">
        <v>16.799999999999997</v>
      </c>
      <c r="P61" s="60">
        <v>9.8999999999999986</v>
      </c>
      <c r="Q61" s="60">
        <v>5.5999999999999988</v>
      </c>
      <c r="R61" s="60">
        <v>3.2999999999999994</v>
      </c>
    </row>
    <row r="62" spans="2:18" ht="18.5">
      <c r="B62" s="61" t="s">
        <v>29</v>
      </c>
      <c r="C62" s="62" t="s">
        <v>201</v>
      </c>
      <c r="D62" s="63"/>
      <c r="E62" s="64" t="s">
        <v>74</v>
      </c>
      <c r="F62" s="65" t="s">
        <v>35</v>
      </c>
      <c r="G62" s="66" t="s">
        <v>82</v>
      </c>
      <c r="H62" s="67">
        <v>3</v>
      </c>
      <c r="I62" s="68">
        <v>14.423236417354721</v>
      </c>
      <c r="J62" s="69">
        <f t="shared" si="0"/>
        <v>43.26970925206416</v>
      </c>
      <c r="K62" s="57" t="s">
        <v>160</v>
      </c>
      <c r="L62" s="57" t="s">
        <v>43</v>
      </c>
      <c r="M62" s="59" t="s">
        <v>193</v>
      </c>
      <c r="N62" s="59">
        <v>14</v>
      </c>
      <c r="O62" s="60">
        <v>8.3999999999999986</v>
      </c>
      <c r="P62" s="60">
        <v>5.4</v>
      </c>
      <c r="Q62" s="60">
        <v>2.7999999999999994</v>
      </c>
      <c r="R62" s="60">
        <v>1.8</v>
      </c>
    </row>
    <row r="63" spans="2:18" ht="18.5">
      <c r="B63" s="61" t="s">
        <v>29</v>
      </c>
      <c r="C63" s="62" t="s">
        <v>201</v>
      </c>
      <c r="D63" s="63"/>
      <c r="E63" s="64" t="s">
        <v>259</v>
      </c>
      <c r="F63" s="65" t="s">
        <v>35</v>
      </c>
      <c r="G63" s="66" t="s">
        <v>378</v>
      </c>
      <c r="H63" s="67">
        <v>2</v>
      </c>
      <c r="I63" s="68">
        <v>11.049943700396343</v>
      </c>
      <c r="J63" s="69">
        <f t="shared" si="0"/>
        <v>22.099887400792685</v>
      </c>
      <c r="K63" s="57" t="s">
        <v>458</v>
      </c>
      <c r="L63" s="57" t="s">
        <v>43</v>
      </c>
      <c r="M63" s="59" t="s">
        <v>443</v>
      </c>
      <c r="N63" s="59">
        <v>15</v>
      </c>
      <c r="O63" s="60">
        <v>4.6000000000000023</v>
      </c>
      <c r="P63" s="60">
        <v>2.8</v>
      </c>
      <c r="Q63" s="60">
        <v>2.3000000000000012</v>
      </c>
      <c r="R63" s="60">
        <v>1.4</v>
      </c>
    </row>
    <row r="64" spans="2:18" ht="18.5">
      <c r="B64" s="61" t="s">
        <v>29</v>
      </c>
      <c r="C64" s="62" t="s">
        <v>201</v>
      </c>
      <c r="D64" s="63"/>
      <c r="E64" s="64" t="s">
        <v>260</v>
      </c>
      <c r="F64" s="65" t="s">
        <v>35</v>
      </c>
      <c r="G64" s="66" t="s">
        <v>379</v>
      </c>
      <c r="H64" s="67">
        <v>2</v>
      </c>
      <c r="I64" s="68">
        <v>13.957813350714332</v>
      </c>
      <c r="J64" s="69">
        <f t="shared" si="0"/>
        <v>27.915626701428664</v>
      </c>
      <c r="K64" s="57" t="s">
        <v>160</v>
      </c>
      <c r="L64" s="57" t="s">
        <v>43</v>
      </c>
      <c r="M64" s="59" t="s">
        <v>190</v>
      </c>
      <c r="N64" s="59">
        <v>16</v>
      </c>
      <c r="O64" s="60">
        <v>6.6</v>
      </c>
      <c r="P64" s="60">
        <v>5.4</v>
      </c>
      <c r="Q64" s="60">
        <v>3.3</v>
      </c>
      <c r="R64" s="60">
        <v>2.7</v>
      </c>
    </row>
    <row r="65" spans="2:18" ht="18.5">
      <c r="B65" s="61" t="s">
        <v>29</v>
      </c>
      <c r="C65" s="62" t="s">
        <v>201</v>
      </c>
      <c r="D65" s="63"/>
      <c r="E65" s="64" t="s">
        <v>55</v>
      </c>
      <c r="F65" s="65" t="s">
        <v>35</v>
      </c>
      <c r="G65" s="66" t="s">
        <v>67</v>
      </c>
      <c r="H65" s="67">
        <v>2</v>
      </c>
      <c r="I65" s="68">
        <v>11.398864640921714</v>
      </c>
      <c r="J65" s="69">
        <f t="shared" si="0"/>
        <v>22.797729281843427</v>
      </c>
      <c r="K65" s="57" t="s">
        <v>160</v>
      </c>
      <c r="L65" s="57" t="s">
        <v>43</v>
      </c>
      <c r="M65" s="59" t="s">
        <v>174</v>
      </c>
      <c r="N65" s="59">
        <v>11</v>
      </c>
      <c r="O65" s="60">
        <v>4</v>
      </c>
      <c r="P65" s="60">
        <v>2.8</v>
      </c>
      <c r="Q65" s="60">
        <v>2</v>
      </c>
      <c r="R65" s="60">
        <v>1.4</v>
      </c>
    </row>
    <row r="66" spans="2:18" ht="18.5">
      <c r="B66" s="61" t="s">
        <v>29</v>
      </c>
      <c r="C66" s="62" t="s">
        <v>201</v>
      </c>
      <c r="D66" s="63"/>
      <c r="E66" s="64" t="s">
        <v>261</v>
      </c>
      <c r="F66" s="65" t="s">
        <v>35</v>
      </c>
      <c r="G66" s="66" t="s">
        <v>380</v>
      </c>
      <c r="H66" s="67">
        <v>2</v>
      </c>
      <c r="I66" s="68">
        <v>10.235794839170474</v>
      </c>
      <c r="J66" s="69">
        <f t="shared" si="0"/>
        <v>20.471589678340948</v>
      </c>
      <c r="K66" s="57" t="s">
        <v>160</v>
      </c>
      <c r="L66" s="57" t="s">
        <v>43</v>
      </c>
      <c r="M66" s="59" t="s">
        <v>442</v>
      </c>
      <c r="N66" s="59">
        <v>10</v>
      </c>
      <c r="O66" s="60">
        <v>4</v>
      </c>
      <c r="P66" s="60">
        <v>2.8</v>
      </c>
      <c r="Q66" s="60">
        <v>2</v>
      </c>
      <c r="R66" s="60">
        <v>1.4</v>
      </c>
    </row>
    <row r="67" spans="2:18" ht="18.5">
      <c r="B67" s="61" t="s">
        <v>29</v>
      </c>
      <c r="C67" s="62" t="s">
        <v>201</v>
      </c>
      <c r="D67" s="63"/>
      <c r="E67" s="64" t="s">
        <v>262</v>
      </c>
      <c r="F67" s="65" t="s">
        <v>35</v>
      </c>
      <c r="G67" s="66" t="s">
        <v>381</v>
      </c>
      <c r="H67" s="67">
        <v>2</v>
      </c>
      <c r="I67" s="68">
        <v>8.7236089509539703</v>
      </c>
      <c r="J67" s="69">
        <f t="shared" si="0"/>
        <v>17.447217901907941</v>
      </c>
      <c r="K67" s="57" t="s">
        <v>160</v>
      </c>
      <c r="L67" s="57" t="s">
        <v>43</v>
      </c>
      <c r="M67" s="59" t="s">
        <v>190</v>
      </c>
      <c r="N67" s="59">
        <v>16</v>
      </c>
      <c r="O67" s="60">
        <v>4</v>
      </c>
      <c r="P67" s="60">
        <v>3</v>
      </c>
      <c r="Q67" s="60">
        <v>2</v>
      </c>
      <c r="R67" s="60">
        <v>1.5</v>
      </c>
    </row>
    <row r="68" spans="2:18" ht="18.5">
      <c r="B68" s="61" t="s">
        <v>29</v>
      </c>
      <c r="C68" s="62" t="s">
        <v>201</v>
      </c>
      <c r="D68" s="63"/>
      <c r="E68" s="64" t="s">
        <v>69</v>
      </c>
      <c r="F68" s="65" t="s">
        <v>75</v>
      </c>
      <c r="G68" s="66" t="s">
        <v>77</v>
      </c>
      <c r="H68" s="67">
        <v>24</v>
      </c>
      <c r="I68" s="68">
        <v>0.9304558414009918</v>
      </c>
      <c r="J68" s="69">
        <f t="shared" si="0"/>
        <v>22.330940193623803</v>
      </c>
      <c r="K68" s="57" t="s">
        <v>158</v>
      </c>
      <c r="L68" s="57" t="s">
        <v>30</v>
      </c>
      <c r="M68" s="59" t="s">
        <v>184</v>
      </c>
      <c r="N68" s="59">
        <v>17</v>
      </c>
      <c r="O68" s="60">
        <v>15.1</v>
      </c>
      <c r="P68" s="60">
        <v>14.100000000000001</v>
      </c>
      <c r="Q68" s="60">
        <v>0.62916666666666665</v>
      </c>
      <c r="R68" s="60">
        <v>0.58750000000000002</v>
      </c>
    </row>
    <row r="69" spans="2:18" ht="18.5">
      <c r="B69" s="61" t="s">
        <v>29</v>
      </c>
      <c r="C69" s="62" t="s">
        <v>201</v>
      </c>
      <c r="D69" s="63"/>
      <c r="E69" s="64" t="s">
        <v>122</v>
      </c>
      <c r="F69" s="65" t="s">
        <v>75</v>
      </c>
      <c r="G69" s="66" t="s">
        <v>146</v>
      </c>
      <c r="H69" s="67">
        <v>24</v>
      </c>
      <c r="I69" s="68">
        <v>0.9304558414009918</v>
      </c>
      <c r="J69" s="69">
        <f t="shared" si="0"/>
        <v>22.330940193623803</v>
      </c>
      <c r="K69" s="57" t="s">
        <v>158</v>
      </c>
      <c r="L69" s="57" t="s">
        <v>30</v>
      </c>
      <c r="M69" s="59" t="s">
        <v>184</v>
      </c>
      <c r="N69" s="59">
        <v>17</v>
      </c>
      <c r="O69" s="60">
        <v>11.72</v>
      </c>
      <c r="P69" s="60">
        <v>10.72</v>
      </c>
      <c r="Q69" s="60">
        <v>0.48833333333333334</v>
      </c>
      <c r="R69" s="60">
        <v>0.44666666666666671</v>
      </c>
    </row>
    <row r="70" spans="2:18" ht="18.5">
      <c r="B70" s="61" t="s">
        <v>29</v>
      </c>
      <c r="C70" s="62" t="s">
        <v>201</v>
      </c>
      <c r="D70" s="63"/>
      <c r="E70" s="64" t="s">
        <v>114</v>
      </c>
      <c r="F70" s="65" t="s">
        <v>126</v>
      </c>
      <c r="G70" s="66" t="s">
        <v>130</v>
      </c>
      <c r="H70" s="67">
        <v>6</v>
      </c>
      <c r="I70" s="68">
        <v>5.0552555728801787</v>
      </c>
      <c r="J70" s="69">
        <f t="shared" si="0"/>
        <v>30.331533437281074</v>
      </c>
      <c r="K70" s="57" t="s">
        <v>159</v>
      </c>
      <c r="L70" s="57" t="s">
        <v>148</v>
      </c>
      <c r="M70" s="59" t="s">
        <v>173</v>
      </c>
      <c r="N70" s="59">
        <v>18</v>
      </c>
      <c r="O70" s="60">
        <v>4.5999999999999996</v>
      </c>
      <c r="P70" s="60">
        <v>3.8</v>
      </c>
      <c r="Q70" s="60">
        <v>0.76666666666666661</v>
      </c>
      <c r="R70" s="60">
        <v>0.6333333333333333</v>
      </c>
    </row>
    <row r="71" spans="2:18" ht="18.5">
      <c r="B71" s="61" t="s">
        <v>29</v>
      </c>
      <c r="C71" s="62" t="s">
        <v>201</v>
      </c>
      <c r="D71" s="63"/>
      <c r="E71" s="64" t="s">
        <v>263</v>
      </c>
      <c r="F71" s="65" t="s">
        <v>331</v>
      </c>
      <c r="G71" s="66" t="s">
        <v>382</v>
      </c>
      <c r="H71" s="67">
        <v>3</v>
      </c>
      <c r="I71" s="68">
        <v>16.212724686156541</v>
      </c>
      <c r="J71" s="69">
        <f t="shared" si="0"/>
        <v>48.638174058469623</v>
      </c>
      <c r="K71" s="57" t="s">
        <v>169</v>
      </c>
      <c r="L71" s="57" t="s">
        <v>30</v>
      </c>
      <c r="M71" s="59" t="s">
        <v>444</v>
      </c>
      <c r="N71" s="59">
        <v>19</v>
      </c>
      <c r="O71" s="60">
        <v>34.980000000000004</v>
      </c>
      <c r="P71" s="60">
        <v>31.98</v>
      </c>
      <c r="Q71" s="60">
        <v>11.660000000000002</v>
      </c>
      <c r="R71" s="60">
        <v>10.66</v>
      </c>
    </row>
    <row r="72" spans="2:18" ht="18.5">
      <c r="B72" s="61" t="s">
        <v>29</v>
      </c>
      <c r="C72" s="62" t="s">
        <v>201</v>
      </c>
      <c r="D72" s="63"/>
      <c r="E72" s="64" t="s">
        <v>264</v>
      </c>
      <c r="F72" s="65" t="s">
        <v>331</v>
      </c>
      <c r="G72" s="66" t="s">
        <v>383</v>
      </c>
      <c r="H72" s="67">
        <v>2</v>
      </c>
      <c r="I72" s="68">
        <v>15.487952665400821</v>
      </c>
      <c r="J72" s="69">
        <f t="shared" si="0"/>
        <v>30.975905330801641</v>
      </c>
      <c r="K72" s="57" t="s">
        <v>169</v>
      </c>
      <c r="L72" s="57" t="s">
        <v>30</v>
      </c>
      <c r="M72" s="59" t="s">
        <v>445</v>
      </c>
      <c r="N72" s="59">
        <v>20</v>
      </c>
      <c r="O72" s="60">
        <v>21.36</v>
      </c>
      <c r="P72" s="60">
        <v>19.36</v>
      </c>
      <c r="Q72" s="60">
        <v>10.68</v>
      </c>
      <c r="R72" s="60">
        <v>9.68</v>
      </c>
    </row>
    <row r="73" spans="2:18" ht="18.5">
      <c r="B73" s="61" t="s">
        <v>29</v>
      </c>
      <c r="C73" s="62" t="s">
        <v>201</v>
      </c>
      <c r="D73" s="63"/>
      <c r="E73" s="64" t="s">
        <v>265</v>
      </c>
      <c r="F73" s="65" t="s">
        <v>331</v>
      </c>
      <c r="G73" s="66" t="s">
        <v>384</v>
      </c>
      <c r="H73" s="67">
        <v>4</v>
      </c>
      <c r="I73" s="68">
        <v>8.6789205307188997</v>
      </c>
      <c r="J73" s="69">
        <f t="shared" si="0"/>
        <v>34.715682122875599</v>
      </c>
      <c r="K73" s="57" t="s">
        <v>161</v>
      </c>
      <c r="L73" s="57" t="s">
        <v>30</v>
      </c>
      <c r="M73" s="59" t="s">
        <v>446</v>
      </c>
      <c r="N73" s="59">
        <v>21</v>
      </c>
      <c r="O73" s="60">
        <v>29.1</v>
      </c>
      <c r="P73" s="60">
        <v>28.2</v>
      </c>
      <c r="Q73" s="60">
        <v>7.2750000000000004</v>
      </c>
      <c r="R73" s="60">
        <v>7.05</v>
      </c>
    </row>
    <row r="74" spans="2:18" ht="18.5">
      <c r="B74" s="61" t="s">
        <v>29</v>
      </c>
      <c r="C74" s="62" t="s">
        <v>201</v>
      </c>
      <c r="D74" s="63"/>
      <c r="E74" s="64" t="s">
        <v>91</v>
      </c>
      <c r="F74" s="65" t="s">
        <v>41</v>
      </c>
      <c r="G74" s="66" t="s">
        <v>102</v>
      </c>
      <c r="H74" s="67">
        <v>12</v>
      </c>
      <c r="I74" s="68">
        <v>2.5679254230276114</v>
      </c>
      <c r="J74" s="69">
        <f t="shared" si="0"/>
        <v>30.815105076331335</v>
      </c>
      <c r="K74" s="57" t="s">
        <v>168</v>
      </c>
      <c r="L74" s="57" t="s">
        <v>30</v>
      </c>
      <c r="M74" s="59" t="s">
        <v>181</v>
      </c>
      <c r="N74" s="59">
        <v>22</v>
      </c>
      <c r="O74" s="60">
        <v>16.899999999999999</v>
      </c>
      <c r="P74" s="60">
        <v>15.899999999999999</v>
      </c>
      <c r="Q74" s="60">
        <v>1.4083333333333332</v>
      </c>
      <c r="R74" s="60">
        <v>1.325</v>
      </c>
    </row>
    <row r="75" spans="2:18" ht="18.5">
      <c r="B75" s="61" t="s">
        <v>29</v>
      </c>
      <c r="C75" s="62" t="s">
        <v>201</v>
      </c>
      <c r="D75" s="63"/>
      <c r="E75" s="64" t="s">
        <v>73</v>
      </c>
      <c r="F75" s="65" t="s">
        <v>41</v>
      </c>
      <c r="G75" s="66" t="s">
        <v>81</v>
      </c>
      <c r="H75" s="67">
        <v>8</v>
      </c>
      <c r="I75" s="68">
        <v>3.1404836106682388</v>
      </c>
      <c r="J75" s="69">
        <f t="shared" si="0"/>
        <v>25.12386888534591</v>
      </c>
      <c r="K75" s="57" t="s">
        <v>165</v>
      </c>
      <c r="L75" s="57" t="s">
        <v>30</v>
      </c>
      <c r="M75" s="59" t="s">
        <v>178</v>
      </c>
      <c r="N75" s="59">
        <v>23</v>
      </c>
      <c r="O75" s="60">
        <v>10.7</v>
      </c>
      <c r="P75" s="60">
        <v>9.6999999999999993</v>
      </c>
      <c r="Q75" s="60">
        <v>1.3374999999999999</v>
      </c>
      <c r="R75" s="60">
        <v>1.2124999999999999</v>
      </c>
    </row>
    <row r="76" spans="2:18" ht="18.5">
      <c r="B76" s="61" t="s">
        <v>29</v>
      </c>
      <c r="C76" s="62" t="s">
        <v>201</v>
      </c>
      <c r="D76" s="63"/>
      <c r="E76" s="64" t="s">
        <v>123</v>
      </c>
      <c r="F76" s="65" t="s">
        <v>34</v>
      </c>
      <c r="G76" s="66" t="s">
        <v>145</v>
      </c>
      <c r="H76" s="67">
        <v>48</v>
      </c>
      <c r="I76" s="68">
        <v>1.118381381516167</v>
      </c>
      <c r="J76" s="69">
        <f t="shared" si="0"/>
        <v>53.682306312776014</v>
      </c>
      <c r="K76" s="57" t="s">
        <v>166</v>
      </c>
      <c r="L76" s="57" t="s">
        <v>33</v>
      </c>
      <c r="M76" s="59" t="s">
        <v>187</v>
      </c>
      <c r="N76" s="59">
        <v>24</v>
      </c>
      <c r="O76" s="60">
        <v>15.8</v>
      </c>
      <c r="P76" s="60">
        <v>11.799999999999999</v>
      </c>
      <c r="Q76" s="60">
        <v>0.32916666666666666</v>
      </c>
      <c r="R76" s="60">
        <v>0.24583333333333332</v>
      </c>
    </row>
    <row r="77" spans="2:18" ht="18.5">
      <c r="B77" s="61" t="s">
        <v>29</v>
      </c>
      <c r="C77" s="62" t="s">
        <v>201</v>
      </c>
      <c r="D77" s="63"/>
      <c r="E77" s="64" t="s">
        <v>266</v>
      </c>
      <c r="F77" s="65" t="s">
        <v>34</v>
      </c>
      <c r="G77" s="66" t="s">
        <v>385</v>
      </c>
      <c r="H77" s="67">
        <v>48</v>
      </c>
      <c r="I77" s="68">
        <v>0.81414886122586783</v>
      </c>
      <c r="J77" s="69">
        <f t="shared" si="0"/>
        <v>39.079145338841656</v>
      </c>
      <c r="K77" s="57" t="s">
        <v>166</v>
      </c>
      <c r="L77" s="57" t="s">
        <v>33</v>
      </c>
      <c r="M77" s="59" t="s">
        <v>187</v>
      </c>
      <c r="N77" s="59">
        <v>24</v>
      </c>
      <c r="O77" s="60">
        <v>19</v>
      </c>
      <c r="P77" s="60">
        <v>17</v>
      </c>
      <c r="Q77" s="60">
        <v>0.39583333333333331</v>
      </c>
      <c r="R77" s="60">
        <v>0.35416666666666669</v>
      </c>
    </row>
    <row r="78" spans="2:18" ht="18.5">
      <c r="B78" s="61" t="s">
        <v>29</v>
      </c>
      <c r="C78" s="62" t="s">
        <v>201</v>
      </c>
      <c r="D78" s="63"/>
      <c r="E78" s="64" t="s">
        <v>121</v>
      </c>
      <c r="F78" s="65" t="s">
        <v>34</v>
      </c>
      <c r="G78" s="66" t="s">
        <v>145</v>
      </c>
      <c r="H78" s="67">
        <v>48</v>
      </c>
      <c r="I78" s="68">
        <v>0.7157953075207294</v>
      </c>
      <c r="J78" s="69">
        <f t="shared" ref="J78:J141" si="1">I78*H78</f>
        <v>34.358174760995013</v>
      </c>
      <c r="K78" s="57" t="s">
        <v>166</v>
      </c>
      <c r="L78" s="57" t="s">
        <v>33</v>
      </c>
      <c r="M78" s="59" t="s">
        <v>194</v>
      </c>
      <c r="N78" s="59">
        <v>25</v>
      </c>
      <c r="O78" s="60">
        <v>7.84</v>
      </c>
      <c r="P78" s="60">
        <v>5.84</v>
      </c>
      <c r="Q78" s="60">
        <v>0.16333333333333333</v>
      </c>
      <c r="R78" s="60">
        <v>0.12166666666666666</v>
      </c>
    </row>
    <row r="79" spans="2:18" ht="18.5">
      <c r="B79" s="61" t="s">
        <v>29</v>
      </c>
      <c r="C79" s="62" t="s">
        <v>201</v>
      </c>
      <c r="D79" s="63"/>
      <c r="E79" s="64" t="s">
        <v>267</v>
      </c>
      <c r="F79" s="65" t="s">
        <v>38</v>
      </c>
      <c r="G79" s="66" t="s">
        <v>78</v>
      </c>
      <c r="H79" s="67">
        <v>12</v>
      </c>
      <c r="I79" s="68">
        <v>0.9304558414009918</v>
      </c>
      <c r="J79" s="69">
        <f t="shared" si="1"/>
        <v>11.165470096811902</v>
      </c>
      <c r="K79" s="57" t="s">
        <v>158</v>
      </c>
      <c r="L79" s="57" t="s">
        <v>45</v>
      </c>
      <c r="M79" s="59" t="s">
        <v>447</v>
      </c>
      <c r="N79" s="59">
        <v>26</v>
      </c>
      <c r="O79" s="60">
        <v>7.67</v>
      </c>
      <c r="P79" s="60">
        <v>7</v>
      </c>
      <c r="Q79" s="60">
        <v>0.63916666666666666</v>
      </c>
      <c r="R79" s="60">
        <v>0.58333333333333337</v>
      </c>
    </row>
    <row r="80" spans="2:18" ht="18.5">
      <c r="B80" s="61" t="s">
        <v>29</v>
      </c>
      <c r="C80" s="62" t="s">
        <v>201</v>
      </c>
      <c r="D80" s="63"/>
      <c r="E80" s="64" t="s">
        <v>70</v>
      </c>
      <c r="F80" s="65" t="s">
        <v>38</v>
      </c>
      <c r="G80" s="66" t="s">
        <v>78</v>
      </c>
      <c r="H80" s="67">
        <v>12</v>
      </c>
      <c r="I80" s="68">
        <v>0.9304558414009918</v>
      </c>
      <c r="J80" s="69">
        <f t="shared" si="1"/>
        <v>11.165470096811902</v>
      </c>
      <c r="K80" s="57" t="s">
        <v>158</v>
      </c>
      <c r="L80" s="57" t="s">
        <v>45</v>
      </c>
      <c r="M80" s="59" t="s">
        <v>195</v>
      </c>
      <c r="N80" s="59">
        <v>27</v>
      </c>
      <c r="O80" s="60">
        <v>7.67</v>
      </c>
      <c r="P80" s="60">
        <v>7</v>
      </c>
      <c r="Q80" s="60">
        <v>0.63916666666666666</v>
      </c>
      <c r="R80" s="60">
        <v>0.58333333333333337</v>
      </c>
    </row>
    <row r="81" spans="2:18" ht="18.5">
      <c r="B81" s="61" t="s">
        <v>29</v>
      </c>
      <c r="C81" s="62" t="s">
        <v>201</v>
      </c>
      <c r="D81" s="63"/>
      <c r="E81" s="64" t="s">
        <v>268</v>
      </c>
      <c r="F81" s="65" t="s">
        <v>57</v>
      </c>
      <c r="G81" s="66" t="s">
        <v>386</v>
      </c>
      <c r="H81" s="67">
        <v>6</v>
      </c>
      <c r="I81" s="68">
        <v>1.6284928683916269</v>
      </c>
      <c r="J81" s="69">
        <f t="shared" si="1"/>
        <v>9.7709572103497617</v>
      </c>
      <c r="K81" s="57" t="s">
        <v>459</v>
      </c>
      <c r="L81" s="57" t="s">
        <v>429</v>
      </c>
      <c r="M81" s="59" t="s">
        <v>448</v>
      </c>
      <c r="N81" s="59">
        <v>28</v>
      </c>
      <c r="O81" s="60">
        <v>1.5</v>
      </c>
      <c r="P81" s="60">
        <v>1.02</v>
      </c>
      <c r="Q81" s="60">
        <v>0.25</v>
      </c>
      <c r="R81" s="60">
        <v>0.17</v>
      </c>
    </row>
    <row r="82" spans="2:18" ht="18.5">
      <c r="B82" s="61" t="s">
        <v>29</v>
      </c>
      <c r="C82" s="62" t="s">
        <v>201</v>
      </c>
      <c r="D82" s="63"/>
      <c r="E82" s="64" t="s">
        <v>116</v>
      </c>
      <c r="F82" s="65" t="s">
        <v>37</v>
      </c>
      <c r="G82" s="66" t="s">
        <v>140</v>
      </c>
      <c r="H82" s="67">
        <v>8</v>
      </c>
      <c r="I82" s="68">
        <v>4.7242880588247926</v>
      </c>
      <c r="J82" s="69">
        <f t="shared" si="1"/>
        <v>37.794304470598341</v>
      </c>
      <c r="K82" s="57" t="s">
        <v>164</v>
      </c>
      <c r="L82" s="57" t="s">
        <v>44</v>
      </c>
      <c r="M82" s="59" t="s">
        <v>177</v>
      </c>
      <c r="N82" s="59">
        <v>4</v>
      </c>
      <c r="O82" s="60">
        <v>3.57</v>
      </c>
      <c r="P82" s="60">
        <v>2.98</v>
      </c>
      <c r="Q82" s="60">
        <v>0.44624999999999998</v>
      </c>
      <c r="R82" s="60">
        <v>0.3725</v>
      </c>
    </row>
    <row r="83" spans="2:18" ht="18.5">
      <c r="B83" s="61" t="s">
        <v>29</v>
      </c>
      <c r="C83" s="62" t="s">
        <v>201</v>
      </c>
      <c r="D83" s="63"/>
      <c r="E83" s="64" t="s">
        <v>117</v>
      </c>
      <c r="F83" s="65" t="s">
        <v>37</v>
      </c>
      <c r="G83" s="66" t="s">
        <v>141</v>
      </c>
      <c r="H83" s="67">
        <v>4</v>
      </c>
      <c r="I83" s="68">
        <v>7.0594043755622646</v>
      </c>
      <c r="J83" s="69">
        <f t="shared" si="1"/>
        <v>28.237617502249059</v>
      </c>
      <c r="K83" s="57" t="s">
        <v>164</v>
      </c>
      <c r="L83" s="57" t="s">
        <v>44</v>
      </c>
      <c r="M83" s="59" t="s">
        <v>177</v>
      </c>
      <c r="N83" s="59">
        <v>4</v>
      </c>
      <c r="O83" s="60">
        <v>3.45</v>
      </c>
      <c r="P83" s="60">
        <v>2.25</v>
      </c>
      <c r="Q83" s="60">
        <v>0.86250000000000004</v>
      </c>
      <c r="R83" s="60">
        <v>0.5625</v>
      </c>
    </row>
    <row r="84" spans="2:18" ht="18.5">
      <c r="B84" s="61" t="s">
        <v>29</v>
      </c>
      <c r="C84" s="62" t="s">
        <v>201</v>
      </c>
      <c r="D84" s="63"/>
      <c r="E84" s="64" t="s">
        <v>118</v>
      </c>
      <c r="F84" s="65" t="s">
        <v>37</v>
      </c>
      <c r="G84" s="66" t="s">
        <v>142</v>
      </c>
      <c r="H84" s="67">
        <v>8</v>
      </c>
      <c r="I84" s="68">
        <v>5.6100554799907121</v>
      </c>
      <c r="J84" s="69">
        <f t="shared" si="1"/>
        <v>44.880443839925697</v>
      </c>
      <c r="K84" s="57" t="s">
        <v>164</v>
      </c>
      <c r="L84" s="57" t="s">
        <v>44</v>
      </c>
      <c r="M84" s="59" t="s">
        <v>177</v>
      </c>
      <c r="N84" s="59">
        <v>4</v>
      </c>
      <c r="O84" s="60">
        <v>4.25</v>
      </c>
      <c r="P84" s="60">
        <v>3.64</v>
      </c>
      <c r="Q84" s="60">
        <v>0.53125</v>
      </c>
      <c r="R84" s="60">
        <v>0.45500000000000002</v>
      </c>
    </row>
    <row r="85" spans="2:18" ht="18.5">
      <c r="B85" s="61" t="s">
        <v>29</v>
      </c>
      <c r="C85" s="62" t="s">
        <v>201</v>
      </c>
      <c r="D85" s="63"/>
      <c r="E85" s="64" t="s">
        <v>120</v>
      </c>
      <c r="F85" s="65" t="s">
        <v>127</v>
      </c>
      <c r="G85" s="66" t="s">
        <v>144</v>
      </c>
      <c r="H85" s="67">
        <v>6</v>
      </c>
      <c r="I85" s="68">
        <v>7.4621855954975933</v>
      </c>
      <c r="J85" s="69">
        <f t="shared" si="1"/>
        <v>44.773113572985558</v>
      </c>
      <c r="K85" s="57" t="s">
        <v>158</v>
      </c>
      <c r="L85" s="57" t="s">
        <v>30</v>
      </c>
      <c r="M85" s="59" t="s">
        <v>186</v>
      </c>
      <c r="N85" s="59">
        <v>29</v>
      </c>
      <c r="O85" s="60">
        <v>19</v>
      </c>
      <c r="P85" s="60">
        <v>17</v>
      </c>
      <c r="Q85" s="60">
        <v>3.1666666666666665</v>
      </c>
      <c r="R85" s="60">
        <v>2.8333333333333335</v>
      </c>
    </row>
    <row r="86" spans="2:18" ht="18.5">
      <c r="B86" s="61" t="s">
        <v>29</v>
      </c>
      <c r="C86" s="62" t="s">
        <v>201</v>
      </c>
      <c r="D86" s="63"/>
      <c r="E86" s="64" t="s">
        <v>269</v>
      </c>
      <c r="F86" s="65" t="s">
        <v>34</v>
      </c>
      <c r="G86" s="66" t="s">
        <v>137</v>
      </c>
      <c r="H86" s="67">
        <v>96</v>
      </c>
      <c r="I86" s="68">
        <v>0.52786976740555425</v>
      </c>
      <c r="J86" s="69">
        <f t="shared" si="1"/>
        <v>50.675497670933211</v>
      </c>
      <c r="K86" s="57" t="s">
        <v>166</v>
      </c>
      <c r="L86" s="57" t="s">
        <v>33</v>
      </c>
      <c r="M86" s="59" t="s">
        <v>179</v>
      </c>
      <c r="N86" s="59">
        <v>30</v>
      </c>
      <c r="O86" s="60">
        <v>12</v>
      </c>
      <c r="P86" s="60">
        <v>10</v>
      </c>
      <c r="Q86" s="60">
        <v>0.125</v>
      </c>
      <c r="R86" s="60">
        <v>0.10416666666666667</v>
      </c>
    </row>
    <row r="87" spans="2:18" ht="18.5">
      <c r="B87" s="61" t="s">
        <v>68</v>
      </c>
      <c r="C87" s="62" t="s">
        <v>201</v>
      </c>
      <c r="D87" s="63"/>
      <c r="E87" s="64" t="s">
        <v>270</v>
      </c>
      <c r="F87" s="65" t="s">
        <v>332</v>
      </c>
      <c r="G87" s="66" t="s">
        <v>387</v>
      </c>
      <c r="H87" s="67">
        <v>4</v>
      </c>
      <c r="I87" s="68">
        <v>9.9048273251150878</v>
      </c>
      <c r="J87" s="69">
        <f t="shared" si="1"/>
        <v>39.619309300460351</v>
      </c>
      <c r="K87" s="57" t="s">
        <v>162</v>
      </c>
      <c r="L87" s="57" t="s">
        <v>430</v>
      </c>
      <c r="M87" s="59" t="s">
        <v>176</v>
      </c>
      <c r="N87" s="59">
        <v>31</v>
      </c>
      <c r="O87" s="60">
        <v>6.21</v>
      </c>
      <c r="P87" s="60">
        <v>4.08</v>
      </c>
      <c r="Q87" s="60">
        <v>1.5525</v>
      </c>
      <c r="R87" s="60">
        <v>1.02</v>
      </c>
    </row>
    <row r="88" spans="2:18" ht="18.5">
      <c r="B88" s="61" t="s">
        <v>68</v>
      </c>
      <c r="C88" s="62" t="s">
        <v>201</v>
      </c>
      <c r="D88" s="63"/>
      <c r="E88" s="64" t="s">
        <v>271</v>
      </c>
      <c r="F88" s="65" t="s">
        <v>332</v>
      </c>
      <c r="G88" s="66" t="s">
        <v>388</v>
      </c>
      <c r="H88" s="67">
        <v>4</v>
      </c>
      <c r="I88" s="68">
        <v>4.6436927856497485</v>
      </c>
      <c r="J88" s="69">
        <f t="shared" si="1"/>
        <v>18.574771142598994</v>
      </c>
      <c r="K88" s="57" t="s">
        <v>162</v>
      </c>
      <c r="L88" s="57" t="s">
        <v>430</v>
      </c>
      <c r="M88" s="59" t="s">
        <v>176</v>
      </c>
      <c r="N88" s="59">
        <v>31</v>
      </c>
      <c r="O88" s="60">
        <v>3.03</v>
      </c>
      <c r="P88" s="60">
        <v>1.6600000000000001</v>
      </c>
      <c r="Q88" s="60">
        <v>0.75749999999999995</v>
      </c>
      <c r="R88" s="60">
        <v>0.41500000000000004</v>
      </c>
    </row>
    <row r="89" spans="2:18" ht="18.5">
      <c r="B89" s="61" t="s">
        <v>68</v>
      </c>
      <c r="C89" s="62" t="s">
        <v>201</v>
      </c>
      <c r="D89" s="63"/>
      <c r="E89" s="64" t="s">
        <v>272</v>
      </c>
      <c r="F89" s="65" t="s">
        <v>332</v>
      </c>
      <c r="G89" s="66" t="s">
        <v>389</v>
      </c>
      <c r="H89" s="67">
        <v>4</v>
      </c>
      <c r="I89" s="68">
        <v>8.2316460364883888</v>
      </c>
      <c r="J89" s="69">
        <f t="shared" si="1"/>
        <v>32.926584145953555</v>
      </c>
      <c r="K89" s="57" t="s">
        <v>162</v>
      </c>
      <c r="L89" s="57" t="s">
        <v>150</v>
      </c>
      <c r="M89" s="59" t="s">
        <v>176</v>
      </c>
      <c r="N89" s="59">
        <v>31</v>
      </c>
      <c r="O89" s="60">
        <v>6.16</v>
      </c>
      <c r="P89" s="60">
        <v>4.5599999999999996</v>
      </c>
      <c r="Q89" s="60">
        <v>1.54</v>
      </c>
      <c r="R89" s="60">
        <v>1.1399999999999999</v>
      </c>
    </row>
    <row r="90" spans="2:18" ht="18.5">
      <c r="B90" s="61" t="s">
        <v>29</v>
      </c>
      <c r="C90" s="62" t="s">
        <v>201</v>
      </c>
      <c r="D90" s="63"/>
      <c r="E90" s="64" t="s">
        <v>273</v>
      </c>
      <c r="F90" s="65" t="s">
        <v>40</v>
      </c>
      <c r="G90" s="66" t="s">
        <v>390</v>
      </c>
      <c r="H90" s="67">
        <v>48</v>
      </c>
      <c r="I90" s="68">
        <v>0.966362694340963</v>
      </c>
      <c r="J90" s="69">
        <f t="shared" si="1"/>
        <v>46.385409328366222</v>
      </c>
      <c r="K90" s="57" t="s">
        <v>163</v>
      </c>
      <c r="L90" s="57" t="s">
        <v>148</v>
      </c>
      <c r="M90" s="59" t="s">
        <v>441</v>
      </c>
      <c r="N90" s="59">
        <v>9</v>
      </c>
      <c r="O90" s="60">
        <v>8</v>
      </c>
      <c r="P90" s="60">
        <v>6</v>
      </c>
      <c r="Q90" s="60">
        <v>0.16666666666666666</v>
      </c>
      <c r="R90" s="60">
        <v>0.125</v>
      </c>
    </row>
    <row r="91" spans="2:18" ht="18.5">
      <c r="B91" s="61" t="s">
        <v>68</v>
      </c>
      <c r="C91" s="62" t="s">
        <v>201</v>
      </c>
      <c r="D91" s="63"/>
      <c r="E91" s="64" t="s">
        <v>274</v>
      </c>
      <c r="F91" s="65" t="s">
        <v>40</v>
      </c>
      <c r="G91" s="66" t="s">
        <v>391</v>
      </c>
      <c r="H91" s="67">
        <v>2</v>
      </c>
      <c r="I91" s="68">
        <v>14.906222618585311</v>
      </c>
      <c r="J91" s="69">
        <f t="shared" si="1"/>
        <v>29.812445237170621</v>
      </c>
      <c r="K91" s="57" t="s">
        <v>167</v>
      </c>
      <c r="L91" s="57" t="s">
        <v>149</v>
      </c>
      <c r="M91" s="59" t="s">
        <v>180</v>
      </c>
      <c r="N91" s="59">
        <v>32</v>
      </c>
      <c r="O91" s="60">
        <v>4.0999999999999996</v>
      </c>
      <c r="P91" s="60">
        <v>3.51</v>
      </c>
      <c r="Q91" s="60">
        <v>2.0499999999999998</v>
      </c>
      <c r="R91" s="60">
        <v>1.7549999999999999</v>
      </c>
    </row>
    <row r="92" spans="2:18" ht="18.5">
      <c r="B92" s="61" t="s">
        <v>68</v>
      </c>
      <c r="C92" s="62" t="s">
        <v>201</v>
      </c>
      <c r="D92" s="63"/>
      <c r="E92" s="64" t="s">
        <v>275</v>
      </c>
      <c r="F92" s="65" t="s">
        <v>40</v>
      </c>
      <c r="G92" s="66" t="s">
        <v>392</v>
      </c>
      <c r="H92" s="67">
        <v>4</v>
      </c>
      <c r="I92" s="68">
        <v>17.035850260617405</v>
      </c>
      <c r="J92" s="69">
        <f t="shared" si="1"/>
        <v>68.14340104246962</v>
      </c>
      <c r="K92" s="57" t="s">
        <v>167</v>
      </c>
      <c r="L92" s="57" t="s">
        <v>149</v>
      </c>
      <c r="M92" s="59" t="s">
        <v>180</v>
      </c>
      <c r="N92" s="59">
        <v>32</v>
      </c>
      <c r="O92" s="60">
        <v>7.3</v>
      </c>
      <c r="P92" s="60">
        <v>5.94</v>
      </c>
      <c r="Q92" s="60">
        <v>1.825</v>
      </c>
      <c r="R92" s="60">
        <v>1.4850000000000001</v>
      </c>
    </row>
    <row r="93" spans="2:18" ht="37">
      <c r="B93" s="61" t="s">
        <v>29</v>
      </c>
      <c r="C93" s="62" t="s">
        <v>201</v>
      </c>
      <c r="D93" s="63"/>
      <c r="E93" s="64" t="s">
        <v>276</v>
      </c>
      <c r="F93" s="65" t="s">
        <v>95</v>
      </c>
      <c r="G93" s="66" t="s">
        <v>393</v>
      </c>
      <c r="H93" s="67">
        <v>12</v>
      </c>
      <c r="I93" s="68">
        <v>0.99309768810605015</v>
      </c>
      <c r="J93" s="69">
        <f t="shared" si="1"/>
        <v>11.917172257272602</v>
      </c>
      <c r="K93" s="57" t="s">
        <v>158</v>
      </c>
      <c r="L93" s="57" t="s">
        <v>104</v>
      </c>
      <c r="M93" s="59" t="s">
        <v>449</v>
      </c>
      <c r="N93" s="59">
        <v>33</v>
      </c>
      <c r="O93" s="60">
        <v>9.0500000000000007</v>
      </c>
      <c r="P93" s="60">
        <v>8.0500000000000007</v>
      </c>
      <c r="Q93" s="60">
        <v>0.75416666666666676</v>
      </c>
      <c r="R93" s="60">
        <v>0.67083333333333339</v>
      </c>
    </row>
    <row r="94" spans="2:18" ht="37">
      <c r="B94" s="61" t="s">
        <v>29</v>
      </c>
      <c r="C94" s="62" t="s">
        <v>201</v>
      </c>
      <c r="D94" s="63"/>
      <c r="E94" s="64" t="s">
        <v>277</v>
      </c>
      <c r="F94" s="65" t="s">
        <v>95</v>
      </c>
      <c r="G94" s="66" t="s">
        <v>394</v>
      </c>
      <c r="H94" s="67">
        <v>16</v>
      </c>
      <c r="I94" s="68">
        <v>1.2079533679262036</v>
      </c>
      <c r="J94" s="69">
        <f t="shared" si="1"/>
        <v>19.327253886819257</v>
      </c>
      <c r="K94" s="57" t="s">
        <v>158</v>
      </c>
      <c r="L94" s="57" t="s">
        <v>30</v>
      </c>
      <c r="M94" s="59" t="s">
        <v>449</v>
      </c>
      <c r="N94" s="59">
        <v>33</v>
      </c>
      <c r="O94" s="60">
        <v>14.45</v>
      </c>
      <c r="P94" s="60">
        <v>13.45</v>
      </c>
      <c r="Q94" s="60">
        <v>0.90312499999999996</v>
      </c>
      <c r="R94" s="60">
        <v>0.84062499999999996</v>
      </c>
    </row>
    <row r="95" spans="2:18" ht="37">
      <c r="B95" s="61" t="s">
        <v>29</v>
      </c>
      <c r="C95" s="62" t="s">
        <v>201</v>
      </c>
      <c r="D95" s="63" t="s">
        <v>203</v>
      </c>
      <c r="E95" s="64" t="s">
        <v>223</v>
      </c>
      <c r="F95" s="65" t="s">
        <v>328</v>
      </c>
      <c r="G95" s="66" t="s">
        <v>342</v>
      </c>
      <c r="H95" s="67">
        <v>12</v>
      </c>
      <c r="I95" s="68">
        <v>0.966362694340963</v>
      </c>
      <c r="J95" s="69">
        <f t="shared" si="1"/>
        <v>11.596352332091556</v>
      </c>
      <c r="K95" s="57" t="s">
        <v>159</v>
      </c>
      <c r="L95" s="57" t="s">
        <v>33</v>
      </c>
      <c r="M95" s="59" t="s">
        <v>196</v>
      </c>
      <c r="N95" s="59">
        <v>2</v>
      </c>
      <c r="O95" s="60">
        <v>4.5333333333333332</v>
      </c>
      <c r="P95" s="60">
        <v>4.1999999999999993</v>
      </c>
      <c r="Q95" s="60">
        <v>0.37777777777777777</v>
      </c>
      <c r="R95" s="60">
        <v>0.35</v>
      </c>
    </row>
    <row r="96" spans="2:18" ht="37">
      <c r="B96" s="61" t="s">
        <v>29</v>
      </c>
      <c r="C96" s="62" t="s">
        <v>201</v>
      </c>
      <c r="D96" s="63" t="s">
        <v>203</v>
      </c>
      <c r="E96" s="64" t="s">
        <v>224</v>
      </c>
      <c r="F96" s="65" t="s">
        <v>328</v>
      </c>
      <c r="G96" s="66" t="s">
        <v>343</v>
      </c>
      <c r="H96" s="67">
        <v>12</v>
      </c>
      <c r="I96" s="68">
        <v>0.966362694340963</v>
      </c>
      <c r="J96" s="69">
        <f t="shared" si="1"/>
        <v>11.596352332091556</v>
      </c>
      <c r="K96" s="57" t="s">
        <v>159</v>
      </c>
      <c r="L96" s="57" t="s">
        <v>33</v>
      </c>
      <c r="M96" s="59" t="s">
        <v>196</v>
      </c>
      <c r="N96" s="59">
        <v>2</v>
      </c>
      <c r="O96" s="60">
        <v>4.5333333333333332</v>
      </c>
      <c r="P96" s="60">
        <v>4.1999999999999993</v>
      </c>
      <c r="Q96" s="60">
        <v>0.37777777777777777</v>
      </c>
      <c r="R96" s="60">
        <v>0.35</v>
      </c>
    </row>
    <row r="97" spans="2:18" ht="37">
      <c r="B97" s="61" t="s">
        <v>29</v>
      </c>
      <c r="C97" s="62" t="s">
        <v>201</v>
      </c>
      <c r="D97" s="63" t="s">
        <v>203</v>
      </c>
      <c r="E97" s="64" t="s">
        <v>225</v>
      </c>
      <c r="F97" s="65" t="s">
        <v>328</v>
      </c>
      <c r="G97" s="66" t="s">
        <v>344</v>
      </c>
      <c r="H97" s="67">
        <v>12</v>
      </c>
      <c r="I97" s="68">
        <v>0.966362694340963</v>
      </c>
      <c r="J97" s="69">
        <f t="shared" si="1"/>
        <v>11.596352332091556</v>
      </c>
      <c r="K97" s="57" t="s">
        <v>159</v>
      </c>
      <c r="L97" s="57" t="s">
        <v>33</v>
      </c>
      <c r="M97" s="59" t="s">
        <v>196</v>
      </c>
      <c r="N97" s="59">
        <v>2</v>
      </c>
      <c r="O97" s="60">
        <v>4.5333333333333332</v>
      </c>
      <c r="P97" s="60">
        <v>4.1999999999999993</v>
      </c>
      <c r="Q97" s="60">
        <v>0.37777777777777777</v>
      </c>
      <c r="R97" s="60">
        <v>0.35</v>
      </c>
    </row>
    <row r="98" spans="2:18" ht="37">
      <c r="B98" s="61" t="s">
        <v>29</v>
      </c>
      <c r="C98" s="62" t="s">
        <v>201</v>
      </c>
      <c r="D98" s="63" t="s">
        <v>204</v>
      </c>
      <c r="E98" s="64" t="s">
        <v>226</v>
      </c>
      <c r="F98" s="65" t="s">
        <v>328</v>
      </c>
      <c r="G98" s="66" t="s">
        <v>345</v>
      </c>
      <c r="H98" s="67">
        <v>16</v>
      </c>
      <c r="I98" s="68">
        <v>1.0290045410460213</v>
      </c>
      <c r="J98" s="69">
        <f t="shared" si="1"/>
        <v>16.464072656736342</v>
      </c>
      <c r="K98" s="57" t="s">
        <v>159</v>
      </c>
      <c r="L98" s="57" t="s">
        <v>33</v>
      </c>
      <c r="M98" s="59" t="s">
        <v>438</v>
      </c>
      <c r="N98" s="59">
        <v>3</v>
      </c>
      <c r="O98" s="60">
        <v>5.2</v>
      </c>
      <c r="P98" s="60">
        <v>4.8666666666666663</v>
      </c>
      <c r="Q98" s="60">
        <v>0.32500000000000001</v>
      </c>
      <c r="R98" s="60">
        <v>0.30416666666666664</v>
      </c>
    </row>
    <row r="99" spans="2:18" ht="37">
      <c r="B99" s="61" t="s">
        <v>29</v>
      </c>
      <c r="C99" s="62" t="s">
        <v>201</v>
      </c>
      <c r="D99" s="63" t="s">
        <v>204</v>
      </c>
      <c r="E99" s="64" t="s">
        <v>227</v>
      </c>
      <c r="F99" s="65" t="s">
        <v>328</v>
      </c>
      <c r="G99" s="66" t="s">
        <v>346</v>
      </c>
      <c r="H99" s="67">
        <v>16</v>
      </c>
      <c r="I99" s="68">
        <v>1.0290045410460213</v>
      </c>
      <c r="J99" s="69">
        <f t="shared" si="1"/>
        <v>16.464072656736342</v>
      </c>
      <c r="K99" s="57" t="s">
        <v>159</v>
      </c>
      <c r="L99" s="57" t="s">
        <v>33</v>
      </c>
      <c r="M99" s="59" t="s">
        <v>438</v>
      </c>
      <c r="N99" s="59">
        <v>3</v>
      </c>
      <c r="O99" s="60">
        <v>5.2</v>
      </c>
      <c r="P99" s="60">
        <v>4.8666666666666663</v>
      </c>
      <c r="Q99" s="60">
        <v>0.32500000000000001</v>
      </c>
      <c r="R99" s="60">
        <v>0.30416666666666664</v>
      </c>
    </row>
    <row r="100" spans="2:18" ht="37">
      <c r="B100" s="61" t="s">
        <v>29</v>
      </c>
      <c r="C100" s="62" t="s">
        <v>201</v>
      </c>
      <c r="D100" s="63" t="s">
        <v>204</v>
      </c>
      <c r="E100" s="64" t="s">
        <v>228</v>
      </c>
      <c r="F100" s="65" t="s">
        <v>328</v>
      </c>
      <c r="G100" s="66" t="s">
        <v>347</v>
      </c>
      <c r="H100" s="67">
        <v>16</v>
      </c>
      <c r="I100" s="68">
        <v>1.0290045410460213</v>
      </c>
      <c r="J100" s="69">
        <f t="shared" si="1"/>
        <v>16.464072656736342</v>
      </c>
      <c r="K100" s="57" t="s">
        <v>159</v>
      </c>
      <c r="L100" s="57" t="s">
        <v>33</v>
      </c>
      <c r="M100" s="59" t="s">
        <v>438</v>
      </c>
      <c r="N100" s="59">
        <v>3</v>
      </c>
      <c r="O100" s="60">
        <v>5.2</v>
      </c>
      <c r="P100" s="60">
        <v>4.8666666666666663</v>
      </c>
      <c r="Q100" s="60">
        <v>0.32500000000000001</v>
      </c>
      <c r="R100" s="60">
        <v>0.30416666666666664</v>
      </c>
    </row>
    <row r="101" spans="2:18" ht="37">
      <c r="B101" s="61" t="s">
        <v>29</v>
      </c>
      <c r="C101" s="62" t="s">
        <v>201</v>
      </c>
      <c r="D101" s="63" t="s">
        <v>205</v>
      </c>
      <c r="E101" s="64" t="s">
        <v>229</v>
      </c>
      <c r="F101" s="65" t="s">
        <v>328</v>
      </c>
      <c r="G101" s="66" t="s">
        <v>348</v>
      </c>
      <c r="H101" s="67">
        <v>9</v>
      </c>
      <c r="I101" s="68">
        <v>1.0557395348111085</v>
      </c>
      <c r="J101" s="69">
        <f t="shared" si="1"/>
        <v>9.5016558132999762</v>
      </c>
      <c r="K101" s="57" t="s">
        <v>159</v>
      </c>
      <c r="L101" s="57" t="s">
        <v>33</v>
      </c>
      <c r="M101" s="59" t="s">
        <v>438</v>
      </c>
      <c r="N101" s="59">
        <v>3</v>
      </c>
      <c r="O101" s="60">
        <v>2.75</v>
      </c>
      <c r="P101" s="60">
        <v>2.5</v>
      </c>
      <c r="Q101" s="60">
        <v>0.30555555555555558</v>
      </c>
      <c r="R101" s="60">
        <v>0.27777777777777779</v>
      </c>
    </row>
    <row r="102" spans="2:18" ht="37">
      <c r="B102" s="61" t="s">
        <v>29</v>
      </c>
      <c r="C102" s="62" t="s">
        <v>201</v>
      </c>
      <c r="D102" s="63" t="s">
        <v>205</v>
      </c>
      <c r="E102" s="64" t="s">
        <v>230</v>
      </c>
      <c r="F102" s="65" t="s">
        <v>328</v>
      </c>
      <c r="G102" s="66" t="s">
        <v>349</v>
      </c>
      <c r="H102" s="67">
        <v>9</v>
      </c>
      <c r="I102" s="68">
        <v>1.0557395348111085</v>
      </c>
      <c r="J102" s="69">
        <f t="shared" si="1"/>
        <v>9.5016558132999762</v>
      </c>
      <c r="K102" s="57" t="s">
        <v>159</v>
      </c>
      <c r="L102" s="57" t="s">
        <v>33</v>
      </c>
      <c r="M102" s="59" t="s">
        <v>438</v>
      </c>
      <c r="N102" s="59">
        <v>3</v>
      </c>
      <c r="O102" s="60">
        <v>2.75</v>
      </c>
      <c r="P102" s="60">
        <v>2.5</v>
      </c>
      <c r="Q102" s="60">
        <v>0.30555555555555558</v>
      </c>
      <c r="R102" s="60">
        <v>0.27777777777777779</v>
      </c>
    </row>
    <row r="103" spans="2:18" ht="37">
      <c r="B103" s="61" t="s">
        <v>29</v>
      </c>
      <c r="C103" s="62" t="s">
        <v>201</v>
      </c>
      <c r="D103" s="63" t="s">
        <v>205</v>
      </c>
      <c r="E103" s="64" t="s">
        <v>231</v>
      </c>
      <c r="F103" s="65" t="s">
        <v>328</v>
      </c>
      <c r="G103" s="66" t="s">
        <v>350</v>
      </c>
      <c r="H103" s="67">
        <v>9</v>
      </c>
      <c r="I103" s="68">
        <v>1.0557395348111085</v>
      </c>
      <c r="J103" s="69">
        <f t="shared" si="1"/>
        <v>9.5016558132999762</v>
      </c>
      <c r="K103" s="57" t="s">
        <v>159</v>
      </c>
      <c r="L103" s="57" t="s">
        <v>33</v>
      </c>
      <c r="M103" s="59" t="s">
        <v>438</v>
      </c>
      <c r="N103" s="59">
        <v>3</v>
      </c>
      <c r="O103" s="60">
        <v>2.75</v>
      </c>
      <c r="P103" s="60">
        <v>2.5</v>
      </c>
      <c r="Q103" s="60">
        <v>0.30555555555555558</v>
      </c>
      <c r="R103" s="60">
        <v>0.27777777777777779</v>
      </c>
    </row>
    <row r="104" spans="2:18" ht="37">
      <c r="B104" s="61" t="s">
        <v>29</v>
      </c>
      <c r="C104" s="62" t="s">
        <v>201</v>
      </c>
      <c r="D104" s="63" t="s">
        <v>205</v>
      </c>
      <c r="E104" s="64" t="s">
        <v>232</v>
      </c>
      <c r="F104" s="65" t="s">
        <v>328</v>
      </c>
      <c r="G104" s="66" t="s">
        <v>351</v>
      </c>
      <c r="H104" s="67">
        <v>9</v>
      </c>
      <c r="I104" s="68">
        <v>1.0557395348111085</v>
      </c>
      <c r="J104" s="69">
        <f t="shared" si="1"/>
        <v>9.5016558132999762</v>
      </c>
      <c r="K104" s="57" t="s">
        <v>159</v>
      </c>
      <c r="L104" s="57" t="s">
        <v>33</v>
      </c>
      <c r="M104" s="59" t="s">
        <v>438</v>
      </c>
      <c r="N104" s="59">
        <v>3</v>
      </c>
      <c r="O104" s="60">
        <v>2.75</v>
      </c>
      <c r="P104" s="60">
        <v>2.5</v>
      </c>
      <c r="Q104" s="60">
        <v>0.30555555555555558</v>
      </c>
      <c r="R104" s="60">
        <v>0.27777777777777779</v>
      </c>
    </row>
    <row r="105" spans="2:18" ht="37">
      <c r="B105" s="61" t="s">
        <v>29</v>
      </c>
      <c r="C105" s="62" t="s">
        <v>201</v>
      </c>
      <c r="D105" s="63" t="s">
        <v>206</v>
      </c>
      <c r="E105" s="64" t="s">
        <v>233</v>
      </c>
      <c r="F105" s="65" t="s">
        <v>328</v>
      </c>
      <c r="G105" s="66" t="s">
        <v>352</v>
      </c>
      <c r="H105" s="67">
        <v>36</v>
      </c>
      <c r="I105" s="68">
        <v>0.47420463393548867</v>
      </c>
      <c r="J105" s="69">
        <f t="shared" si="1"/>
        <v>17.071366821677593</v>
      </c>
      <c r="K105" s="57" t="s">
        <v>159</v>
      </c>
      <c r="L105" s="57" t="s">
        <v>33</v>
      </c>
      <c r="M105" s="59" t="s">
        <v>196</v>
      </c>
      <c r="N105" s="59">
        <v>2</v>
      </c>
      <c r="O105" s="60">
        <v>4</v>
      </c>
      <c r="P105" s="60">
        <v>3.75</v>
      </c>
      <c r="Q105" s="60">
        <v>0.1111111111111111</v>
      </c>
      <c r="R105" s="60">
        <v>0.10416666666666667</v>
      </c>
    </row>
    <row r="106" spans="2:18" ht="37">
      <c r="B106" s="61" t="s">
        <v>29</v>
      </c>
      <c r="C106" s="62" t="s">
        <v>201</v>
      </c>
      <c r="D106" s="63" t="s">
        <v>206</v>
      </c>
      <c r="E106" s="64" t="s">
        <v>234</v>
      </c>
      <c r="F106" s="65" t="s">
        <v>328</v>
      </c>
      <c r="G106" s="66" t="s">
        <v>353</v>
      </c>
      <c r="H106" s="67">
        <v>36</v>
      </c>
      <c r="I106" s="68">
        <v>0.47420463393548867</v>
      </c>
      <c r="J106" s="69">
        <f t="shared" si="1"/>
        <v>17.071366821677593</v>
      </c>
      <c r="K106" s="57" t="s">
        <v>159</v>
      </c>
      <c r="L106" s="57" t="s">
        <v>33</v>
      </c>
      <c r="M106" s="59" t="s">
        <v>196</v>
      </c>
      <c r="N106" s="59">
        <v>2</v>
      </c>
      <c r="O106" s="60">
        <v>4</v>
      </c>
      <c r="P106" s="60">
        <v>3.75</v>
      </c>
      <c r="Q106" s="60">
        <v>0.1111111111111111</v>
      </c>
      <c r="R106" s="60">
        <v>0.10416666666666667</v>
      </c>
    </row>
    <row r="107" spans="2:18" ht="37">
      <c r="B107" s="61" t="s">
        <v>29</v>
      </c>
      <c r="C107" s="62" t="s">
        <v>201</v>
      </c>
      <c r="D107" s="63" t="s">
        <v>206</v>
      </c>
      <c r="E107" s="64" t="s">
        <v>235</v>
      </c>
      <c r="F107" s="65" t="s">
        <v>328</v>
      </c>
      <c r="G107" s="66" t="s">
        <v>354</v>
      </c>
      <c r="H107" s="67">
        <v>36</v>
      </c>
      <c r="I107" s="68">
        <v>0.47420463393548867</v>
      </c>
      <c r="J107" s="69">
        <f t="shared" si="1"/>
        <v>17.071366821677593</v>
      </c>
      <c r="K107" s="57" t="s">
        <v>159</v>
      </c>
      <c r="L107" s="57" t="s">
        <v>33</v>
      </c>
      <c r="M107" s="59" t="s">
        <v>196</v>
      </c>
      <c r="N107" s="59">
        <v>2</v>
      </c>
      <c r="O107" s="60">
        <v>4</v>
      </c>
      <c r="P107" s="60">
        <v>3.75</v>
      </c>
      <c r="Q107" s="60">
        <v>0.1111111111111111</v>
      </c>
      <c r="R107" s="60">
        <v>0.10416666666666667</v>
      </c>
    </row>
    <row r="108" spans="2:18" ht="37">
      <c r="B108" s="61" t="s">
        <v>29</v>
      </c>
      <c r="C108" s="62" t="s">
        <v>201</v>
      </c>
      <c r="D108" s="63" t="s">
        <v>206</v>
      </c>
      <c r="E108" s="64" t="s">
        <v>236</v>
      </c>
      <c r="F108" s="65" t="s">
        <v>328</v>
      </c>
      <c r="G108" s="66" t="s">
        <v>355</v>
      </c>
      <c r="H108" s="67">
        <v>36</v>
      </c>
      <c r="I108" s="68">
        <v>0.47420463393548867</v>
      </c>
      <c r="J108" s="69">
        <f t="shared" si="1"/>
        <v>17.071366821677593</v>
      </c>
      <c r="K108" s="57" t="s">
        <v>159</v>
      </c>
      <c r="L108" s="57" t="s">
        <v>33</v>
      </c>
      <c r="M108" s="59" t="s">
        <v>196</v>
      </c>
      <c r="N108" s="59">
        <v>2</v>
      </c>
      <c r="O108" s="60">
        <v>4</v>
      </c>
      <c r="P108" s="60">
        <v>3.75</v>
      </c>
      <c r="Q108" s="60">
        <v>0.1111111111111111</v>
      </c>
      <c r="R108" s="60">
        <v>0.10416666666666667</v>
      </c>
    </row>
    <row r="109" spans="2:18" ht="18.5">
      <c r="B109" s="61" t="s">
        <v>29</v>
      </c>
      <c r="C109" s="62" t="s">
        <v>201</v>
      </c>
      <c r="D109" s="63" t="s">
        <v>207</v>
      </c>
      <c r="E109" s="64" t="s">
        <v>237</v>
      </c>
      <c r="F109" s="65" t="s">
        <v>37</v>
      </c>
      <c r="G109" s="66" t="s">
        <v>356</v>
      </c>
      <c r="H109" s="67">
        <v>8</v>
      </c>
      <c r="I109" s="68">
        <v>1.8788651092719693</v>
      </c>
      <c r="J109" s="69">
        <f t="shared" si="1"/>
        <v>15.030920874175754</v>
      </c>
      <c r="K109" s="57" t="s">
        <v>164</v>
      </c>
      <c r="L109" s="57" t="s">
        <v>44</v>
      </c>
      <c r="M109" s="59" t="s">
        <v>177</v>
      </c>
      <c r="N109" s="59">
        <v>4</v>
      </c>
      <c r="O109" s="60">
        <v>1.55</v>
      </c>
      <c r="P109" s="60">
        <v>1.32</v>
      </c>
      <c r="Q109" s="60">
        <v>0.19375000000000001</v>
      </c>
      <c r="R109" s="60">
        <v>0.16500000000000001</v>
      </c>
    </row>
    <row r="110" spans="2:18" ht="18.5">
      <c r="B110" s="61" t="s">
        <v>29</v>
      </c>
      <c r="C110" s="62" t="s">
        <v>201</v>
      </c>
      <c r="D110" s="63" t="s">
        <v>207</v>
      </c>
      <c r="E110" s="64" t="s">
        <v>238</v>
      </c>
      <c r="F110" s="65" t="s">
        <v>37</v>
      </c>
      <c r="G110" s="66" t="s">
        <v>357</v>
      </c>
      <c r="H110" s="67">
        <v>8</v>
      </c>
      <c r="I110" s="68">
        <v>2.6842324032027354</v>
      </c>
      <c r="J110" s="69">
        <f t="shared" si="1"/>
        <v>21.473859225621883</v>
      </c>
      <c r="K110" s="57" t="s">
        <v>164</v>
      </c>
      <c r="L110" s="57" t="s">
        <v>44</v>
      </c>
      <c r="M110" s="59" t="s">
        <v>177</v>
      </c>
      <c r="N110" s="59">
        <v>4</v>
      </c>
      <c r="O110" s="60">
        <v>1.55</v>
      </c>
      <c r="P110" s="60">
        <v>1.32</v>
      </c>
      <c r="Q110" s="60">
        <v>0.19375000000000001</v>
      </c>
      <c r="R110" s="60">
        <v>0.16500000000000001</v>
      </c>
    </row>
    <row r="111" spans="2:18" ht="18.5">
      <c r="B111" s="61" t="s">
        <v>29</v>
      </c>
      <c r="C111" s="62" t="s">
        <v>201</v>
      </c>
      <c r="D111" s="63" t="s">
        <v>208</v>
      </c>
      <c r="E111" s="64" t="s">
        <v>239</v>
      </c>
      <c r="F111" s="65" t="s">
        <v>58</v>
      </c>
      <c r="G111" s="66" t="s">
        <v>358</v>
      </c>
      <c r="H111" s="67">
        <v>6</v>
      </c>
      <c r="I111" s="68">
        <v>0.55479990711053262</v>
      </c>
      <c r="J111" s="69">
        <f t="shared" si="1"/>
        <v>3.3287994426631959</v>
      </c>
      <c r="K111" s="57" t="s">
        <v>155</v>
      </c>
      <c r="L111" s="57" t="s">
        <v>427</v>
      </c>
      <c r="M111" s="59" t="s">
        <v>170</v>
      </c>
      <c r="N111" s="59">
        <v>5</v>
      </c>
      <c r="O111" s="60">
        <v>0.8571428571428571</v>
      </c>
      <c r="P111" s="60">
        <v>0.78571428571428581</v>
      </c>
      <c r="Q111" s="60">
        <v>0.14285714285714285</v>
      </c>
      <c r="R111" s="60">
        <v>0.13095238095238096</v>
      </c>
    </row>
    <row r="112" spans="2:18" ht="18.5">
      <c r="B112" s="61" t="s">
        <v>29</v>
      </c>
      <c r="C112" s="62" t="s">
        <v>201</v>
      </c>
      <c r="D112" s="63" t="s">
        <v>208</v>
      </c>
      <c r="E112" s="64" t="s">
        <v>240</v>
      </c>
      <c r="F112" s="65" t="s">
        <v>58</v>
      </c>
      <c r="G112" s="66" t="s">
        <v>359</v>
      </c>
      <c r="H112" s="67">
        <v>6</v>
      </c>
      <c r="I112" s="68">
        <v>0.68886516781575102</v>
      </c>
      <c r="J112" s="69">
        <f t="shared" si="1"/>
        <v>4.1331910068945064</v>
      </c>
      <c r="K112" s="57" t="s">
        <v>155</v>
      </c>
      <c r="L112" s="57" t="s">
        <v>427</v>
      </c>
      <c r="M112" s="59" t="s">
        <v>170</v>
      </c>
      <c r="N112" s="59">
        <v>5</v>
      </c>
      <c r="O112" s="60">
        <v>0.8571428571428571</v>
      </c>
      <c r="P112" s="60">
        <v>0.78571428571428581</v>
      </c>
      <c r="Q112" s="60">
        <v>0.14285714285714285</v>
      </c>
      <c r="R112" s="60">
        <v>0.13095238095238096</v>
      </c>
    </row>
    <row r="113" spans="2:18" ht="18.5">
      <c r="B113" s="61" t="s">
        <v>29</v>
      </c>
      <c r="C113" s="62" t="s">
        <v>201</v>
      </c>
      <c r="D113" s="63" t="s">
        <v>208</v>
      </c>
      <c r="E113" s="64" t="s">
        <v>241</v>
      </c>
      <c r="F113" s="65" t="s">
        <v>58</v>
      </c>
      <c r="G113" s="66" t="s">
        <v>360</v>
      </c>
      <c r="H113" s="67">
        <v>6</v>
      </c>
      <c r="I113" s="68">
        <v>0.82312557446086065</v>
      </c>
      <c r="J113" s="69">
        <f t="shared" si="1"/>
        <v>4.9387534467651637</v>
      </c>
      <c r="K113" s="57" t="s">
        <v>155</v>
      </c>
      <c r="L113" s="57" t="s">
        <v>427</v>
      </c>
      <c r="M113" s="59" t="s">
        <v>170</v>
      </c>
      <c r="N113" s="59">
        <v>5</v>
      </c>
      <c r="O113" s="60">
        <v>0.8571428571428571</v>
      </c>
      <c r="P113" s="60">
        <v>0.78571428571428581</v>
      </c>
      <c r="Q113" s="60">
        <v>0.14285714285714285</v>
      </c>
      <c r="R113" s="60">
        <v>0.13095238095238096</v>
      </c>
    </row>
    <row r="114" spans="2:18" ht="18.5">
      <c r="B114" s="61" t="s">
        <v>29</v>
      </c>
      <c r="C114" s="62" t="s">
        <v>201</v>
      </c>
      <c r="D114" s="63" t="s">
        <v>208</v>
      </c>
      <c r="E114" s="64" t="s">
        <v>242</v>
      </c>
      <c r="F114" s="65" t="s">
        <v>58</v>
      </c>
      <c r="G114" s="66" t="s">
        <v>361</v>
      </c>
      <c r="H114" s="67">
        <v>6</v>
      </c>
      <c r="I114" s="68">
        <v>0.90372084763590466</v>
      </c>
      <c r="J114" s="69">
        <f t="shared" si="1"/>
        <v>5.4223250858154284</v>
      </c>
      <c r="K114" s="57" t="s">
        <v>155</v>
      </c>
      <c r="L114" s="57" t="s">
        <v>427</v>
      </c>
      <c r="M114" s="59" t="s">
        <v>170</v>
      </c>
      <c r="N114" s="59">
        <v>5</v>
      </c>
      <c r="O114" s="60">
        <v>0.8571428571428571</v>
      </c>
      <c r="P114" s="60">
        <v>0.78571428571428581</v>
      </c>
      <c r="Q114" s="60">
        <v>0.14285714285714285</v>
      </c>
      <c r="R114" s="60">
        <v>0.13095238095238096</v>
      </c>
    </row>
    <row r="115" spans="2:18" ht="18.5">
      <c r="B115" s="61" t="s">
        <v>29</v>
      </c>
      <c r="C115" s="62" t="s">
        <v>201</v>
      </c>
      <c r="D115" s="63" t="s">
        <v>209</v>
      </c>
      <c r="E115" s="64" t="s">
        <v>243</v>
      </c>
      <c r="F115" s="65" t="s">
        <v>58</v>
      </c>
      <c r="G115" s="66" t="s">
        <v>362</v>
      </c>
      <c r="H115" s="67">
        <v>6</v>
      </c>
      <c r="I115" s="68">
        <v>1.0736929612810941</v>
      </c>
      <c r="J115" s="69">
        <f t="shared" si="1"/>
        <v>6.4421577676865649</v>
      </c>
      <c r="K115" s="57" t="s">
        <v>155</v>
      </c>
      <c r="L115" s="57" t="s">
        <v>427</v>
      </c>
      <c r="M115" s="59" t="s">
        <v>170</v>
      </c>
      <c r="N115" s="59">
        <v>5</v>
      </c>
      <c r="O115" s="60">
        <v>0.8571428571428571</v>
      </c>
      <c r="P115" s="60">
        <v>0.78571428571428581</v>
      </c>
      <c r="Q115" s="60">
        <v>0.14285714285714285</v>
      </c>
      <c r="R115" s="60">
        <v>0.13095238095238096</v>
      </c>
    </row>
    <row r="116" spans="2:18" ht="18.5">
      <c r="B116" s="61" t="s">
        <v>29</v>
      </c>
      <c r="C116" s="62" t="s">
        <v>201</v>
      </c>
      <c r="D116" s="63" t="s">
        <v>209</v>
      </c>
      <c r="E116" s="64" t="s">
        <v>244</v>
      </c>
      <c r="F116" s="65" t="s">
        <v>58</v>
      </c>
      <c r="G116" s="66" t="s">
        <v>363</v>
      </c>
      <c r="H116" s="67">
        <v>6</v>
      </c>
      <c r="I116" s="68">
        <v>1.3332370613363203</v>
      </c>
      <c r="J116" s="69">
        <f t="shared" si="1"/>
        <v>7.9994223680179211</v>
      </c>
      <c r="K116" s="57" t="s">
        <v>155</v>
      </c>
      <c r="L116" s="57" t="s">
        <v>427</v>
      </c>
      <c r="M116" s="59" t="s">
        <v>170</v>
      </c>
      <c r="N116" s="59">
        <v>5</v>
      </c>
      <c r="O116" s="60">
        <v>0.8571428571428571</v>
      </c>
      <c r="P116" s="60">
        <v>0.78571428571428581</v>
      </c>
      <c r="Q116" s="60">
        <v>0.14285714285714285</v>
      </c>
      <c r="R116" s="60">
        <v>0.13095238095238096</v>
      </c>
    </row>
    <row r="117" spans="2:18" ht="18.5">
      <c r="B117" s="61" t="s">
        <v>29</v>
      </c>
      <c r="C117" s="62" t="s">
        <v>201</v>
      </c>
      <c r="D117" s="63" t="s">
        <v>209</v>
      </c>
      <c r="E117" s="64" t="s">
        <v>245</v>
      </c>
      <c r="F117" s="65" t="s">
        <v>58</v>
      </c>
      <c r="G117" s="66" t="s">
        <v>364</v>
      </c>
      <c r="H117" s="67">
        <v>6</v>
      </c>
      <c r="I117" s="68">
        <v>1.6015627286866483</v>
      </c>
      <c r="J117" s="69">
        <f t="shared" si="1"/>
        <v>9.6093763721198897</v>
      </c>
      <c r="K117" s="57" t="s">
        <v>155</v>
      </c>
      <c r="L117" s="57" t="s">
        <v>427</v>
      </c>
      <c r="M117" s="59" t="s">
        <v>170</v>
      </c>
      <c r="N117" s="59">
        <v>5</v>
      </c>
      <c r="O117" s="60">
        <v>0.8571428571428571</v>
      </c>
      <c r="P117" s="60">
        <v>0.78571428571428581</v>
      </c>
      <c r="Q117" s="60">
        <v>0.14285714285714285</v>
      </c>
      <c r="R117" s="60">
        <v>0.13095238095238096</v>
      </c>
    </row>
    <row r="118" spans="2:18" ht="18.5">
      <c r="B118" s="61" t="s">
        <v>68</v>
      </c>
      <c r="C118" s="62" t="s">
        <v>201</v>
      </c>
      <c r="D118" s="63" t="s">
        <v>212</v>
      </c>
      <c r="E118" s="64" t="s">
        <v>278</v>
      </c>
      <c r="F118" s="65" t="s">
        <v>333</v>
      </c>
      <c r="G118" s="66" t="s">
        <v>395</v>
      </c>
      <c r="H118" s="67">
        <v>2</v>
      </c>
      <c r="I118" s="68">
        <v>3.1315068974332458</v>
      </c>
      <c r="J118" s="69">
        <f t="shared" si="1"/>
        <v>6.2630137948664917</v>
      </c>
      <c r="K118" s="57" t="s">
        <v>460</v>
      </c>
      <c r="L118" s="57" t="s">
        <v>431</v>
      </c>
      <c r="M118" s="59" t="s">
        <v>450</v>
      </c>
      <c r="N118" s="59">
        <v>34</v>
      </c>
      <c r="O118" s="60">
        <v>1.5333333333333332</v>
      </c>
      <c r="P118" s="60">
        <v>1.4166666666666667</v>
      </c>
      <c r="Q118" s="60">
        <v>0.76666666666666661</v>
      </c>
      <c r="R118" s="60">
        <v>0.70833333333333337</v>
      </c>
    </row>
    <row r="119" spans="2:18" ht="18.5">
      <c r="B119" s="61" t="s">
        <v>68</v>
      </c>
      <c r="C119" s="62" t="s">
        <v>201</v>
      </c>
      <c r="D119" s="63" t="s">
        <v>213</v>
      </c>
      <c r="E119" s="64" t="s">
        <v>279</v>
      </c>
      <c r="F119" s="65" t="s">
        <v>333</v>
      </c>
      <c r="G119" s="66" t="s">
        <v>395</v>
      </c>
      <c r="H119" s="67">
        <v>2</v>
      </c>
      <c r="I119" s="68">
        <v>3.1315068974332458</v>
      </c>
      <c r="J119" s="69">
        <f t="shared" si="1"/>
        <v>6.2630137948664917</v>
      </c>
      <c r="K119" s="57" t="s">
        <v>460</v>
      </c>
      <c r="L119" s="57" t="s">
        <v>431</v>
      </c>
      <c r="M119" s="59" t="s">
        <v>450</v>
      </c>
      <c r="N119" s="59">
        <v>34</v>
      </c>
      <c r="O119" s="60">
        <v>1.5333333333333332</v>
      </c>
      <c r="P119" s="60">
        <v>1.4166666666666667</v>
      </c>
      <c r="Q119" s="60">
        <v>0.76666666666666661</v>
      </c>
      <c r="R119" s="60">
        <v>0.70833333333333337</v>
      </c>
    </row>
    <row r="120" spans="2:18" ht="18.5">
      <c r="B120" s="61" t="s">
        <v>68</v>
      </c>
      <c r="C120" s="62" t="s">
        <v>201</v>
      </c>
      <c r="D120" s="63" t="s">
        <v>212</v>
      </c>
      <c r="E120" s="64" t="s">
        <v>280</v>
      </c>
      <c r="F120" s="65" t="s">
        <v>333</v>
      </c>
      <c r="G120" s="66" t="s">
        <v>396</v>
      </c>
      <c r="H120" s="67">
        <v>2</v>
      </c>
      <c r="I120" s="68">
        <v>3.3104557243134276</v>
      </c>
      <c r="J120" s="69">
        <f t="shared" si="1"/>
        <v>6.6209114486268552</v>
      </c>
      <c r="K120" s="57" t="s">
        <v>460</v>
      </c>
      <c r="L120" s="57" t="s">
        <v>431</v>
      </c>
      <c r="M120" s="59" t="s">
        <v>450</v>
      </c>
      <c r="N120" s="59">
        <v>34</v>
      </c>
      <c r="O120" s="60">
        <v>1.5333333333333332</v>
      </c>
      <c r="P120" s="60">
        <v>1.4166666666666667</v>
      </c>
      <c r="Q120" s="60">
        <v>0.76666666666666661</v>
      </c>
      <c r="R120" s="60">
        <v>0.70833333333333337</v>
      </c>
    </row>
    <row r="121" spans="2:18" ht="18.5">
      <c r="B121" s="61" t="s">
        <v>68</v>
      </c>
      <c r="C121" s="62" t="s">
        <v>201</v>
      </c>
      <c r="D121" s="63" t="s">
        <v>213</v>
      </c>
      <c r="E121" s="64" t="s">
        <v>281</v>
      </c>
      <c r="F121" s="65" t="s">
        <v>333</v>
      </c>
      <c r="G121" s="66" t="s">
        <v>396</v>
      </c>
      <c r="H121" s="67">
        <v>2</v>
      </c>
      <c r="I121" s="68">
        <v>3.3104557243134276</v>
      </c>
      <c r="J121" s="69">
        <f t="shared" si="1"/>
        <v>6.6209114486268552</v>
      </c>
      <c r="K121" s="57" t="s">
        <v>460</v>
      </c>
      <c r="L121" s="57" t="s">
        <v>431</v>
      </c>
      <c r="M121" s="59" t="s">
        <v>450</v>
      </c>
      <c r="N121" s="59">
        <v>34</v>
      </c>
      <c r="O121" s="60">
        <v>1.5333333333333332</v>
      </c>
      <c r="P121" s="60">
        <v>1.4166666666666667</v>
      </c>
      <c r="Q121" s="60">
        <v>0.76666666666666661</v>
      </c>
      <c r="R121" s="60">
        <v>0.70833333333333337</v>
      </c>
    </row>
    <row r="122" spans="2:18" ht="18.5">
      <c r="B122" s="61" t="s">
        <v>68</v>
      </c>
      <c r="C122" s="62" t="s">
        <v>201</v>
      </c>
      <c r="D122" s="63" t="s">
        <v>212</v>
      </c>
      <c r="E122" s="64" t="s">
        <v>282</v>
      </c>
      <c r="F122" s="65" t="s">
        <v>333</v>
      </c>
      <c r="G122" s="66" t="s">
        <v>397</v>
      </c>
      <c r="H122" s="67">
        <v>2</v>
      </c>
      <c r="I122" s="68">
        <v>3.4000277107234647</v>
      </c>
      <c r="J122" s="69">
        <f t="shared" si="1"/>
        <v>6.8000554214469293</v>
      </c>
      <c r="K122" s="57" t="s">
        <v>460</v>
      </c>
      <c r="L122" s="57" t="s">
        <v>431</v>
      </c>
      <c r="M122" s="59" t="s">
        <v>450</v>
      </c>
      <c r="N122" s="59">
        <v>34</v>
      </c>
      <c r="O122" s="60">
        <v>1.5333333333333332</v>
      </c>
      <c r="P122" s="60">
        <v>1.4166666666666667</v>
      </c>
      <c r="Q122" s="60">
        <v>0.76666666666666661</v>
      </c>
      <c r="R122" s="60">
        <v>0.70833333333333337</v>
      </c>
    </row>
    <row r="123" spans="2:18" ht="18.5">
      <c r="B123" s="61" t="s">
        <v>68</v>
      </c>
      <c r="C123" s="62" t="s">
        <v>201</v>
      </c>
      <c r="D123" s="63" t="s">
        <v>213</v>
      </c>
      <c r="E123" s="64" t="s">
        <v>283</v>
      </c>
      <c r="F123" s="65" t="s">
        <v>333</v>
      </c>
      <c r="G123" s="66" t="s">
        <v>397</v>
      </c>
      <c r="H123" s="67">
        <v>2</v>
      </c>
      <c r="I123" s="68">
        <v>3.4000277107234647</v>
      </c>
      <c r="J123" s="69">
        <f t="shared" si="1"/>
        <v>6.8000554214469293</v>
      </c>
      <c r="K123" s="57" t="s">
        <v>460</v>
      </c>
      <c r="L123" s="57" t="s">
        <v>431</v>
      </c>
      <c r="M123" s="59" t="s">
        <v>450</v>
      </c>
      <c r="N123" s="59">
        <v>34</v>
      </c>
      <c r="O123" s="60">
        <v>1.5333333333333332</v>
      </c>
      <c r="P123" s="60">
        <v>1.4166666666666667</v>
      </c>
      <c r="Q123" s="60">
        <v>0.76666666666666661</v>
      </c>
      <c r="R123" s="60">
        <v>0.70833333333333337</v>
      </c>
    </row>
    <row r="124" spans="2:18" ht="18.5">
      <c r="B124" s="61" t="s">
        <v>29</v>
      </c>
      <c r="C124" s="62" t="s">
        <v>201</v>
      </c>
      <c r="D124" s="63" t="s">
        <v>84</v>
      </c>
      <c r="E124" s="64" t="s">
        <v>85</v>
      </c>
      <c r="F124" s="65" t="s">
        <v>93</v>
      </c>
      <c r="G124" s="66" t="s">
        <v>96</v>
      </c>
      <c r="H124" s="67">
        <v>8</v>
      </c>
      <c r="I124" s="68">
        <v>3.1851720309033111</v>
      </c>
      <c r="J124" s="69">
        <f t="shared" si="1"/>
        <v>25.481376247226489</v>
      </c>
      <c r="K124" s="57" t="s">
        <v>164</v>
      </c>
      <c r="L124" s="57" t="s">
        <v>44</v>
      </c>
      <c r="M124" s="59" t="s">
        <v>177</v>
      </c>
      <c r="N124" s="59">
        <v>4</v>
      </c>
      <c r="O124" s="60">
        <v>2.85</v>
      </c>
      <c r="P124" s="60">
        <v>2.38</v>
      </c>
      <c r="Q124" s="60">
        <v>0.35625000000000001</v>
      </c>
      <c r="R124" s="60">
        <v>0.29749999999999999</v>
      </c>
    </row>
    <row r="125" spans="2:18" ht="18.5">
      <c r="B125" s="61" t="s">
        <v>29</v>
      </c>
      <c r="C125" s="62" t="s">
        <v>201</v>
      </c>
      <c r="D125" s="63" t="s">
        <v>84</v>
      </c>
      <c r="E125" s="64" t="s">
        <v>86</v>
      </c>
      <c r="F125" s="65" t="s">
        <v>93</v>
      </c>
      <c r="G125" s="66" t="s">
        <v>97</v>
      </c>
      <c r="H125" s="67">
        <v>8</v>
      </c>
      <c r="I125" s="68">
        <v>4.0262510318341569</v>
      </c>
      <c r="J125" s="69">
        <f t="shared" si="1"/>
        <v>32.210008254673255</v>
      </c>
      <c r="K125" s="57" t="s">
        <v>164</v>
      </c>
      <c r="L125" s="57" t="s">
        <v>44</v>
      </c>
      <c r="M125" s="59" t="s">
        <v>177</v>
      </c>
      <c r="N125" s="59">
        <v>4</v>
      </c>
      <c r="O125" s="60">
        <v>2.85</v>
      </c>
      <c r="P125" s="60">
        <v>2.38</v>
      </c>
      <c r="Q125" s="60">
        <v>0.35625000000000001</v>
      </c>
      <c r="R125" s="60">
        <v>0.29749999999999999</v>
      </c>
    </row>
    <row r="126" spans="2:18" ht="18.5">
      <c r="B126" s="61" t="s">
        <v>29</v>
      </c>
      <c r="C126" s="62" t="s">
        <v>201</v>
      </c>
      <c r="D126" s="63" t="s">
        <v>214</v>
      </c>
      <c r="E126" s="64" t="s">
        <v>284</v>
      </c>
      <c r="F126" s="65" t="s">
        <v>327</v>
      </c>
      <c r="G126" s="66" t="s">
        <v>398</v>
      </c>
      <c r="H126" s="67">
        <v>4</v>
      </c>
      <c r="I126" s="68">
        <v>1.5478975952165828</v>
      </c>
      <c r="J126" s="69">
        <f t="shared" si="1"/>
        <v>6.1915903808663311</v>
      </c>
      <c r="K126" s="57" t="s">
        <v>159</v>
      </c>
      <c r="L126" s="57" t="s">
        <v>432</v>
      </c>
      <c r="M126" s="59" t="s">
        <v>437</v>
      </c>
      <c r="N126" s="59">
        <v>1</v>
      </c>
      <c r="O126" s="60">
        <v>1.9000000000000001</v>
      </c>
      <c r="P126" s="60">
        <v>1.5666666666666667</v>
      </c>
      <c r="Q126" s="60">
        <v>0.47500000000000003</v>
      </c>
      <c r="R126" s="60">
        <v>0.39166666666666666</v>
      </c>
    </row>
    <row r="127" spans="2:18" ht="18.5">
      <c r="B127" s="61" t="s">
        <v>29</v>
      </c>
      <c r="C127" s="62" t="s">
        <v>201</v>
      </c>
      <c r="D127" s="63" t="s">
        <v>214</v>
      </c>
      <c r="E127" s="64" t="s">
        <v>285</v>
      </c>
      <c r="F127" s="65" t="s">
        <v>327</v>
      </c>
      <c r="G127" s="66" t="s">
        <v>399</v>
      </c>
      <c r="H127" s="67">
        <v>4</v>
      </c>
      <c r="I127" s="68">
        <v>1.5478975952165828</v>
      </c>
      <c r="J127" s="69">
        <f t="shared" si="1"/>
        <v>6.1915903808663311</v>
      </c>
      <c r="K127" s="57" t="s">
        <v>159</v>
      </c>
      <c r="L127" s="57" t="s">
        <v>432</v>
      </c>
      <c r="M127" s="59" t="s">
        <v>437</v>
      </c>
      <c r="N127" s="59">
        <v>1</v>
      </c>
      <c r="O127" s="60">
        <v>1.9000000000000001</v>
      </c>
      <c r="P127" s="60">
        <v>1.5666666666666667</v>
      </c>
      <c r="Q127" s="60">
        <v>0.47500000000000003</v>
      </c>
      <c r="R127" s="60">
        <v>0.39166666666666666</v>
      </c>
    </row>
    <row r="128" spans="2:18" ht="18.5">
      <c r="B128" s="61" t="s">
        <v>29</v>
      </c>
      <c r="C128" s="62" t="s">
        <v>201</v>
      </c>
      <c r="D128" s="63" t="s">
        <v>214</v>
      </c>
      <c r="E128" s="64" t="s">
        <v>286</v>
      </c>
      <c r="F128" s="65" t="s">
        <v>327</v>
      </c>
      <c r="G128" s="66" t="s">
        <v>400</v>
      </c>
      <c r="H128" s="67">
        <v>4</v>
      </c>
      <c r="I128" s="68">
        <v>1.5478975952165828</v>
      </c>
      <c r="J128" s="69">
        <f t="shared" si="1"/>
        <v>6.1915903808663311</v>
      </c>
      <c r="K128" s="57" t="s">
        <v>159</v>
      </c>
      <c r="L128" s="57" t="s">
        <v>432</v>
      </c>
      <c r="M128" s="59" t="s">
        <v>437</v>
      </c>
      <c r="N128" s="59">
        <v>1</v>
      </c>
      <c r="O128" s="60">
        <v>1.9000000000000001</v>
      </c>
      <c r="P128" s="60">
        <v>1.5666666666666667</v>
      </c>
      <c r="Q128" s="60">
        <v>0.47500000000000003</v>
      </c>
      <c r="R128" s="60">
        <v>0.39166666666666666</v>
      </c>
    </row>
    <row r="129" spans="2:18" ht="18.5">
      <c r="B129" s="61" t="s">
        <v>68</v>
      </c>
      <c r="C129" s="62" t="s">
        <v>201</v>
      </c>
      <c r="D129" s="63" t="s">
        <v>215</v>
      </c>
      <c r="E129" s="64" t="s">
        <v>287</v>
      </c>
      <c r="F129" s="65" t="s">
        <v>334</v>
      </c>
      <c r="G129" s="66" t="s">
        <v>401</v>
      </c>
      <c r="H129" s="67">
        <v>4</v>
      </c>
      <c r="I129" s="68">
        <v>4.5453392319446095</v>
      </c>
      <c r="J129" s="69">
        <f t="shared" si="1"/>
        <v>18.181356927778438</v>
      </c>
      <c r="K129" s="57" t="s">
        <v>461</v>
      </c>
      <c r="L129" s="57" t="s">
        <v>433</v>
      </c>
      <c r="M129" s="59" t="s">
        <v>451</v>
      </c>
      <c r="N129" s="59">
        <v>35</v>
      </c>
      <c r="O129" s="60">
        <v>2.1999999999999997</v>
      </c>
      <c r="P129" s="60">
        <v>1.9433333333333334</v>
      </c>
      <c r="Q129" s="60">
        <v>0.54999999999999993</v>
      </c>
      <c r="R129" s="60">
        <v>0.48583333333333334</v>
      </c>
    </row>
    <row r="130" spans="2:18" ht="18.5">
      <c r="B130" s="61" t="s">
        <v>68</v>
      </c>
      <c r="C130" s="62" t="s">
        <v>201</v>
      </c>
      <c r="D130" s="63" t="s">
        <v>215</v>
      </c>
      <c r="E130" s="64" t="s">
        <v>288</v>
      </c>
      <c r="F130" s="65" t="s">
        <v>76</v>
      </c>
      <c r="G130" s="66" t="s">
        <v>402</v>
      </c>
      <c r="H130" s="67">
        <v>8</v>
      </c>
      <c r="I130" s="68">
        <v>1.3599720551014076</v>
      </c>
      <c r="J130" s="69">
        <f t="shared" si="1"/>
        <v>10.879776440811261</v>
      </c>
      <c r="K130" s="57" t="s">
        <v>461</v>
      </c>
      <c r="L130" s="57" t="s">
        <v>433</v>
      </c>
      <c r="M130" s="59" t="s">
        <v>451</v>
      </c>
      <c r="N130" s="59">
        <v>35</v>
      </c>
      <c r="O130" s="60">
        <v>4.3999999999999995</v>
      </c>
      <c r="P130" s="60">
        <v>3.8866666666666667</v>
      </c>
      <c r="Q130" s="60">
        <v>0.54999999999999993</v>
      </c>
      <c r="R130" s="60">
        <v>0.48583333333333334</v>
      </c>
    </row>
    <row r="131" spans="2:18" ht="18.5">
      <c r="B131" s="61" t="s">
        <v>68</v>
      </c>
      <c r="C131" s="62" t="s">
        <v>201</v>
      </c>
      <c r="D131" s="63" t="s">
        <v>216</v>
      </c>
      <c r="E131" s="64" t="s">
        <v>289</v>
      </c>
      <c r="F131" s="65" t="s">
        <v>333</v>
      </c>
      <c r="G131" s="66" t="s">
        <v>403</v>
      </c>
      <c r="H131" s="67">
        <v>2</v>
      </c>
      <c r="I131" s="68">
        <v>5.8426694403409591</v>
      </c>
      <c r="J131" s="69">
        <f t="shared" si="1"/>
        <v>11.685338880681918</v>
      </c>
      <c r="K131" s="57" t="s">
        <v>462</v>
      </c>
      <c r="L131" s="57" t="s">
        <v>434</v>
      </c>
      <c r="M131" s="59" t="s">
        <v>452</v>
      </c>
      <c r="N131" s="59">
        <v>36</v>
      </c>
      <c r="O131" s="60">
        <v>3.8833333333333333</v>
      </c>
      <c r="P131" s="60">
        <v>3.6166666666666667</v>
      </c>
      <c r="Q131" s="60">
        <v>1.9416666666666667</v>
      </c>
      <c r="R131" s="60">
        <v>1.8083333333333333</v>
      </c>
    </row>
    <row r="132" spans="2:18" ht="18.5">
      <c r="B132" s="61" t="s">
        <v>68</v>
      </c>
      <c r="C132" s="62" t="s">
        <v>201</v>
      </c>
      <c r="D132" s="63" t="s">
        <v>216</v>
      </c>
      <c r="E132" s="64" t="s">
        <v>290</v>
      </c>
      <c r="F132" s="65" t="s">
        <v>333</v>
      </c>
      <c r="G132" s="66" t="s">
        <v>403</v>
      </c>
      <c r="H132" s="67">
        <v>2</v>
      </c>
      <c r="I132" s="68">
        <v>5.8426694403409591</v>
      </c>
      <c r="J132" s="69">
        <f t="shared" si="1"/>
        <v>11.685338880681918</v>
      </c>
      <c r="K132" s="57" t="s">
        <v>462</v>
      </c>
      <c r="L132" s="57" t="s">
        <v>434</v>
      </c>
      <c r="M132" s="59" t="s">
        <v>452</v>
      </c>
      <c r="N132" s="59">
        <v>36</v>
      </c>
      <c r="O132" s="60">
        <v>3.8833333333333333</v>
      </c>
      <c r="P132" s="60">
        <v>3.6166666666666667</v>
      </c>
      <c r="Q132" s="60">
        <v>1.9416666666666667</v>
      </c>
      <c r="R132" s="60">
        <v>1.8083333333333333</v>
      </c>
    </row>
    <row r="133" spans="2:18" ht="18.5">
      <c r="B133" s="61" t="s">
        <v>68</v>
      </c>
      <c r="C133" s="62" t="s">
        <v>201</v>
      </c>
      <c r="D133" s="63" t="s">
        <v>217</v>
      </c>
      <c r="E133" s="64" t="s">
        <v>291</v>
      </c>
      <c r="F133" s="65" t="s">
        <v>333</v>
      </c>
      <c r="G133" s="66" t="s">
        <v>403</v>
      </c>
      <c r="H133" s="67">
        <v>2</v>
      </c>
      <c r="I133" s="68">
        <v>5.8426694403409591</v>
      </c>
      <c r="J133" s="69">
        <f t="shared" si="1"/>
        <v>11.685338880681918</v>
      </c>
      <c r="K133" s="57" t="s">
        <v>462</v>
      </c>
      <c r="L133" s="57" t="s">
        <v>434</v>
      </c>
      <c r="M133" s="59" t="s">
        <v>452</v>
      </c>
      <c r="N133" s="59">
        <v>36</v>
      </c>
      <c r="O133" s="60">
        <v>3.8833333333333333</v>
      </c>
      <c r="P133" s="60">
        <v>3.6166666666666667</v>
      </c>
      <c r="Q133" s="60">
        <v>1.9416666666666667</v>
      </c>
      <c r="R133" s="60">
        <v>1.8083333333333333</v>
      </c>
    </row>
    <row r="134" spans="2:18" ht="18.5">
      <c r="B134" s="61" t="s">
        <v>68</v>
      </c>
      <c r="C134" s="62" t="s">
        <v>201</v>
      </c>
      <c r="D134" s="63" t="s">
        <v>216</v>
      </c>
      <c r="E134" s="64" t="s">
        <v>292</v>
      </c>
      <c r="F134" s="65" t="s">
        <v>333</v>
      </c>
      <c r="G134" s="66" t="s">
        <v>403</v>
      </c>
      <c r="H134" s="67">
        <v>2</v>
      </c>
      <c r="I134" s="68">
        <v>5.8426694403409591</v>
      </c>
      <c r="J134" s="69">
        <f t="shared" si="1"/>
        <v>11.685338880681918</v>
      </c>
      <c r="K134" s="57" t="s">
        <v>462</v>
      </c>
      <c r="L134" s="57" t="s">
        <v>434</v>
      </c>
      <c r="M134" s="59" t="s">
        <v>452</v>
      </c>
      <c r="N134" s="59">
        <v>36</v>
      </c>
      <c r="O134" s="60">
        <v>3.8833333333333333</v>
      </c>
      <c r="P134" s="60">
        <v>3.6166666666666667</v>
      </c>
      <c r="Q134" s="60">
        <v>1.9416666666666667</v>
      </c>
      <c r="R134" s="60">
        <v>1.8083333333333333</v>
      </c>
    </row>
    <row r="135" spans="2:18" ht="18.5">
      <c r="B135" s="61" t="s">
        <v>68</v>
      </c>
      <c r="C135" s="62" t="s">
        <v>201</v>
      </c>
      <c r="D135" s="63" t="s">
        <v>217</v>
      </c>
      <c r="E135" s="64" t="s">
        <v>293</v>
      </c>
      <c r="F135" s="65" t="s">
        <v>333</v>
      </c>
      <c r="G135" s="66" t="s">
        <v>404</v>
      </c>
      <c r="H135" s="67">
        <v>2</v>
      </c>
      <c r="I135" s="68">
        <v>6.6121298813317537</v>
      </c>
      <c r="J135" s="69">
        <f t="shared" si="1"/>
        <v>13.224259762663507</v>
      </c>
      <c r="K135" s="57" t="s">
        <v>462</v>
      </c>
      <c r="L135" s="57" t="s">
        <v>434</v>
      </c>
      <c r="M135" s="59" t="s">
        <v>452</v>
      </c>
      <c r="N135" s="59">
        <v>36</v>
      </c>
      <c r="O135" s="60">
        <v>3.8833333333333333</v>
      </c>
      <c r="P135" s="60">
        <v>3.6166666666666667</v>
      </c>
      <c r="Q135" s="60">
        <v>1.9416666666666667</v>
      </c>
      <c r="R135" s="60">
        <v>1.8083333333333333</v>
      </c>
    </row>
    <row r="136" spans="2:18" ht="18.5">
      <c r="B136" s="61" t="s">
        <v>68</v>
      </c>
      <c r="C136" s="62" t="s">
        <v>201</v>
      </c>
      <c r="D136" s="63" t="s">
        <v>216</v>
      </c>
      <c r="E136" s="64" t="s">
        <v>294</v>
      </c>
      <c r="F136" s="65" t="s">
        <v>333</v>
      </c>
      <c r="G136" s="66" t="s">
        <v>404</v>
      </c>
      <c r="H136" s="67">
        <v>2</v>
      </c>
      <c r="I136" s="68">
        <v>6.6121298813317537</v>
      </c>
      <c r="J136" s="69">
        <f t="shared" si="1"/>
        <v>13.224259762663507</v>
      </c>
      <c r="K136" s="57" t="s">
        <v>462</v>
      </c>
      <c r="L136" s="57" t="s">
        <v>434</v>
      </c>
      <c r="M136" s="59" t="s">
        <v>452</v>
      </c>
      <c r="N136" s="59">
        <v>36</v>
      </c>
      <c r="O136" s="60">
        <v>3.8833333333333333</v>
      </c>
      <c r="P136" s="60">
        <v>3.6166666666666667</v>
      </c>
      <c r="Q136" s="60">
        <v>1.9416666666666667</v>
      </c>
      <c r="R136" s="60">
        <v>1.8083333333333333</v>
      </c>
    </row>
    <row r="137" spans="2:18" ht="18.5">
      <c r="B137" s="61" t="s">
        <v>68</v>
      </c>
      <c r="C137" s="62" t="s">
        <v>201</v>
      </c>
      <c r="D137" s="63" t="s">
        <v>216</v>
      </c>
      <c r="E137" s="64" t="s">
        <v>295</v>
      </c>
      <c r="F137" s="65" t="s">
        <v>333</v>
      </c>
      <c r="G137" s="66" t="s">
        <v>404</v>
      </c>
      <c r="H137" s="67">
        <v>2</v>
      </c>
      <c r="I137" s="68">
        <v>6.6121298813317537</v>
      </c>
      <c r="J137" s="69">
        <f t="shared" si="1"/>
        <v>13.224259762663507</v>
      </c>
      <c r="K137" s="57" t="s">
        <v>462</v>
      </c>
      <c r="L137" s="57" t="s">
        <v>434</v>
      </c>
      <c r="M137" s="59" t="s">
        <v>452</v>
      </c>
      <c r="N137" s="59">
        <v>36</v>
      </c>
      <c r="O137" s="60">
        <v>3.8833333333333333</v>
      </c>
      <c r="P137" s="60">
        <v>3.6166666666666667</v>
      </c>
      <c r="Q137" s="60">
        <v>1.9416666666666667</v>
      </c>
      <c r="R137" s="60">
        <v>1.8083333333333333</v>
      </c>
    </row>
    <row r="138" spans="2:18" ht="18.5">
      <c r="B138" s="61" t="s">
        <v>68</v>
      </c>
      <c r="C138" s="62" t="s">
        <v>201</v>
      </c>
      <c r="D138" s="63" t="s">
        <v>216</v>
      </c>
      <c r="E138" s="64" t="s">
        <v>296</v>
      </c>
      <c r="F138" s="65" t="s">
        <v>333</v>
      </c>
      <c r="G138" s="66" t="s">
        <v>404</v>
      </c>
      <c r="H138" s="67">
        <v>2</v>
      </c>
      <c r="I138" s="68">
        <v>6.6121298813317537</v>
      </c>
      <c r="J138" s="69">
        <f t="shared" si="1"/>
        <v>13.224259762663507</v>
      </c>
      <c r="K138" s="57" t="s">
        <v>462</v>
      </c>
      <c r="L138" s="57" t="s">
        <v>434</v>
      </c>
      <c r="M138" s="59" t="s">
        <v>452</v>
      </c>
      <c r="N138" s="59">
        <v>36</v>
      </c>
      <c r="O138" s="60">
        <v>3.8833333333333333</v>
      </c>
      <c r="P138" s="60">
        <v>3.6166666666666667</v>
      </c>
      <c r="Q138" s="60">
        <v>1.9416666666666667</v>
      </c>
      <c r="R138" s="60">
        <v>1.8083333333333333</v>
      </c>
    </row>
    <row r="139" spans="2:18" ht="18.5">
      <c r="B139" s="61" t="s">
        <v>68</v>
      </c>
      <c r="C139" s="62" t="s">
        <v>201</v>
      </c>
      <c r="D139" s="63" t="s">
        <v>217</v>
      </c>
      <c r="E139" s="64" t="s">
        <v>297</v>
      </c>
      <c r="F139" s="65" t="s">
        <v>333</v>
      </c>
      <c r="G139" s="66" t="s">
        <v>405</v>
      </c>
      <c r="H139" s="67">
        <v>2</v>
      </c>
      <c r="I139" s="68">
        <v>6.7821019949769443</v>
      </c>
      <c r="J139" s="69">
        <f t="shared" si="1"/>
        <v>13.564203989953889</v>
      </c>
      <c r="K139" s="57" t="s">
        <v>462</v>
      </c>
      <c r="L139" s="57" t="s">
        <v>435</v>
      </c>
      <c r="M139" s="59" t="s">
        <v>452</v>
      </c>
      <c r="N139" s="59">
        <v>36</v>
      </c>
      <c r="O139" s="60">
        <v>3.8833333333333333</v>
      </c>
      <c r="P139" s="60">
        <v>3.6166666666666667</v>
      </c>
      <c r="Q139" s="60">
        <v>1.9416666666666667</v>
      </c>
      <c r="R139" s="60">
        <v>1.8083333333333333</v>
      </c>
    </row>
    <row r="140" spans="2:18" ht="18.5">
      <c r="B140" s="61" t="s">
        <v>68</v>
      </c>
      <c r="C140" s="62" t="s">
        <v>201</v>
      </c>
      <c r="D140" s="63" t="s">
        <v>216</v>
      </c>
      <c r="E140" s="64" t="s">
        <v>298</v>
      </c>
      <c r="F140" s="65" t="s">
        <v>333</v>
      </c>
      <c r="G140" s="66" t="s">
        <v>405</v>
      </c>
      <c r="H140" s="67">
        <v>2</v>
      </c>
      <c r="I140" s="68">
        <v>6.7821019949769443</v>
      </c>
      <c r="J140" s="69">
        <f t="shared" si="1"/>
        <v>13.564203989953889</v>
      </c>
      <c r="K140" s="57" t="s">
        <v>462</v>
      </c>
      <c r="L140" s="57" t="s">
        <v>435</v>
      </c>
      <c r="M140" s="59" t="s">
        <v>452</v>
      </c>
      <c r="N140" s="59">
        <v>36</v>
      </c>
      <c r="O140" s="60">
        <v>3.8833333333333333</v>
      </c>
      <c r="P140" s="60">
        <v>3.6166666666666667</v>
      </c>
      <c r="Q140" s="60">
        <v>1.9416666666666667</v>
      </c>
      <c r="R140" s="60">
        <v>1.8083333333333333</v>
      </c>
    </row>
    <row r="141" spans="2:18" ht="18.5">
      <c r="B141" s="61" t="s">
        <v>68</v>
      </c>
      <c r="C141" s="62" t="s">
        <v>201</v>
      </c>
      <c r="D141" s="63" t="s">
        <v>216</v>
      </c>
      <c r="E141" s="64" t="s">
        <v>299</v>
      </c>
      <c r="F141" s="65" t="s">
        <v>333</v>
      </c>
      <c r="G141" s="66" t="s">
        <v>405</v>
      </c>
      <c r="H141" s="67">
        <v>2</v>
      </c>
      <c r="I141" s="68">
        <v>6.7821019949769443</v>
      </c>
      <c r="J141" s="69">
        <f t="shared" si="1"/>
        <v>13.564203989953889</v>
      </c>
      <c r="K141" s="57" t="s">
        <v>462</v>
      </c>
      <c r="L141" s="57" t="s">
        <v>435</v>
      </c>
      <c r="M141" s="59" t="s">
        <v>452</v>
      </c>
      <c r="N141" s="59">
        <v>36</v>
      </c>
      <c r="O141" s="60">
        <v>3.8833333333333333</v>
      </c>
      <c r="P141" s="60">
        <v>3.6166666666666667</v>
      </c>
      <c r="Q141" s="60">
        <v>1.9416666666666667</v>
      </c>
      <c r="R141" s="60">
        <v>1.8083333333333333</v>
      </c>
    </row>
    <row r="142" spans="2:18" ht="18.5">
      <c r="B142" s="61" t="s">
        <v>68</v>
      </c>
      <c r="C142" s="62" t="s">
        <v>201</v>
      </c>
      <c r="D142" s="63" t="s">
        <v>216</v>
      </c>
      <c r="E142" s="64" t="s">
        <v>300</v>
      </c>
      <c r="F142" s="65" t="s">
        <v>333</v>
      </c>
      <c r="G142" s="66" t="s">
        <v>405</v>
      </c>
      <c r="H142" s="67">
        <v>2</v>
      </c>
      <c r="I142" s="68">
        <v>6.7821019949769443</v>
      </c>
      <c r="J142" s="69">
        <f t="shared" ref="J142:J205" si="2">I142*H142</f>
        <v>13.564203989953889</v>
      </c>
      <c r="K142" s="57" t="s">
        <v>462</v>
      </c>
      <c r="L142" s="57" t="s">
        <v>435</v>
      </c>
      <c r="M142" s="59" t="s">
        <v>452</v>
      </c>
      <c r="N142" s="59">
        <v>36</v>
      </c>
      <c r="O142" s="60">
        <v>3.8833333333333333</v>
      </c>
      <c r="P142" s="60">
        <v>3.6166666666666667</v>
      </c>
      <c r="Q142" s="60">
        <v>1.9416666666666667</v>
      </c>
      <c r="R142" s="60">
        <v>1.8083333333333333</v>
      </c>
    </row>
    <row r="143" spans="2:18" ht="18.5">
      <c r="B143" s="61" t="s">
        <v>29</v>
      </c>
      <c r="C143" s="62" t="s">
        <v>201</v>
      </c>
      <c r="D143" s="63" t="s">
        <v>47</v>
      </c>
      <c r="E143" s="64" t="s">
        <v>48</v>
      </c>
      <c r="F143" s="65" t="s">
        <v>39</v>
      </c>
      <c r="G143" s="66" t="s">
        <v>60</v>
      </c>
      <c r="H143" s="67">
        <v>4</v>
      </c>
      <c r="I143" s="68">
        <v>1.2883534951613564</v>
      </c>
      <c r="J143" s="69">
        <f t="shared" si="2"/>
        <v>5.1534139806454258</v>
      </c>
      <c r="K143" s="57" t="s">
        <v>159</v>
      </c>
      <c r="L143" s="57" t="s">
        <v>33</v>
      </c>
      <c r="M143" s="59" t="s">
        <v>188</v>
      </c>
      <c r="N143" s="59">
        <v>6</v>
      </c>
      <c r="O143" s="60">
        <v>1.3499999999999999</v>
      </c>
      <c r="P143" s="60">
        <v>1.1166666666666667</v>
      </c>
      <c r="Q143" s="60">
        <v>0.33749999999999997</v>
      </c>
      <c r="R143" s="60">
        <v>0.27916666666666667</v>
      </c>
    </row>
    <row r="144" spans="2:18" ht="18.5">
      <c r="B144" s="61" t="s">
        <v>29</v>
      </c>
      <c r="C144" s="62" t="s">
        <v>201</v>
      </c>
      <c r="D144" s="63" t="s">
        <v>47</v>
      </c>
      <c r="E144" s="64" t="s">
        <v>49</v>
      </c>
      <c r="F144" s="65" t="s">
        <v>39</v>
      </c>
      <c r="G144" s="66" t="s">
        <v>61</v>
      </c>
      <c r="H144" s="67">
        <v>4</v>
      </c>
      <c r="I144" s="68">
        <v>1.2883534951613564</v>
      </c>
      <c r="J144" s="69">
        <f t="shared" si="2"/>
        <v>5.1534139806454258</v>
      </c>
      <c r="K144" s="57" t="s">
        <v>159</v>
      </c>
      <c r="L144" s="57" t="s">
        <v>33</v>
      </c>
      <c r="M144" s="59" t="s">
        <v>188</v>
      </c>
      <c r="N144" s="59">
        <v>6</v>
      </c>
      <c r="O144" s="60">
        <v>1.3499999999999999</v>
      </c>
      <c r="P144" s="60">
        <v>1.1166666666666667</v>
      </c>
      <c r="Q144" s="60">
        <v>0.33749999999999997</v>
      </c>
      <c r="R144" s="60">
        <v>0.27916666666666667</v>
      </c>
    </row>
    <row r="145" spans="2:18" ht="18.5">
      <c r="B145" s="61" t="s">
        <v>29</v>
      </c>
      <c r="C145" s="62" t="s">
        <v>201</v>
      </c>
      <c r="D145" s="63" t="s">
        <v>47</v>
      </c>
      <c r="E145" s="64" t="s">
        <v>50</v>
      </c>
      <c r="F145" s="65" t="s">
        <v>39</v>
      </c>
      <c r="G145" s="66" t="s">
        <v>62</v>
      </c>
      <c r="H145" s="67">
        <v>4</v>
      </c>
      <c r="I145" s="68">
        <v>1.2883534951613564</v>
      </c>
      <c r="J145" s="69">
        <f t="shared" si="2"/>
        <v>5.1534139806454258</v>
      </c>
      <c r="K145" s="57" t="s">
        <v>159</v>
      </c>
      <c r="L145" s="57" t="s">
        <v>33</v>
      </c>
      <c r="M145" s="59" t="s">
        <v>188</v>
      </c>
      <c r="N145" s="59">
        <v>6</v>
      </c>
      <c r="O145" s="60">
        <v>1.3499999999999999</v>
      </c>
      <c r="P145" s="60">
        <v>1.1166666666666667</v>
      </c>
      <c r="Q145" s="60">
        <v>0.33749999999999997</v>
      </c>
      <c r="R145" s="60">
        <v>0.27916666666666667</v>
      </c>
    </row>
    <row r="146" spans="2:18" ht="18.5">
      <c r="B146" s="61" t="s">
        <v>29</v>
      </c>
      <c r="C146" s="62" t="s">
        <v>201</v>
      </c>
      <c r="D146" s="63" t="s">
        <v>47</v>
      </c>
      <c r="E146" s="64" t="s">
        <v>51</v>
      </c>
      <c r="F146" s="65" t="s">
        <v>39</v>
      </c>
      <c r="G146" s="66" t="s">
        <v>63</v>
      </c>
      <c r="H146" s="67">
        <v>4</v>
      </c>
      <c r="I146" s="68">
        <v>1.2883534951613564</v>
      </c>
      <c r="J146" s="69">
        <f t="shared" si="2"/>
        <v>5.1534139806454258</v>
      </c>
      <c r="K146" s="57" t="s">
        <v>159</v>
      </c>
      <c r="L146" s="57" t="s">
        <v>33</v>
      </c>
      <c r="M146" s="59" t="s">
        <v>188</v>
      </c>
      <c r="N146" s="59">
        <v>6</v>
      </c>
      <c r="O146" s="60">
        <v>1.3499999999999999</v>
      </c>
      <c r="P146" s="60">
        <v>1.1166666666666667</v>
      </c>
      <c r="Q146" s="60">
        <v>0.33749999999999997</v>
      </c>
      <c r="R146" s="60">
        <v>0.27916666666666667</v>
      </c>
    </row>
    <row r="147" spans="2:18" ht="18.5">
      <c r="B147" s="61" t="s">
        <v>29</v>
      </c>
      <c r="C147" s="62" t="s">
        <v>201</v>
      </c>
      <c r="D147" s="63" t="s">
        <v>47</v>
      </c>
      <c r="E147" s="64" t="s">
        <v>52</v>
      </c>
      <c r="F147" s="65" t="s">
        <v>39</v>
      </c>
      <c r="G147" s="66" t="s">
        <v>64</v>
      </c>
      <c r="H147" s="67">
        <v>4</v>
      </c>
      <c r="I147" s="68">
        <v>1.2883534951613564</v>
      </c>
      <c r="J147" s="69">
        <f t="shared" si="2"/>
        <v>5.1534139806454258</v>
      </c>
      <c r="K147" s="57" t="s">
        <v>159</v>
      </c>
      <c r="L147" s="57" t="s">
        <v>33</v>
      </c>
      <c r="M147" s="59" t="s">
        <v>188</v>
      </c>
      <c r="N147" s="59">
        <v>6</v>
      </c>
      <c r="O147" s="60">
        <v>1.3499999999999999</v>
      </c>
      <c r="P147" s="60">
        <v>1.1166666666666667</v>
      </c>
      <c r="Q147" s="60">
        <v>0.33749999999999997</v>
      </c>
      <c r="R147" s="60">
        <v>0.27916666666666667</v>
      </c>
    </row>
    <row r="148" spans="2:18" ht="18.5">
      <c r="B148" s="61" t="s">
        <v>29</v>
      </c>
      <c r="C148" s="62" t="s">
        <v>201</v>
      </c>
      <c r="D148" s="63" t="s">
        <v>47</v>
      </c>
      <c r="E148" s="64" t="s">
        <v>53</v>
      </c>
      <c r="F148" s="65" t="s">
        <v>39</v>
      </c>
      <c r="G148" s="66" t="s">
        <v>65</v>
      </c>
      <c r="H148" s="67">
        <v>4</v>
      </c>
      <c r="I148" s="68">
        <v>1.2883534951613564</v>
      </c>
      <c r="J148" s="69">
        <f t="shared" si="2"/>
        <v>5.1534139806454258</v>
      </c>
      <c r="K148" s="57" t="s">
        <v>159</v>
      </c>
      <c r="L148" s="57" t="s">
        <v>33</v>
      </c>
      <c r="M148" s="59" t="s">
        <v>188</v>
      </c>
      <c r="N148" s="59">
        <v>6</v>
      </c>
      <c r="O148" s="60">
        <v>1.3499999999999999</v>
      </c>
      <c r="P148" s="60">
        <v>1.1166666666666667</v>
      </c>
      <c r="Q148" s="60">
        <v>0.33749999999999997</v>
      </c>
      <c r="R148" s="60">
        <v>0.27916666666666667</v>
      </c>
    </row>
    <row r="149" spans="2:18" ht="37">
      <c r="B149" s="61" t="s">
        <v>29</v>
      </c>
      <c r="C149" s="62" t="s">
        <v>201</v>
      </c>
      <c r="D149" s="63" t="s">
        <v>210</v>
      </c>
      <c r="E149" s="64" t="s">
        <v>246</v>
      </c>
      <c r="F149" s="65" t="s">
        <v>328</v>
      </c>
      <c r="G149" s="66" t="s">
        <v>365</v>
      </c>
      <c r="H149" s="67">
        <v>16</v>
      </c>
      <c r="I149" s="68">
        <v>0.66213017405066388</v>
      </c>
      <c r="J149" s="69">
        <f t="shared" si="2"/>
        <v>10.594082784810622</v>
      </c>
      <c r="K149" s="57" t="s">
        <v>159</v>
      </c>
      <c r="L149" s="57" t="s">
        <v>33</v>
      </c>
      <c r="M149" s="59" t="s">
        <v>438</v>
      </c>
      <c r="N149" s="59">
        <v>3</v>
      </c>
      <c r="O149" s="60">
        <v>1.8333333333333333</v>
      </c>
      <c r="P149" s="60">
        <v>1.5</v>
      </c>
      <c r="Q149" s="60">
        <v>0.11458333333333333</v>
      </c>
      <c r="R149" s="60">
        <v>9.375E-2</v>
      </c>
    </row>
    <row r="150" spans="2:18" ht="37">
      <c r="B150" s="61" t="s">
        <v>29</v>
      </c>
      <c r="C150" s="62" t="s">
        <v>201</v>
      </c>
      <c r="D150" s="63" t="s">
        <v>210</v>
      </c>
      <c r="E150" s="64" t="s">
        <v>247</v>
      </c>
      <c r="F150" s="65" t="s">
        <v>328</v>
      </c>
      <c r="G150" s="66" t="s">
        <v>366</v>
      </c>
      <c r="H150" s="67">
        <v>16</v>
      </c>
      <c r="I150" s="68">
        <v>0.66213017405066388</v>
      </c>
      <c r="J150" s="69">
        <f t="shared" si="2"/>
        <v>10.594082784810622</v>
      </c>
      <c r="K150" s="57" t="s">
        <v>159</v>
      </c>
      <c r="L150" s="57" t="s">
        <v>33</v>
      </c>
      <c r="M150" s="59" t="s">
        <v>438</v>
      </c>
      <c r="N150" s="59">
        <v>3</v>
      </c>
      <c r="O150" s="60">
        <v>1.8333333333333333</v>
      </c>
      <c r="P150" s="60">
        <v>1.5</v>
      </c>
      <c r="Q150" s="60">
        <v>0.11458333333333333</v>
      </c>
      <c r="R150" s="60">
        <v>9.375E-2</v>
      </c>
    </row>
    <row r="151" spans="2:18" ht="37">
      <c r="B151" s="61" t="s">
        <v>29</v>
      </c>
      <c r="C151" s="62" t="s">
        <v>201</v>
      </c>
      <c r="D151" s="63" t="s">
        <v>210</v>
      </c>
      <c r="E151" s="64" t="s">
        <v>248</v>
      </c>
      <c r="F151" s="65" t="s">
        <v>328</v>
      </c>
      <c r="G151" s="66" t="s">
        <v>367</v>
      </c>
      <c r="H151" s="67">
        <v>16</v>
      </c>
      <c r="I151" s="68">
        <v>0.66213017405066388</v>
      </c>
      <c r="J151" s="69">
        <f t="shared" si="2"/>
        <v>10.594082784810622</v>
      </c>
      <c r="K151" s="57" t="s">
        <v>159</v>
      </c>
      <c r="L151" s="57" t="s">
        <v>33</v>
      </c>
      <c r="M151" s="59" t="s">
        <v>438</v>
      </c>
      <c r="N151" s="59">
        <v>3</v>
      </c>
      <c r="O151" s="60">
        <v>1.8333333333333333</v>
      </c>
      <c r="P151" s="60">
        <v>1.5</v>
      </c>
      <c r="Q151" s="60">
        <v>0.11458333333333333</v>
      </c>
      <c r="R151" s="60">
        <v>9.375E-2</v>
      </c>
    </row>
    <row r="152" spans="2:18" ht="37">
      <c r="B152" s="61" t="s">
        <v>29</v>
      </c>
      <c r="C152" s="62" t="s">
        <v>201</v>
      </c>
      <c r="D152" s="63" t="s">
        <v>211</v>
      </c>
      <c r="E152" s="64" t="s">
        <v>249</v>
      </c>
      <c r="F152" s="65" t="s">
        <v>328</v>
      </c>
      <c r="G152" s="66" t="s">
        <v>368</v>
      </c>
      <c r="H152" s="67">
        <v>12</v>
      </c>
      <c r="I152" s="68">
        <v>0.90372084763590466</v>
      </c>
      <c r="J152" s="69">
        <f t="shared" si="2"/>
        <v>10.844650171630857</v>
      </c>
      <c r="K152" s="57" t="s">
        <v>159</v>
      </c>
      <c r="L152" s="57" t="s">
        <v>33</v>
      </c>
      <c r="M152" s="59" t="s">
        <v>438</v>
      </c>
      <c r="N152" s="59">
        <v>3</v>
      </c>
      <c r="O152" s="60">
        <v>2.1666666666666665</v>
      </c>
      <c r="P152" s="60">
        <v>1.8333333333333335</v>
      </c>
      <c r="Q152" s="60">
        <v>0.18055555555555555</v>
      </c>
      <c r="R152" s="60">
        <v>0.15277777777777779</v>
      </c>
    </row>
    <row r="153" spans="2:18" ht="37">
      <c r="B153" s="61" t="s">
        <v>29</v>
      </c>
      <c r="C153" s="62" t="s">
        <v>201</v>
      </c>
      <c r="D153" s="63" t="s">
        <v>211</v>
      </c>
      <c r="E153" s="64" t="s">
        <v>250</v>
      </c>
      <c r="F153" s="65" t="s">
        <v>328</v>
      </c>
      <c r="G153" s="66" t="s">
        <v>369</v>
      </c>
      <c r="H153" s="67">
        <v>12</v>
      </c>
      <c r="I153" s="68">
        <v>0.90372084763590466</v>
      </c>
      <c r="J153" s="69">
        <f t="shared" si="2"/>
        <v>10.844650171630857</v>
      </c>
      <c r="K153" s="57" t="s">
        <v>159</v>
      </c>
      <c r="L153" s="57" t="s">
        <v>33</v>
      </c>
      <c r="M153" s="59" t="s">
        <v>438</v>
      </c>
      <c r="N153" s="59">
        <v>3</v>
      </c>
      <c r="O153" s="60">
        <v>2.1666666666666665</v>
      </c>
      <c r="P153" s="60">
        <v>1.8333333333333335</v>
      </c>
      <c r="Q153" s="60">
        <v>0.18055555555555555</v>
      </c>
      <c r="R153" s="60">
        <v>0.15277777777777779</v>
      </c>
    </row>
    <row r="154" spans="2:18" ht="37">
      <c r="B154" s="61" t="s">
        <v>29</v>
      </c>
      <c r="C154" s="62" t="s">
        <v>201</v>
      </c>
      <c r="D154" s="63" t="s">
        <v>211</v>
      </c>
      <c r="E154" s="64" t="s">
        <v>251</v>
      </c>
      <c r="F154" s="65" t="s">
        <v>328</v>
      </c>
      <c r="G154" s="66" t="s">
        <v>370</v>
      </c>
      <c r="H154" s="67">
        <v>12</v>
      </c>
      <c r="I154" s="68">
        <v>0.90372084763590466</v>
      </c>
      <c r="J154" s="69">
        <f t="shared" si="2"/>
        <v>10.844650171630857</v>
      </c>
      <c r="K154" s="57" t="s">
        <v>159</v>
      </c>
      <c r="L154" s="57" t="s">
        <v>33</v>
      </c>
      <c r="M154" s="59" t="s">
        <v>438</v>
      </c>
      <c r="N154" s="59">
        <v>3</v>
      </c>
      <c r="O154" s="60">
        <v>2.1666666666666665</v>
      </c>
      <c r="P154" s="60">
        <v>1.8333333333333335</v>
      </c>
      <c r="Q154" s="60">
        <v>0.18055555555555555</v>
      </c>
      <c r="R154" s="60">
        <v>0.15277777777777779</v>
      </c>
    </row>
    <row r="155" spans="2:18" ht="18.5">
      <c r="B155" s="61" t="s">
        <v>29</v>
      </c>
      <c r="C155" s="62" t="s">
        <v>201</v>
      </c>
      <c r="D155" s="63" t="s">
        <v>218</v>
      </c>
      <c r="E155" s="64" t="s">
        <v>301</v>
      </c>
      <c r="F155" s="65" t="s">
        <v>39</v>
      </c>
      <c r="G155" s="66" t="s">
        <v>406</v>
      </c>
      <c r="H155" s="67">
        <v>8</v>
      </c>
      <c r="I155" s="68">
        <v>1.4495440415114444</v>
      </c>
      <c r="J155" s="69">
        <f t="shared" si="2"/>
        <v>11.596352332091556</v>
      </c>
      <c r="K155" s="57" t="s">
        <v>159</v>
      </c>
      <c r="L155" s="57" t="s">
        <v>33</v>
      </c>
      <c r="M155" s="59" t="s">
        <v>437</v>
      </c>
      <c r="N155" s="59">
        <v>1</v>
      </c>
      <c r="O155" s="60">
        <v>2.6999999999999997</v>
      </c>
      <c r="P155" s="60">
        <v>2.2333333333333334</v>
      </c>
      <c r="Q155" s="60">
        <v>0.33749999999999997</v>
      </c>
      <c r="R155" s="60">
        <v>0.27916666666666667</v>
      </c>
    </row>
    <row r="156" spans="2:18" ht="18.5">
      <c r="B156" s="61" t="s">
        <v>29</v>
      </c>
      <c r="C156" s="62" t="s">
        <v>201</v>
      </c>
      <c r="D156" s="63" t="s">
        <v>218</v>
      </c>
      <c r="E156" s="64" t="s">
        <v>302</v>
      </c>
      <c r="F156" s="65" t="s">
        <v>39</v>
      </c>
      <c r="G156" s="66" t="s">
        <v>407</v>
      </c>
      <c r="H156" s="67">
        <v>8</v>
      </c>
      <c r="I156" s="68">
        <v>1.4495440415114444</v>
      </c>
      <c r="J156" s="69">
        <f t="shared" si="2"/>
        <v>11.596352332091556</v>
      </c>
      <c r="K156" s="57" t="s">
        <v>159</v>
      </c>
      <c r="L156" s="57" t="s">
        <v>33</v>
      </c>
      <c r="M156" s="59" t="s">
        <v>437</v>
      </c>
      <c r="N156" s="59">
        <v>1</v>
      </c>
      <c r="O156" s="60">
        <v>2.6999999999999997</v>
      </c>
      <c r="P156" s="60">
        <v>2.2333333333333334</v>
      </c>
      <c r="Q156" s="60">
        <v>0.33749999999999997</v>
      </c>
      <c r="R156" s="60">
        <v>0.27916666666666667</v>
      </c>
    </row>
    <row r="157" spans="2:18" ht="18.5">
      <c r="B157" s="61" t="s">
        <v>29</v>
      </c>
      <c r="C157" s="62" t="s">
        <v>201</v>
      </c>
      <c r="D157" s="63" t="s">
        <v>218</v>
      </c>
      <c r="E157" s="64" t="s">
        <v>303</v>
      </c>
      <c r="F157" s="65" t="s">
        <v>39</v>
      </c>
      <c r="G157" s="66" t="s">
        <v>408</v>
      </c>
      <c r="H157" s="67">
        <v>8</v>
      </c>
      <c r="I157" s="68">
        <v>1.4495440415114444</v>
      </c>
      <c r="J157" s="69">
        <f t="shared" si="2"/>
        <v>11.596352332091556</v>
      </c>
      <c r="K157" s="57" t="s">
        <v>159</v>
      </c>
      <c r="L157" s="57" t="s">
        <v>33</v>
      </c>
      <c r="M157" s="59" t="s">
        <v>437</v>
      </c>
      <c r="N157" s="59">
        <v>1</v>
      </c>
      <c r="O157" s="60">
        <v>2.6999999999999997</v>
      </c>
      <c r="P157" s="60">
        <v>2.2333333333333334</v>
      </c>
      <c r="Q157" s="60">
        <v>0.33749999999999997</v>
      </c>
      <c r="R157" s="60">
        <v>0.27916666666666667</v>
      </c>
    </row>
    <row r="158" spans="2:18" ht="18.5">
      <c r="B158" s="61" t="s">
        <v>29</v>
      </c>
      <c r="C158" s="62" t="s">
        <v>201</v>
      </c>
      <c r="D158" s="63"/>
      <c r="E158" s="64" t="s">
        <v>105</v>
      </c>
      <c r="F158" s="65" t="s">
        <v>124</v>
      </c>
      <c r="G158" s="66" t="s">
        <v>128</v>
      </c>
      <c r="H158" s="67">
        <v>6</v>
      </c>
      <c r="I158" s="68">
        <v>13.895171504009273</v>
      </c>
      <c r="J158" s="69">
        <f t="shared" si="2"/>
        <v>83.371029024055645</v>
      </c>
      <c r="K158" s="57" t="s">
        <v>156</v>
      </c>
      <c r="L158" s="57" t="s">
        <v>147</v>
      </c>
      <c r="M158" s="59" t="s">
        <v>171</v>
      </c>
      <c r="N158" s="59">
        <v>37</v>
      </c>
      <c r="O158" s="60">
        <v>3.9000000000000004</v>
      </c>
      <c r="P158" s="60">
        <v>2.4</v>
      </c>
      <c r="Q158" s="60">
        <v>0.65</v>
      </c>
      <c r="R158" s="60">
        <v>0.39999999999999997</v>
      </c>
    </row>
    <row r="159" spans="2:18" ht="18.5">
      <c r="B159" s="61" t="s">
        <v>200</v>
      </c>
      <c r="C159" s="62" t="s">
        <v>201</v>
      </c>
      <c r="D159" s="63"/>
      <c r="E159" s="64" t="s">
        <v>252</v>
      </c>
      <c r="F159" s="65" t="s">
        <v>329</v>
      </c>
      <c r="G159" s="66" t="s">
        <v>371</v>
      </c>
      <c r="H159" s="67">
        <v>25</v>
      </c>
      <c r="I159" s="68">
        <v>1.1094046682811742</v>
      </c>
      <c r="J159" s="69">
        <f t="shared" si="2"/>
        <v>27.735116707029356</v>
      </c>
      <c r="K159" s="57" t="s">
        <v>457</v>
      </c>
      <c r="L159" s="57" t="s">
        <v>428</v>
      </c>
      <c r="M159" s="59" t="s">
        <v>439</v>
      </c>
      <c r="N159" s="59">
        <v>7</v>
      </c>
      <c r="O159" s="60">
        <v>4.1399999999999997</v>
      </c>
      <c r="P159" s="60">
        <v>2.02</v>
      </c>
      <c r="Q159" s="60">
        <v>0.1656</v>
      </c>
      <c r="R159" s="60">
        <v>8.0799999999999997E-2</v>
      </c>
    </row>
    <row r="160" spans="2:18" ht="18.5">
      <c r="B160" s="61" t="s">
        <v>29</v>
      </c>
      <c r="C160" s="62" t="s">
        <v>201</v>
      </c>
      <c r="D160" s="63"/>
      <c r="E160" s="64" t="s">
        <v>71</v>
      </c>
      <c r="F160" s="65" t="s">
        <v>76</v>
      </c>
      <c r="G160" s="66" t="s">
        <v>79</v>
      </c>
      <c r="H160" s="67">
        <v>8</v>
      </c>
      <c r="I160" s="68">
        <v>4.6616462121197335</v>
      </c>
      <c r="J160" s="69">
        <f t="shared" si="2"/>
        <v>37.293169696957868</v>
      </c>
      <c r="K160" s="57" t="s">
        <v>157</v>
      </c>
      <c r="L160" s="57" t="s">
        <v>46</v>
      </c>
      <c r="M160" s="59" t="s">
        <v>197</v>
      </c>
      <c r="N160" s="59">
        <v>38</v>
      </c>
      <c r="O160" s="60">
        <v>5.5</v>
      </c>
      <c r="P160" s="60">
        <v>4.2</v>
      </c>
      <c r="Q160" s="60">
        <v>0.6875</v>
      </c>
      <c r="R160" s="60">
        <v>0.52500000000000002</v>
      </c>
    </row>
    <row r="161" spans="2:18" ht="18.5">
      <c r="B161" s="61" t="s">
        <v>29</v>
      </c>
      <c r="C161" s="62" t="s">
        <v>201</v>
      </c>
      <c r="D161" s="63"/>
      <c r="E161" s="64" t="s">
        <v>304</v>
      </c>
      <c r="F161" s="65" t="s">
        <v>76</v>
      </c>
      <c r="G161" s="66" t="s">
        <v>79</v>
      </c>
      <c r="H161" s="67">
        <v>8</v>
      </c>
      <c r="I161" s="68">
        <v>4.6616462121197335</v>
      </c>
      <c r="J161" s="69">
        <f t="shared" si="2"/>
        <v>37.293169696957868</v>
      </c>
      <c r="K161" s="57" t="s">
        <v>157</v>
      </c>
      <c r="L161" s="57" t="s">
        <v>46</v>
      </c>
      <c r="M161" s="59" t="s">
        <v>170</v>
      </c>
      <c r="N161" s="59">
        <v>39</v>
      </c>
      <c r="O161" s="60">
        <v>5.5</v>
      </c>
      <c r="P161" s="60">
        <v>4.2</v>
      </c>
      <c r="Q161" s="60">
        <v>0.6875</v>
      </c>
      <c r="R161" s="60">
        <v>0.52500000000000002</v>
      </c>
    </row>
    <row r="162" spans="2:18" ht="18.5">
      <c r="B162" s="61" t="s">
        <v>29</v>
      </c>
      <c r="C162" s="62" t="s">
        <v>201</v>
      </c>
      <c r="D162" s="63"/>
      <c r="E162" s="64" t="s">
        <v>305</v>
      </c>
      <c r="F162" s="65" t="s">
        <v>76</v>
      </c>
      <c r="G162" s="66" t="s">
        <v>79</v>
      </c>
      <c r="H162" s="67">
        <v>16</v>
      </c>
      <c r="I162" s="68">
        <v>4.6616462121197335</v>
      </c>
      <c r="J162" s="69">
        <f t="shared" si="2"/>
        <v>74.586339393915736</v>
      </c>
      <c r="K162" s="57" t="s">
        <v>157</v>
      </c>
      <c r="L162" s="57" t="s">
        <v>46</v>
      </c>
      <c r="M162" s="59" t="s">
        <v>170</v>
      </c>
      <c r="N162" s="59">
        <v>39</v>
      </c>
      <c r="O162" s="60">
        <v>11</v>
      </c>
      <c r="P162" s="60">
        <v>8.4</v>
      </c>
      <c r="Q162" s="60">
        <v>0.6875</v>
      </c>
      <c r="R162" s="60">
        <v>0.52500000000000002</v>
      </c>
    </row>
    <row r="163" spans="2:18" ht="18.5">
      <c r="B163" s="61" t="s">
        <v>29</v>
      </c>
      <c r="C163" s="62" t="s">
        <v>201</v>
      </c>
      <c r="D163" s="63"/>
      <c r="E163" s="64" t="s">
        <v>112</v>
      </c>
      <c r="F163" s="65" t="s">
        <v>42</v>
      </c>
      <c r="G163" s="66" t="s">
        <v>136</v>
      </c>
      <c r="H163" s="67">
        <v>24</v>
      </c>
      <c r="I163" s="68">
        <v>1.7358231353317579</v>
      </c>
      <c r="J163" s="69">
        <f t="shared" si="2"/>
        <v>41.659755247962188</v>
      </c>
      <c r="K163" s="57" t="s">
        <v>161</v>
      </c>
      <c r="L163" s="57" t="s">
        <v>30</v>
      </c>
      <c r="M163" s="59" t="s">
        <v>182</v>
      </c>
      <c r="N163" s="59">
        <v>40</v>
      </c>
      <c r="O163" s="60">
        <v>34.4</v>
      </c>
      <c r="P163" s="60">
        <v>32.4</v>
      </c>
      <c r="Q163" s="60">
        <v>1.4333333333333333</v>
      </c>
      <c r="R163" s="60">
        <v>1.3499999999999999</v>
      </c>
    </row>
    <row r="164" spans="2:18" ht="18.5">
      <c r="B164" s="61" t="s">
        <v>29</v>
      </c>
      <c r="C164" s="62" t="s">
        <v>201</v>
      </c>
      <c r="D164" s="63"/>
      <c r="E164" s="64" t="s">
        <v>72</v>
      </c>
      <c r="F164" s="65" t="s">
        <v>36</v>
      </c>
      <c r="G164" s="66" t="s">
        <v>80</v>
      </c>
      <c r="H164" s="67">
        <v>24</v>
      </c>
      <c r="I164" s="68">
        <v>0.69784188105074385</v>
      </c>
      <c r="J164" s="69">
        <f t="shared" si="2"/>
        <v>16.748205145217852</v>
      </c>
      <c r="K164" s="57" t="s">
        <v>161</v>
      </c>
      <c r="L164" s="57" t="s">
        <v>30</v>
      </c>
      <c r="M164" s="59" t="s">
        <v>175</v>
      </c>
      <c r="N164" s="59">
        <v>41</v>
      </c>
      <c r="O164" s="60">
        <v>11</v>
      </c>
      <c r="P164" s="60">
        <v>10</v>
      </c>
      <c r="Q164" s="60">
        <v>0.45833333333333331</v>
      </c>
      <c r="R164" s="60">
        <v>0.41666666666666669</v>
      </c>
    </row>
    <row r="165" spans="2:18" ht="18.5">
      <c r="B165" s="61" t="s">
        <v>29</v>
      </c>
      <c r="C165" s="62" t="s">
        <v>201</v>
      </c>
      <c r="D165" s="63"/>
      <c r="E165" s="64" t="s">
        <v>306</v>
      </c>
      <c r="F165" s="65" t="s">
        <v>335</v>
      </c>
      <c r="G165" s="66" t="s">
        <v>409</v>
      </c>
      <c r="H165" s="67">
        <v>12</v>
      </c>
      <c r="I165" s="68">
        <v>1.3242603481013278</v>
      </c>
      <c r="J165" s="69">
        <f t="shared" si="2"/>
        <v>15.891124177215932</v>
      </c>
      <c r="K165" s="57" t="s">
        <v>161</v>
      </c>
      <c r="L165" s="57" t="s">
        <v>83</v>
      </c>
      <c r="M165" s="59" t="s">
        <v>453</v>
      </c>
      <c r="N165" s="59">
        <v>42</v>
      </c>
      <c r="O165" s="60">
        <v>14.119999999999997</v>
      </c>
      <c r="P165" s="60">
        <v>13.12</v>
      </c>
      <c r="Q165" s="60">
        <v>1.1766666666666665</v>
      </c>
      <c r="R165" s="60">
        <v>1.0933333333333333</v>
      </c>
    </row>
    <row r="166" spans="2:18" ht="18.5">
      <c r="B166" s="61" t="s">
        <v>29</v>
      </c>
      <c r="C166" s="62" t="s">
        <v>201</v>
      </c>
      <c r="D166" s="63"/>
      <c r="E166" s="64" t="s">
        <v>307</v>
      </c>
      <c r="F166" s="65" t="s">
        <v>335</v>
      </c>
      <c r="G166" s="66" t="s">
        <v>410</v>
      </c>
      <c r="H166" s="67">
        <v>12</v>
      </c>
      <c r="I166" s="68">
        <v>1.3242603481013278</v>
      </c>
      <c r="J166" s="69">
        <f t="shared" si="2"/>
        <v>15.891124177215932</v>
      </c>
      <c r="K166" s="57" t="s">
        <v>161</v>
      </c>
      <c r="L166" s="57" t="s">
        <v>83</v>
      </c>
      <c r="M166" s="59" t="s">
        <v>453</v>
      </c>
      <c r="N166" s="59">
        <v>42</v>
      </c>
      <c r="O166" s="60">
        <v>14.119999999999997</v>
      </c>
      <c r="P166" s="60">
        <v>13.12</v>
      </c>
      <c r="Q166" s="60">
        <v>1.1766666666666665</v>
      </c>
      <c r="R166" s="60">
        <v>1.0933333333333333</v>
      </c>
    </row>
    <row r="167" spans="2:18" ht="18.5">
      <c r="B167" s="61" t="s">
        <v>29</v>
      </c>
      <c r="C167" s="62" t="s">
        <v>201</v>
      </c>
      <c r="D167" s="63"/>
      <c r="E167" s="64" t="s">
        <v>308</v>
      </c>
      <c r="F167" s="65" t="s">
        <v>335</v>
      </c>
      <c r="G167" s="66" t="s">
        <v>411</v>
      </c>
      <c r="H167" s="67">
        <v>12</v>
      </c>
      <c r="I167" s="68">
        <v>1.3242603481013278</v>
      </c>
      <c r="J167" s="69">
        <f t="shared" si="2"/>
        <v>15.891124177215932</v>
      </c>
      <c r="K167" s="57" t="s">
        <v>161</v>
      </c>
      <c r="L167" s="57" t="s">
        <v>83</v>
      </c>
      <c r="M167" s="59" t="s">
        <v>183</v>
      </c>
      <c r="N167" s="59">
        <v>43</v>
      </c>
      <c r="O167" s="60">
        <v>14.119999999999997</v>
      </c>
      <c r="P167" s="60">
        <v>13.12</v>
      </c>
      <c r="Q167" s="60">
        <v>1.1766666666666665</v>
      </c>
      <c r="R167" s="60">
        <v>1.0933333333333333</v>
      </c>
    </row>
    <row r="168" spans="2:18" ht="18.5">
      <c r="B168" s="61" t="s">
        <v>29</v>
      </c>
      <c r="C168" s="62" t="s">
        <v>201</v>
      </c>
      <c r="D168" s="63"/>
      <c r="E168" s="64" t="s">
        <v>309</v>
      </c>
      <c r="F168" s="65" t="s">
        <v>335</v>
      </c>
      <c r="G168" s="66" t="s">
        <v>412</v>
      </c>
      <c r="H168" s="67">
        <v>12</v>
      </c>
      <c r="I168" s="68">
        <v>1.3242603481013278</v>
      </c>
      <c r="J168" s="69">
        <f t="shared" si="2"/>
        <v>15.891124177215932</v>
      </c>
      <c r="K168" s="57" t="s">
        <v>161</v>
      </c>
      <c r="L168" s="57" t="s">
        <v>83</v>
      </c>
      <c r="M168" s="59" t="s">
        <v>453</v>
      </c>
      <c r="N168" s="59">
        <v>42</v>
      </c>
      <c r="O168" s="60">
        <v>14.119999999999997</v>
      </c>
      <c r="P168" s="60">
        <v>13.12</v>
      </c>
      <c r="Q168" s="60">
        <v>1.1766666666666665</v>
      </c>
      <c r="R168" s="60">
        <v>1.0933333333333333</v>
      </c>
    </row>
    <row r="169" spans="2:18" ht="18.5">
      <c r="B169" s="61" t="s">
        <v>29</v>
      </c>
      <c r="C169" s="62" t="s">
        <v>201</v>
      </c>
      <c r="D169" s="63"/>
      <c r="E169" s="64" t="s">
        <v>253</v>
      </c>
      <c r="F169" s="65" t="s">
        <v>42</v>
      </c>
      <c r="G169" s="66" t="s">
        <v>372</v>
      </c>
      <c r="H169" s="67">
        <v>24</v>
      </c>
      <c r="I169" s="68">
        <v>1.8611068287418748</v>
      </c>
      <c r="J169" s="69">
        <f t="shared" si="2"/>
        <v>44.666563889804998</v>
      </c>
      <c r="K169" s="57" t="s">
        <v>161</v>
      </c>
      <c r="L169" s="57" t="s">
        <v>30</v>
      </c>
      <c r="M169" s="59" t="s">
        <v>440</v>
      </c>
      <c r="N169" s="59">
        <v>8</v>
      </c>
      <c r="O169" s="60">
        <v>40</v>
      </c>
      <c r="P169" s="60">
        <v>38</v>
      </c>
      <c r="Q169" s="60">
        <v>1.6666666666666667</v>
      </c>
      <c r="R169" s="60">
        <v>1.5833333333333333</v>
      </c>
    </row>
    <row r="170" spans="2:18" ht="18.5">
      <c r="B170" s="61" t="s">
        <v>29</v>
      </c>
      <c r="C170" s="62" t="s">
        <v>201</v>
      </c>
      <c r="D170" s="63"/>
      <c r="E170" s="64" t="s">
        <v>255</v>
      </c>
      <c r="F170" s="65" t="s">
        <v>330</v>
      </c>
      <c r="G170" s="66" t="s">
        <v>374</v>
      </c>
      <c r="H170" s="67">
        <v>48</v>
      </c>
      <c r="I170" s="68">
        <v>1.6821580018616924</v>
      </c>
      <c r="J170" s="69">
        <f t="shared" si="2"/>
        <v>80.743584089361235</v>
      </c>
      <c r="K170" s="57" t="s">
        <v>163</v>
      </c>
      <c r="L170" s="57" t="s">
        <v>148</v>
      </c>
      <c r="M170" s="59" t="s">
        <v>441</v>
      </c>
      <c r="N170" s="59">
        <v>9</v>
      </c>
      <c r="O170" s="60">
        <v>16</v>
      </c>
      <c r="P170" s="60">
        <v>14</v>
      </c>
      <c r="Q170" s="60">
        <v>0.33333333333333331</v>
      </c>
      <c r="R170" s="60">
        <v>0.29166666666666669</v>
      </c>
    </row>
    <row r="171" spans="2:18" ht="18.5">
      <c r="B171" s="61" t="s">
        <v>29</v>
      </c>
      <c r="C171" s="62" t="s">
        <v>201</v>
      </c>
      <c r="D171" s="63"/>
      <c r="E171" s="64" t="s">
        <v>256</v>
      </c>
      <c r="F171" s="65" t="s">
        <v>56</v>
      </c>
      <c r="G171" s="66" t="s">
        <v>375</v>
      </c>
      <c r="H171" s="67">
        <v>2</v>
      </c>
      <c r="I171" s="68">
        <v>16.865878146972214</v>
      </c>
      <c r="J171" s="69">
        <f t="shared" si="2"/>
        <v>33.731756293944429</v>
      </c>
      <c r="K171" s="57" t="s">
        <v>160</v>
      </c>
      <c r="L171" s="57" t="s">
        <v>43</v>
      </c>
      <c r="M171" s="59" t="s">
        <v>442</v>
      </c>
      <c r="N171" s="59">
        <v>10</v>
      </c>
      <c r="O171" s="60">
        <v>6.6</v>
      </c>
      <c r="P171" s="60">
        <v>5.6000000000000023</v>
      </c>
      <c r="Q171" s="60">
        <v>3.3</v>
      </c>
      <c r="R171" s="60">
        <v>2.8000000000000012</v>
      </c>
    </row>
    <row r="172" spans="2:18" ht="18.5">
      <c r="B172" s="61" t="s">
        <v>29</v>
      </c>
      <c r="C172" s="62" t="s">
        <v>201</v>
      </c>
      <c r="D172" s="63"/>
      <c r="E172" s="64" t="s">
        <v>310</v>
      </c>
      <c r="F172" s="65" t="s">
        <v>56</v>
      </c>
      <c r="G172" s="66" t="s">
        <v>413</v>
      </c>
      <c r="H172" s="67">
        <v>2</v>
      </c>
      <c r="I172" s="68">
        <v>4.8136648992949373</v>
      </c>
      <c r="J172" s="69">
        <f t="shared" si="2"/>
        <v>9.6273297985898747</v>
      </c>
      <c r="K172" s="57" t="s">
        <v>160</v>
      </c>
      <c r="L172" s="57" t="s">
        <v>43</v>
      </c>
      <c r="M172" s="59" t="s">
        <v>189</v>
      </c>
      <c r="N172" s="59">
        <v>12</v>
      </c>
      <c r="O172" s="60">
        <v>2.2000000000000002</v>
      </c>
      <c r="P172" s="60">
        <v>1.8</v>
      </c>
      <c r="Q172" s="60">
        <v>1.1000000000000001</v>
      </c>
      <c r="R172" s="60">
        <v>0.9</v>
      </c>
    </row>
    <row r="173" spans="2:18" ht="18.5">
      <c r="B173" s="61" t="s">
        <v>29</v>
      </c>
      <c r="C173" s="62" t="s">
        <v>201</v>
      </c>
      <c r="D173" s="63"/>
      <c r="E173" s="64" t="s">
        <v>311</v>
      </c>
      <c r="F173" s="65" t="s">
        <v>56</v>
      </c>
      <c r="G173" s="66" t="s">
        <v>414</v>
      </c>
      <c r="H173" s="67">
        <v>4</v>
      </c>
      <c r="I173" s="68">
        <v>5.3774415196404632</v>
      </c>
      <c r="J173" s="69">
        <f t="shared" si="2"/>
        <v>21.509766078561853</v>
      </c>
      <c r="K173" s="57" t="s">
        <v>160</v>
      </c>
      <c r="L173" s="57" t="s">
        <v>43</v>
      </c>
      <c r="M173" s="59" t="s">
        <v>189</v>
      </c>
      <c r="N173" s="59">
        <v>12</v>
      </c>
      <c r="O173" s="60">
        <v>3.5</v>
      </c>
      <c r="P173" s="60">
        <v>2.8</v>
      </c>
      <c r="Q173" s="60">
        <v>0.875</v>
      </c>
      <c r="R173" s="60">
        <v>0.7</v>
      </c>
    </row>
    <row r="174" spans="2:18" ht="18.5">
      <c r="B174" s="61" t="s">
        <v>29</v>
      </c>
      <c r="C174" s="62" t="s">
        <v>201</v>
      </c>
      <c r="D174" s="63"/>
      <c r="E174" s="64" t="s">
        <v>259</v>
      </c>
      <c r="F174" s="65" t="s">
        <v>35</v>
      </c>
      <c r="G174" s="66" t="s">
        <v>378</v>
      </c>
      <c r="H174" s="67">
        <v>2</v>
      </c>
      <c r="I174" s="68">
        <v>11.049943700396343</v>
      </c>
      <c r="J174" s="69">
        <f t="shared" si="2"/>
        <v>22.099887400792685</v>
      </c>
      <c r="K174" s="57" t="s">
        <v>458</v>
      </c>
      <c r="L174" s="57" t="s">
        <v>43</v>
      </c>
      <c r="M174" s="59" t="s">
        <v>443</v>
      </c>
      <c r="N174" s="59">
        <v>15</v>
      </c>
      <c r="O174" s="60">
        <v>4.6000000000000023</v>
      </c>
      <c r="P174" s="60">
        <v>2.8</v>
      </c>
      <c r="Q174" s="60">
        <v>2.3000000000000012</v>
      </c>
      <c r="R174" s="60">
        <v>1.4</v>
      </c>
    </row>
    <row r="175" spans="2:18" ht="18.5">
      <c r="B175" s="61" t="s">
        <v>29</v>
      </c>
      <c r="C175" s="62" t="s">
        <v>201</v>
      </c>
      <c r="D175" s="63"/>
      <c r="E175" s="64" t="s">
        <v>261</v>
      </c>
      <c r="F175" s="65" t="s">
        <v>35</v>
      </c>
      <c r="G175" s="66" t="s">
        <v>380</v>
      </c>
      <c r="H175" s="67">
        <v>2</v>
      </c>
      <c r="I175" s="68">
        <v>10.235794839170474</v>
      </c>
      <c r="J175" s="69">
        <f t="shared" si="2"/>
        <v>20.471589678340948</v>
      </c>
      <c r="K175" s="57" t="s">
        <v>160</v>
      </c>
      <c r="L175" s="57" t="s">
        <v>43</v>
      </c>
      <c r="M175" s="59" t="s">
        <v>442</v>
      </c>
      <c r="N175" s="59">
        <v>10</v>
      </c>
      <c r="O175" s="60">
        <v>4</v>
      </c>
      <c r="P175" s="60">
        <v>2.8</v>
      </c>
      <c r="Q175" s="60">
        <v>2</v>
      </c>
      <c r="R175" s="60">
        <v>1.4</v>
      </c>
    </row>
    <row r="176" spans="2:18" ht="18.5">
      <c r="B176" s="61" t="s">
        <v>29</v>
      </c>
      <c r="C176" s="62" t="s">
        <v>201</v>
      </c>
      <c r="D176" s="63"/>
      <c r="E176" s="64" t="s">
        <v>262</v>
      </c>
      <c r="F176" s="65" t="s">
        <v>35</v>
      </c>
      <c r="G176" s="66" t="s">
        <v>381</v>
      </c>
      <c r="H176" s="67">
        <v>2</v>
      </c>
      <c r="I176" s="68">
        <v>8.7236089509539703</v>
      </c>
      <c r="J176" s="69">
        <f t="shared" si="2"/>
        <v>17.447217901907941</v>
      </c>
      <c r="K176" s="57" t="s">
        <v>160</v>
      </c>
      <c r="L176" s="57" t="s">
        <v>43</v>
      </c>
      <c r="M176" s="59" t="s">
        <v>190</v>
      </c>
      <c r="N176" s="59">
        <v>16</v>
      </c>
      <c r="O176" s="60">
        <v>4</v>
      </c>
      <c r="P176" s="60">
        <v>3</v>
      </c>
      <c r="Q176" s="60">
        <v>2</v>
      </c>
      <c r="R176" s="60">
        <v>1.5</v>
      </c>
    </row>
    <row r="177" spans="2:18" ht="18.5">
      <c r="B177" s="61" t="s">
        <v>29</v>
      </c>
      <c r="C177" s="62" t="s">
        <v>201</v>
      </c>
      <c r="D177" s="63"/>
      <c r="E177" s="64" t="s">
        <v>109</v>
      </c>
      <c r="F177" s="65" t="s">
        <v>75</v>
      </c>
      <c r="G177" s="66" t="s">
        <v>133</v>
      </c>
      <c r="H177" s="67">
        <v>24</v>
      </c>
      <c r="I177" s="68">
        <v>0.68008360052064942</v>
      </c>
      <c r="J177" s="69">
        <f t="shared" si="2"/>
        <v>16.322006412495586</v>
      </c>
      <c r="K177" s="57" t="s">
        <v>158</v>
      </c>
      <c r="L177" s="57" t="s">
        <v>30</v>
      </c>
      <c r="M177" s="59" t="s">
        <v>184</v>
      </c>
      <c r="N177" s="59">
        <v>17</v>
      </c>
      <c r="O177" s="60">
        <v>9.82</v>
      </c>
      <c r="P177" s="60">
        <v>8.82</v>
      </c>
      <c r="Q177" s="60">
        <v>0.40916666666666668</v>
      </c>
      <c r="R177" s="60">
        <v>0.36749999999999999</v>
      </c>
    </row>
    <row r="178" spans="2:18" ht="18.5">
      <c r="B178" s="61" t="s">
        <v>29</v>
      </c>
      <c r="C178" s="62" t="s">
        <v>201</v>
      </c>
      <c r="D178" s="63"/>
      <c r="E178" s="64" t="s">
        <v>122</v>
      </c>
      <c r="F178" s="65" t="s">
        <v>75</v>
      </c>
      <c r="G178" s="66" t="s">
        <v>146</v>
      </c>
      <c r="H178" s="67">
        <v>24</v>
      </c>
      <c r="I178" s="68">
        <v>0.9304558414009918</v>
      </c>
      <c r="J178" s="69">
        <f t="shared" si="2"/>
        <v>22.330940193623803</v>
      </c>
      <c r="K178" s="57" t="s">
        <v>158</v>
      </c>
      <c r="L178" s="57" t="s">
        <v>30</v>
      </c>
      <c r="M178" s="59" t="s">
        <v>184</v>
      </c>
      <c r="N178" s="59">
        <v>17</v>
      </c>
      <c r="O178" s="60">
        <v>11.72</v>
      </c>
      <c r="P178" s="60">
        <v>10.72</v>
      </c>
      <c r="Q178" s="60">
        <v>0.48833333333333334</v>
      </c>
      <c r="R178" s="60">
        <v>0.44666666666666671</v>
      </c>
    </row>
    <row r="179" spans="2:18" ht="18.5">
      <c r="B179" s="61" t="s">
        <v>29</v>
      </c>
      <c r="C179" s="62" t="s">
        <v>201</v>
      </c>
      <c r="D179" s="63"/>
      <c r="E179" s="64" t="s">
        <v>119</v>
      </c>
      <c r="F179" s="65" t="s">
        <v>75</v>
      </c>
      <c r="G179" s="66" t="s">
        <v>143</v>
      </c>
      <c r="H179" s="67">
        <v>24</v>
      </c>
      <c r="I179" s="68">
        <v>1.002074401341043</v>
      </c>
      <c r="J179" s="69">
        <f t="shared" si="2"/>
        <v>24.049785632185031</v>
      </c>
      <c r="K179" s="57" t="s">
        <v>158</v>
      </c>
      <c r="L179" s="57" t="s">
        <v>30</v>
      </c>
      <c r="M179" s="59" t="s">
        <v>184</v>
      </c>
      <c r="N179" s="59">
        <v>17</v>
      </c>
      <c r="O179" s="60">
        <v>12.78</v>
      </c>
      <c r="P179" s="60">
        <v>11.78</v>
      </c>
      <c r="Q179" s="60">
        <v>0.53249999999999997</v>
      </c>
      <c r="R179" s="60">
        <v>0.49083333333333329</v>
      </c>
    </row>
    <row r="180" spans="2:18" ht="18.5">
      <c r="B180" s="61" t="s">
        <v>29</v>
      </c>
      <c r="C180" s="62" t="s">
        <v>201</v>
      </c>
      <c r="D180" s="63"/>
      <c r="E180" s="64" t="s">
        <v>107</v>
      </c>
      <c r="F180" s="65" t="s">
        <v>94</v>
      </c>
      <c r="G180" s="66" t="s">
        <v>131</v>
      </c>
      <c r="H180" s="67">
        <v>18</v>
      </c>
      <c r="I180" s="68">
        <v>1.2616185013962693</v>
      </c>
      <c r="J180" s="69">
        <f t="shared" si="2"/>
        <v>22.709133025132846</v>
      </c>
      <c r="K180" s="57" t="s">
        <v>158</v>
      </c>
      <c r="L180" s="57" t="s">
        <v>83</v>
      </c>
      <c r="M180" s="59" t="s">
        <v>183</v>
      </c>
      <c r="N180" s="59">
        <v>44</v>
      </c>
      <c r="O180" s="60">
        <v>17.350000000000001</v>
      </c>
      <c r="P180" s="60">
        <v>16.350000000000001</v>
      </c>
      <c r="Q180" s="60">
        <v>0.96388888888888902</v>
      </c>
      <c r="R180" s="60">
        <v>0.90833333333333344</v>
      </c>
    </row>
    <row r="181" spans="2:18" ht="18.5">
      <c r="B181" s="61" t="s">
        <v>29</v>
      </c>
      <c r="C181" s="62" t="s">
        <v>201</v>
      </c>
      <c r="D181" s="63"/>
      <c r="E181" s="64" t="s">
        <v>108</v>
      </c>
      <c r="F181" s="65" t="s">
        <v>94</v>
      </c>
      <c r="G181" s="66" t="s">
        <v>132</v>
      </c>
      <c r="H181" s="67">
        <v>18</v>
      </c>
      <c r="I181" s="68">
        <v>1.2616185013962693</v>
      </c>
      <c r="J181" s="69">
        <f t="shared" si="2"/>
        <v>22.709133025132846</v>
      </c>
      <c r="K181" s="57" t="s">
        <v>158</v>
      </c>
      <c r="L181" s="57" t="s">
        <v>83</v>
      </c>
      <c r="M181" s="59" t="s">
        <v>183</v>
      </c>
      <c r="N181" s="59">
        <v>44</v>
      </c>
      <c r="O181" s="60">
        <v>18</v>
      </c>
      <c r="P181" s="60">
        <v>17</v>
      </c>
      <c r="Q181" s="60">
        <v>1</v>
      </c>
      <c r="R181" s="60">
        <v>0.94444444444444442</v>
      </c>
    </row>
    <row r="182" spans="2:18" ht="18.5">
      <c r="B182" s="61" t="s">
        <v>29</v>
      </c>
      <c r="C182" s="62" t="s">
        <v>201</v>
      </c>
      <c r="D182" s="63"/>
      <c r="E182" s="64" t="s">
        <v>115</v>
      </c>
      <c r="F182" s="65" t="s">
        <v>94</v>
      </c>
      <c r="G182" s="66" t="s">
        <v>139</v>
      </c>
      <c r="H182" s="67">
        <v>36</v>
      </c>
      <c r="I182" s="68">
        <v>1.4136371885714731</v>
      </c>
      <c r="J182" s="69">
        <f t="shared" si="2"/>
        <v>50.890938788573031</v>
      </c>
      <c r="K182" s="57" t="s">
        <v>158</v>
      </c>
      <c r="L182" s="57" t="s">
        <v>30</v>
      </c>
      <c r="M182" s="59" t="s">
        <v>191</v>
      </c>
      <c r="N182" s="59">
        <v>45</v>
      </c>
      <c r="O182" s="60">
        <v>32</v>
      </c>
      <c r="P182" s="60">
        <v>30</v>
      </c>
      <c r="Q182" s="60">
        <v>0.88888888888888884</v>
      </c>
      <c r="R182" s="60">
        <v>0.83333333333333337</v>
      </c>
    </row>
    <row r="183" spans="2:18" ht="37">
      <c r="B183" s="61" t="s">
        <v>29</v>
      </c>
      <c r="C183" s="62" t="s">
        <v>201</v>
      </c>
      <c r="D183" s="63"/>
      <c r="E183" s="64" t="s">
        <v>312</v>
      </c>
      <c r="F183" s="65" t="s">
        <v>336</v>
      </c>
      <c r="G183" s="66" t="s">
        <v>415</v>
      </c>
      <c r="H183" s="67">
        <v>9</v>
      </c>
      <c r="I183" s="68">
        <v>3.6416183843087055</v>
      </c>
      <c r="J183" s="69">
        <f t="shared" si="2"/>
        <v>32.774565458778348</v>
      </c>
      <c r="K183" s="57" t="s">
        <v>463</v>
      </c>
      <c r="L183" s="57" t="s">
        <v>436</v>
      </c>
      <c r="M183" s="59" t="s">
        <v>454</v>
      </c>
      <c r="N183" s="59">
        <v>46</v>
      </c>
      <c r="O183" s="60">
        <v>7.2</v>
      </c>
      <c r="P183" s="60">
        <v>6.7</v>
      </c>
      <c r="Q183" s="60">
        <v>0.8</v>
      </c>
      <c r="R183" s="60">
        <v>0.74444444444444446</v>
      </c>
    </row>
    <row r="184" spans="2:18" ht="37">
      <c r="B184" s="61" t="s">
        <v>29</v>
      </c>
      <c r="C184" s="62" t="s">
        <v>201</v>
      </c>
      <c r="D184" s="63"/>
      <c r="E184" s="64" t="s">
        <v>313</v>
      </c>
      <c r="F184" s="65" t="s">
        <v>336</v>
      </c>
      <c r="G184" s="66" t="s">
        <v>415</v>
      </c>
      <c r="H184" s="67">
        <v>9</v>
      </c>
      <c r="I184" s="68">
        <v>3.6416183843087055</v>
      </c>
      <c r="J184" s="69">
        <f t="shared" si="2"/>
        <v>32.774565458778348</v>
      </c>
      <c r="K184" s="57" t="s">
        <v>463</v>
      </c>
      <c r="L184" s="57" t="s">
        <v>436</v>
      </c>
      <c r="M184" s="59" t="s">
        <v>454</v>
      </c>
      <c r="N184" s="59">
        <v>46</v>
      </c>
      <c r="O184" s="60">
        <v>7.2</v>
      </c>
      <c r="P184" s="60">
        <v>6.7</v>
      </c>
      <c r="Q184" s="60">
        <v>0.8</v>
      </c>
      <c r="R184" s="60">
        <v>0.74444444444444446</v>
      </c>
    </row>
    <row r="185" spans="2:18" ht="37">
      <c r="B185" s="61" t="s">
        <v>29</v>
      </c>
      <c r="C185" s="62" t="s">
        <v>201</v>
      </c>
      <c r="D185" s="63"/>
      <c r="E185" s="64" t="s">
        <v>314</v>
      </c>
      <c r="F185" s="65" t="s">
        <v>336</v>
      </c>
      <c r="G185" s="66" t="s">
        <v>415</v>
      </c>
      <c r="H185" s="67">
        <v>9</v>
      </c>
      <c r="I185" s="68">
        <v>3.6416183843087055</v>
      </c>
      <c r="J185" s="69">
        <f t="shared" si="2"/>
        <v>32.774565458778348</v>
      </c>
      <c r="K185" s="57" t="s">
        <v>463</v>
      </c>
      <c r="L185" s="57" t="s">
        <v>436</v>
      </c>
      <c r="M185" s="59" t="s">
        <v>454</v>
      </c>
      <c r="N185" s="59">
        <v>46</v>
      </c>
      <c r="O185" s="60">
        <v>7.2</v>
      </c>
      <c r="P185" s="60">
        <v>6.7</v>
      </c>
      <c r="Q185" s="60">
        <v>0.8</v>
      </c>
      <c r="R185" s="60">
        <v>0.74444444444444446</v>
      </c>
    </row>
    <row r="186" spans="2:18" ht="18.5">
      <c r="B186" s="61" t="s">
        <v>29</v>
      </c>
      <c r="C186" s="62" t="s">
        <v>201</v>
      </c>
      <c r="D186" s="63"/>
      <c r="E186" s="64" t="s">
        <v>264</v>
      </c>
      <c r="F186" s="65" t="s">
        <v>331</v>
      </c>
      <c r="G186" s="66" t="s">
        <v>383</v>
      </c>
      <c r="H186" s="67">
        <v>1</v>
      </c>
      <c r="I186" s="68">
        <v>15.487952665400821</v>
      </c>
      <c r="J186" s="69">
        <f t="shared" si="2"/>
        <v>15.487952665400821</v>
      </c>
      <c r="K186" s="57" t="s">
        <v>169</v>
      </c>
      <c r="L186" s="57" t="s">
        <v>30</v>
      </c>
      <c r="M186" s="59" t="s">
        <v>445</v>
      </c>
      <c r="N186" s="59">
        <v>20</v>
      </c>
      <c r="O186" s="60">
        <v>10.68</v>
      </c>
      <c r="P186" s="60">
        <v>9.68</v>
      </c>
      <c r="Q186" s="60">
        <v>10.68</v>
      </c>
      <c r="R186" s="60">
        <v>9.68</v>
      </c>
    </row>
    <row r="187" spans="2:18" ht="18.5">
      <c r="B187" s="61" t="s">
        <v>29</v>
      </c>
      <c r="C187" s="62" t="s">
        <v>201</v>
      </c>
      <c r="D187" s="63"/>
      <c r="E187" s="64" t="s">
        <v>265</v>
      </c>
      <c r="F187" s="65" t="s">
        <v>331</v>
      </c>
      <c r="G187" s="66" t="s">
        <v>384</v>
      </c>
      <c r="H187" s="67">
        <v>4</v>
      </c>
      <c r="I187" s="68">
        <v>8.6789205307188997</v>
      </c>
      <c r="J187" s="69">
        <f t="shared" si="2"/>
        <v>34.715682122875599</v>
      </c>
      <c r="K187" s="57" t="s">
        <v>161</v>
      </c>
      <c r="L187" s="57" t="s">
        <v>30</v>
      </c>
      <c r="M187" s="59" t="s">
        <v>446</v>
      </c>
      <c r="N187" s="59">
        <v>21</v>
      </c>
      <c r="O187" s="60">
        <v>29.1</v>
      </c>
      <c r="P187" s="60">
        <v>28.2</v>
      </c>
      <c r="Q187" s="60">
        <v>7.2750000000000004</v>
      </c>
      <c r="R187" s="60">
        <v>7.05</v>
      </c>
    </row>
    <row r="188" spans="2:18" ht="18.5">
      <c r="B188" s="61" t="s">
        <v>29</v>
      </c>
      <c r="C188" s="62" t="s">
        <v>201</v>
      </c>
      <c r="D188" s="63"/>
      <c r="E188" s="64" t="s">
        <v>123</v>
      </c>
      <c r="F188" s="65" t="s">
        <v>34</v>
      </c>
      <c r="G188" s="66" t="s">
        <v>145</v>
      </c>
      <c r="H188" s="67">
        <v>24</v>
      </c>
      <c r="I188" s="68">
        <v>1.118381381516167</v>
      </c>
      <c r="J188" s="69">
        <f t="shared" si="2"/>
        <v>26.841153156388007</v>
      </c>
      <c r="K188" s="57" t="s">
        <v>166</v>
      </c>
      <c r="L188" s="57" t="s">
        <v>33</v>
      </c>
      <c r="M188" s="59" t="s">
        <v>187</v>
      </c>
      <c r="N188" s="59">
        <v>24</v>
      </c>
      <c r="O188" s="60">
        <v>7.9</v>
      </c>
      <c r="P188" s="60">
        <v>5.8999999999999995</v>
      </c>
      <c r="Q188" s="60">
        <v>0.32916666666666666</v>
      </c>
      <c r="R188" s="60">
        <v>0.24583333333333332</v>
      </c>
    </row>
    <row r="189" spans="2:18" ht="18.5">
      <c r="B189" s="61" t="s">
        <v>29</v>
      </c>
      <c r="C189" s="62" t="s">
        <v>201</v>
      </c>
      <c r="D189" s="63"/>
      <c r="E189" s="64" t="s">
        <v>266</v>
      </c>
      <c r="F189" s="65" t="s">
        <v>34</v>
      </c>
      <c r="G189" s="66" t="s">
        <v>385</v>
      </c>
      <c r="H189" s="67">
        <v>48</v>
      </c>
      <c r="I189" s="68">
        <v>0.81414886122586783</v>
      </c>
      <c r="J189" s="69">
        <f t="shared" si="2"/>
        <v>39.079145338841656</v>
      </c>
      <c r="K189" s="57" t="s">
        <v>166</v>
      </c>
      <c r="L189" s="57" t="s">
        <v>33</v>
      </c>
      <c r="M189" s="59" t="s">
        <v>187</v>
      </c>
      <c r="N189" s="59">
        <v>24</v>
      </c>
      <c r="O189" s="60">
        <v>19</v>
      </c>
      <c r="P189" s="60">
        <v>17</v>
      </c>
      <c r="Q189" s="60">
        <v>0.39583333333333331</v>
      </c>
      <c r="R189" s="60">
        <v>0.35416666666666669</v>
      </c>
    </row>
    <row r="190" spans="2:18" ht="18.5">
      <c r="B190" s="61" t="s">
        <v>29</v>
      </c>
      <c r="C190" s="62" t="s">
        <v>201</v>
      </c>
      <c r="D190" s="63"/>
      <c r="E190" s="64" t="s">
        <v>106</v>
      </c>
      <c r="F190" s="65" t="s">
        <v>125</v>
      </c>
      <c r="G190" s="66" t="s">
        <v>129</v>
      </c>
      <c r="H190" s="67">
        <v>24</v>
      </c>
      <c r="I190" s="68">
        <v>2.5679254230276114</v>
      </c>
      <c r="J190" s="69">
        <f t="shared" si="2"/>
        <v>61.63021015266267</v>
      </c>
      <c r="K190" s="57" t="s">
        <v>158</v>
      </c>
      <c r="L190" s="57" t="s">
        <v>30</v>
      </c>
      <c r="M190" s="59" t="s">
        <v>172</v>
      </c>
      <c r="N190" s="59">
        <v>47</v>
      </c>
      <c r="O190" s="60">
        <v>25.5</v>
      </c>
      <c r="P190" s="60">
        <v>23.5</v>
      </c>
      <c r="Q190" s="60">
        <v>1.0625</v>
      </c>
      <c r="R190" s="60">
        <v>0.97916666666666663</v>
      </c>
    </row>
    <row r="191" spans="2:18" ht="18.5">
      <c r="B191" s="61" t="s">
        <v>29</v>
      </c>
      <c r="C191" s="62" t="s">
        <v>201</v>
      </c>
      <c r="D191" s="63"/>
      <c r="E191" s="64" t="s">
        <v>315</v>
      </c>
      <c r="F191" s="65" t="s">
        <v>38</v>
      </c>
      <c r="G191" s="66" t="s">
        <v>416</v>
      </c>
      <c r="H191" s="67">
        <v>8</v>
      </c>
      <c r="I191" s="68">
        <v>1.154288234456138</v>
      </c>
      <c r="J191" s="69">
        <f t="shared" si="2"/>
        <v>9.2343058756491043</v>
      </c>
      <c r="K191" s="57" t="s">
        <v>158</v>
      </c>
      <c r="L191" s="57" t="s">
        <v>45</v>
      </c>
      <c r="M191" s="59" t="s">
        <v>185</v>
      </c>
      <c r="N191" s="59">
        <v>48</v>
      </c>
      <c r="O191" s="60">
        <v>7.36</v>
      </c>
      <c r="P191" s="60">
        <v>6.96</v>
      </c>
      <c r="Q191" s="60">
        <v>0.92</v>
      </c>
      <c r="R191" s="60">
        <v>0.87</v>
      </c>
    </row>
    <row r="192" spans="2:18" ht="18.5">
      <c r="B192" s="61" t="s">
        <v>29</v>
      </c>
      <c r="C192" s="62" t="s">
        <v>201</v>
      </c>
      <c r="D192" s="63"/>
      <c r="E192" s="64" t="s">
        <v>110</v>
      </c>
      <c r="F192" s="65" t="s">
        <v>38</v>
      </c>
      <c r="G192" s="66" t="s">
        <v>134</v>
      </c>
      <c r="H192" s="67">
        <v>12</v>
      </c>
      <c r="I192" s="68">
        <v>0.65315346081567105</v>
      </c>
      <c r="J192" s="69">
        <f t="shared" si="2"/>
        <v>7.8378415297880526</v>
      </c>
      <c r="K192" s="57" t="s">
        <v>158</v>
      </c>
      <c r="L192" s="57" t="s">
        <v>45</v>
      </c>
      <c r="M192" s="59" t="s">
        <v>185</v>
      </c>
      <c r="N192" s="59">
        <v>48</v>
      </c>
      <c r="O192" s="60">
        <v>8.8000000000000007</v>
      </c>
      <c r="P192" s="60">
        <v>7</v>
      </c>
      <c r="Q192" s="60">
        <v>0.73333333333333339</v>
      </c>
      <c r="R192" s="60">
        <v>0.58333333333333337</v>
      </c>
    </row>
    <row r="193" spans="2:18" ht="18.5">
      <c r="B193" s="61" t="s">
        <v>29</v>
      </c>
      <c r="C193" s="62" t="s">
        <v>201</v>
      </c>
      <c r="D193" s="63"/>
      <c r="E193" s="64" t="s">
        <v>316</v>
      </c>
      <c r="F193" s="65" t="s">
        <v>337</v>
      </c>
      <c r="G193" s="66" t="s">
        <v>417</v>
      </c>
      <c r="H193" s="67">
        <v>24</v>
      </c>
      <c r="I193" s="68">
        <v>0.41156278723043033</v>
      </c>
      <c r="J193" s="69">
        <f t="shared" si="2"/>
        <v>9.8775068935303274</v>
      </c>
      <c r="K193" s="57" t="s">
        <v>158</v>
      </c>
      <c r="L193" s="57" t="s">
        <v>30</v>
      </c>
      <c r="M193" s="59" t="s">
        <v>447</v>
      </c>
      <c r="N193" s="59">
        <v>26</v>
      </c>
      <c r="O193" s="60">
        <v>8.31</v>
      </c>
      <c r="P193" s="60">
        <v>7.92</v>
      </c>
      <c r="Q193" s="60">
        <v>0.34625</v>
      </c>
      <c r="R193" s="60">
        <v>0.33</v>
      </c>
    </row>
    <row r="194" spans="2:18" ht="18.5">
      <c r="B194" s="61" t="s">
        <v>29</v>
      </c>
      <c r="C194" s="62" t="s">
        <v>201</v>
      </c>
      <c r="D194" s="63"/>
      <c r="E194" s="64" t="s">
        <v>317</v>
      </c>
      <c r="F194" s="65" t="s">
        <v>337</v>
      </c>
      <c r="G194" s="66" t="s">
        <v>418</v>
      </c>
      <c r="H194" s="67">
        <v>24</v>
      </c>
      <c r="I194" s="68">
        <v>0.41156278723043033</v>
      </c>
      <c r="J194" s="69">
        <f t="shared" si="2"/>
        <v>9.8775068935303274</v>
      </c>
      <c r="K194" s="57" t="s">
        <v>158</v>
      </c>
      <c r="L194" s="57" t="s">
        <v>30</v>
      </c>
      <c r="M194" s="59" t="s">
        <v>195</v>
      </c>
      <c r="N194" s="59">
        <v>27</v>
      </c>
      <c r="O194" s="60">
        <v>8.56</v>
      </c>
      <c r="P194" s="60">
        <v>8.16</v>
      </c>
      <c r="Q194" s="60">
        <v>0.35666666666666669</v>
      </c>
      <c r="R194" s="60">
        <v>0.34</v>
      </c>
    </row>
    <row r="195" spans="2:18" ht="18.5">
      <c r="B195" s="61" t="s">
        <v>29</v>
      </c>
      <c r="C195" s="62" t="s">
        <v>201</v>
      </c>
      <c r="D195" s="63"/>
      <c r="E195" s="64" t="s">
        <v>90</v>
      </c>
      <c r="F195" s="65" t="s">
        <v>37</v>
      </c>
      <c r="G195" s="66" t="s">
        <v>101</v>
      </c>
      <c r="H195" s="67">
        <v>12</v>
      </c>
      <c r="I195" s="68">
        <v>5.332557953465499</v>
      </c>
      <c r="J195" s="69">
        <f t="shared" si="2"/>
        <v>63.990695441585984</v>
      </c>
      <c r="K195" s="57" t="s">
        <v>164</v>
      </c>
      <c r="L195" s="57" t="s">
        <v>44</v>
      </c>
      <c r="M195" s="59" t="s">
        <v>177</v>
      </c>
      <c r="N195" s="59">
        <v>4</v>
      </c>
      <c r="O195" s="60">
        <v>5.97</v>
      </c>
      <c r="P195" s="60">
        <v>5.0999999999999996</v>
      </c>
      <c r="Q195" s="60">
        <v>0.4975</v>
      </c>
      <c r="R195" s="60">
        <v>0.42499999999999999</v>
      </c>
    </row>
    <row r="196" spans="2:18" ht="37">
      <c r="B196" s="61" t="s">
        <v>29</v>
      </c>
      <c r="C196" s="62" t="s">
        <v>201</v>
      </c>
      <c r="D196" s="63"/>
      <c r="E196" s="64" t="s">
        <v>318</v>
      </c>
      <c r="F196" s="65" t="s">
        <v>338</v>
      </c>
      <c r="G196" s="66" t="s">
        <v>419</v>
      </c>
      <c r="H196" s="67">
        <v>48</v>
      </c>
      <c r="I196" s="68">
        <v>1.7625581290968451</v>
      </c>
      <c r="J196" s="69">
        <f t="shared" si="2"/>
        <v>84.602790196648556</v>
      </c>
      <c r="K196" s="57" t="s">
        <v>158</v>
      </c>
      <c r="L196" s="57" t="s">
        <v>30</v>
      </c>
      <c r="M196" s="59" t="s">
        <v>455</v>
      </c>
      <c r="N196" s="59">
        <v>49</v>
      </c>
      <c r="O196" s="60">
        <v>32.64</v>
      </c>
      <c r="P196" s="60">
        <v>28.64</v>
      </c>
      <c r="Q196" s="60">
        <v>0.68</v>
      </c>
      <c r="R196" s="60">
        <v>0.59666666666666668</v>
      </c>
    </row>
    <row r="197" spans="2:18" ht="18.5">
      <c r="B197" s="61" t="s">
        <v>29</v>
      </c>
      <c r="C197" s="62" t="s">
        <v>201</v>
      </c>
      <c r="D197" s="63"/>
      <c r="E197" s="64" t="s">
        <v>111</v>
      </c>
      <c r="F197" s="65" t="s">
        <v>127</v>
      </c>
      <c r="G197" s="66" t="s">
        <v>135</v>
      </c>
      <c r="H197" s="67">
        <v>3</v>
      </c>
      <c r="I197" s="68">
        <v>7.4621855954975933</v>
      </c>
      <c r="J197" s="69">
        <f t="shared" si="2"/>
        <v>22.386556786492779</v>
      </c>
      <c r="K197" s="57" t="s">
        <v>158</v>
      </c>
      <c r="L197" s="57" t="s">
        <v>30</v>
      </c>
      <c r="M197" s="59" t="s">
        <v>186</v>
      </c>
      <c r="N197" s="59">
        <v>29</v>
      </c>
      <c r="O197" s="60">
        <v>9.5</v>
      </c>
      <c r="P197" s="60">
        <v>8.5</v>
      </c>
      <c r="Q197" s="60">
        <v>3.1666666666666665</v>
      </c>
      <c r="R197" s="60">
        <v>2.8333333333333335</v>
      </c>
    </row>
    <row r="198" spans="2:18" ht="18.5">
      <c r="B198" s="61" t="s">
        <v>68</v>
      </c>
      <c r="C198" s="62" t="s">
        <v>201</v>
      </c>
      <c r="D198" s="63"/>
      <c r="E198" s="64" t="s">
        <v>270</v>
      </c>
      <c r="F198" s="65" t="s">
        <v>332</v>
      </c>
      <c r="G198" s="66" t="s">
        <v>387</v>
      </c>
      <c r="H198" s="67">
        <v>4</v>
      </c>
      <c r="I198" s="68">
        <v>9.9048273251150878</v>
      </c>
      <c r="J198" s="69">
        <f t="shared" si="2"/>
        <v>39.619309300460351</v>
      </c>
      <c r="K198" s="57" t="s">
        <v>162</v>
      </c>
      <c r="L198" s="57" t="s">
        <v>430</v>
      </c>
      <c r="M198" s="59" t="s">
        <v>176</v>
      </c>
      <c r="N198" s="59">
        <v>31</v>
      </c>
      <c r="O198" s="60">
        <v>6.21</v>
      </c>
      <c r="P198" s="60">
        <v>4.08</v>
      </c>
      <c r="Q198" s="60">
        <v>1.5525</v>
      </c>
      <c r="R198" s="60">
        <v>1.02</v>
      </c>
    </row>
    <row r="199" spans="2:18" ht="18.5">
      <c r="B199" s="61" t="s">
        <v>68</v>
      </c>
      <c r="C199" s="62" t="s">
        <v>201</v>
      </c>
      <c r="D199" s="63"/>
      <c r="E199" s="64" t="s">
        <v>271</v>
      </c>
      <c r="F199" s="65" t="s">
        <v>332</v>
      </c>
      <c r="G199" s="66" t="s">
        <v>388</v>
      </c>
      <c r="H199" s="67">
        <v>4</v>
      </c>
      <c r="I199" s="68">
        <v>4.6436927856497485</v>
      </c>
      <c r="J199" s="69">
        <f t="shared" si="2"/>
        <v>18.574771142598994</v>
      </c>
      <c r="K199" s="57" t="s">
        <v>162</v>
      </c>
      <c r="L199" s="57" t="s">
        <v>430</v>
      </c>
      <c r="M199" s="59" t="s">
        <v>176</v>
      </c>
      <c r="N199" s="59">
        <v>31</v>
      </c>
      <c r="O199" s="60">
        <v>3.03</v>
      </c>
      <c r="P199" s="60">
        <v>1.6600000000000001</v>
      </c>
      <c r="Q199" s="60">
        <v>0.75749999999999995</v>
      </c>
      <c r="R199" s="60">
        <v>0.41500000000000004</v>
      </c>
    </row>
    <row r="200" spans="2:18" ht="18.5">
      <c r="B200" s="61" t="s">
        <v>68</v>
      </c>
      <c r="C200" s="62" t="s">
        <v>201</v>
      </c>
      <c r="D200" s="63"/>
      <c r="E200" s="64" t="s">
        <v>272</v>
      </c>
      <c r="F200" s="65" t="s">
        <v>332</v>
      </c>
      <c r="G200" s="66" t="s">
        <v>389</v>
      </c>
      <c r="H200" s="67">
        <v>4</v>
      </c>
      <c r="I200" s="68">
        <v>8.2316460364883888</v>
      </c>
      <c r="J200" s="69">
        <f t="shared" si="2"/>
        <v>32.926584145953555</v>
      </c>
      <c r="K200" s="57" t="s">
        <v>162</v>
      </c>
      <c r="L200" s="57" t="s">
        <v>150</v>
      </c>
      <c r="M200" s="59" t="s">
        <v>176</v>
      </c>
      <c r="N200" s="59">
        <v>31</v>
      </c>
      <c r="O200" s="60">
        <v>6.16</v>
      </c>
      <c r="P200" s="60">
        <v>4.5599999999999996</v>
      </c>
      <c r="Q200" s="60">
        <v>1.54</v>
      </c>
      <c r="R200" s="60">
        <v>1.1399999999999999</v>
      </c>
    </row>
    <row r="201" spans="2:18" ht="37">
      <c r="B201" s="61" t="s">
        <v>29</v>
      </c>
      <c r="C201" s="62" t="s">
        <v>201</v>
      </c>
      <c r="D201" s="63"/>
      <c r="E201" s="64" t="s">
        <v>92</v>
      </c>
      <c r="F201" s="65" t="s">
        <v>95</v>
      </c>
      <c r="G201" s="66" t="s">
        <v>103</v>
      </c>
      <c r="H201" s="67">
        <v>48</v>
      </c>
      <c r="I201" s="68">
        <v>0.72477202075572222</v>
      </c>
      <c r="J201" s="69">
        <f t="shared" si="2"/>
        <v>34.789056996274667</v>
      </c>
      <c r="K201" s="57" t="s">
        <v>158</v>
      </c>
      <c r="L201" s="57" t="s">
        <v>104</v>
      </c>
      <c r="M201" s="59" t="s">
        <v>181</v>
      </c>
      <c r="N201" s="59">
        <v>50</v>
      </c>
      <c r="O201" s="60">
        <v>22.9</v>
      </c>
      <c r="P201" s="60">
        <v>20.9</v>
      </c>
      <c r="Q201" s="60">
        <v>0.4770833333333333</v>
      </c>
      <c r="R201" s="60">
        <v>0.43541666666666662</v>
      </c>
    </row>
    <row r="202" spans="2:18" ht="37">
      <c r="B202" s="61" t="s">
        <v>29</v>
      </c>
      <c r="C202" s="62" t="s">
        <v>201</v>
      </c>
      <c r="D202" s="63"/>
      <c r="E202" s="64" t="s">
        <v>276</v>
      </c>
      <c r="F202" s="65" t="s">
        <v>95</v>
      </c>
      <c r="G202" s="66" t="s">
        <v>393</v>
      </c>
      <c r="H202" s="67">
        <v>24</v>
      </c>
      <c r="I202" s="68">
        <v>0.99309768810605015</v>
      </c>
      <c r="J202" s="69">
        <f t="shared" si="2"/>
        <v>23.834344514545204</v>
      </c>
      <c r="K202" s="57" t="s">
        <v>158</v>
      </c>
      <c r="L202" s="57" t="s">
        <v>104</v>
      </c>
      <c r="M202" s="59" t="s">
        <v>449</v>
      </c>
      <c r="N202" s="59">
        <v>33</v>
      </c>
      <c r="O202" s="60">
        <v>18.100000000000001</v>
      </c>
      <c r="P202" s="60">
        <v>16.100000000000001</v>
      </c>
      <c r="Q202" s="60">
        <v>0.75416666666666676</v>
      </c>
      <c r="R202" s="60">
        <v>0.67083333333333339</v>
      </c>
    </row>
    <row r="203" spans="2:18" ht="37">
      <c r="B203" s="61" t="s">
        <v>29</v>
      </c>
      <c r="C203" s="62" t="s">
        <v>201</v>
      </c>
      <c r="D203" s="63"/>
      <c r="E203" s="64" t="s">
        <v>277</v>
      </c>
      <c r="F203" s="65" t="s">
        <v>95</v>
      </c>
      <c r="G203" s="66" t="s">
        <v>394</v>
      </c>
      <c r="H203" s="67">
        <v>48</v>
      </c>
      <c r="I203" s="68">
        <v>1.2079533679262036</v>
      </c>
      <c r="J203" s="69">
        <f t="shared" si="2"/>
        <v>57.981761660457771</v>
      </c>
      <c r="K203" s="57" t="s">
        <v>158</v>
      </c>
      <c r="L203" s="57" t="s">
        <v>30</v>
      </c>
      <c r="M203" s="59" t="s">
        <v>449</v>
      </c>
      <c r="N203" s="59">
        <v>33</v>
      </c>
      <c r="O203" s="60">
        <v>43.349999999999994</v>
      </c>
      <c r="P203" s="60">
        <v>40.349999999999994</v>
      </c>
      <c r="Q203" s="60">
        <v>0.90312499999999984</v>
      </c>
      <c r="R203" s="60">
        <v>0.84062499999999984</v>
      </c>
    </row>
    <row r="204" spans="2:18" ht="18.5">
      <c r="B204" s="61" t="s">
        <v>29</v>
      </c>
      <c r="C204" s="62" t="s">
        <v>201</v>
      </c>
      <c r="D204" s="63" t="s">
        <v>202</v>
      </c>
      <c r="E204" s="64" t="s">
        <v>220</v>
      </c>
      <c r="F204" s="65" t="s">
        <v>327</v>
      </c>
      <c r="G204" s="66" t="s">
        <v>339</v>
      </c>
      <c r="H204" s="67">
        <v>4</v>
      </c>
      <c r="I204" s="68">
        <v>1.3779254815713933</v>
      </c>
      <c r="J204" s="69">
        <f t="shared" si="2"/>
        <v>5.5117019262855731</v>
      </c>
      <c r="K204" s="57" t="s">
        <v>159</v>
      </c>
      <c r="L204" s="57" t="s">
        <v>33</v>
      </c>
      <c r="M204" s="59" t="s">
        <v>437</v>
      </c>
      <c r="N204" s="59">
        <v>1</v>
      </c>
      <c r="O204" s="60">
        <v>1.9000000000000001</v>
      </c>
      <c r="P204" s="60">
        <v>1.5666666666666667</v>
      </c>
      <c r="Q204" s="60">
        <v>0.47500000000000003</v>
      </c>
      <c r="R204" s="60">
        <v>0.39166666666666666</v>
      </c>
    </row>
    <row r="205" spans="2:18" ht="18.5">
      <c r="B205" s="61" t="s">
        <v>29</v>
      </c>
      <c r="C205" s="62" t="s">
        <v>201</v>
      </c>
      <c r="D205" s="63" t="s">
        <v>202</v>
      </c>
      <c r="E205" s="64" t="s">
        <v>221</v>
      </c>
      <c r="F205" s="65" t="s">
        <v>327</v>
      </c>
      <c r="G205" s="66" t="s">
        <v>340</v>
      </c>
      <c r="H205" s="67">
        <v>4</v>
      </c>
      <c r="I205" s="68">
        <v>1.3509953418664149</v>
      </c>
      <c r="J205" s="69">
        <f t="shared" si="2"/>
        <v>5.4039813674656596</v>
      </c>
      <c r="K205" s="57" t="s">
        <v>159</v>
      </c>
      <c r="L205" s="57" t="s">
        <v>33</v>
      </c>
      <c r="M205" s="59" t="s">
        <v>437</v>
      </c>
      <c r="N205" s="59">
        <v>1</v>
      </c>
      <c r="O205" s="60">
        <v>1.9000000000000001</v>
      </c>
      <c r="P205" s="60">
        <v>1.5666666666666667</v>
      </c>
      <c r="Q205" s="60">
        <v>0.47500000000000003</v>
      </c>
      <c r="R205" s="60">
        <v>0.39166666666666666</v>
      </c>
    </row>
    <row r="206" spans="2:18" ht="18.5">
      <c r="B206" s="61" t="s">
        <v>29</v>
      </c>
      <c r="C206" s="62" t="s">
        <v>201</v>
      </c>
      <c r="D206" s="63" t="s">
        <v>202</v>
      </c>
      <c r="E206" s="64" t="s">
        <v>222</v>
      </c>
      <c r="F206" s="65" t="s">
        <v>327</v>
      </c>
      <c r="G206" s="66" t="s">
        <v>341</v>
      </c>
      <c r="H206" s="67">
        <v>4</v>
      </c>
      <c r="I206" s="68">
        <v>1.3509953418664149</v>
      </c>
      <c r="J206" s="69">
        <f t="shared" ref="J206:J252" si="3">I206*H206</f>
        <v>5.4039813674656596</v>
      </c>
      <c r="K206" s="57" t="s">
        <v>159</v>
      </c>
      <c r="L206" s="57" t="s">
        <v>33</v>
      </c>
      <c r="M206" s="59" t="s">
        <v>437</v>
      </c>
      <c r="N206" s="59">
        <v>1</v>
      </c>
      <c r="O206" s="60">
        <v>1.9000000000000001</v>
      </c>
      <c r="P206" s="60">
        <v>1.5666666666666667</v>
      </c>
      <c r="Q206" s="60">
        <v>0.47500000000000003</v>
      </c>
      <c r="R206" s="60">
        <v>0.39166666666666666</v>
      </c>
    </row>
    <row r="207" spans="2:18" ht="18.5">
      <c r="B207" s="61" t="s">
        <v>29</v>
      </c>
      <c r="C207" s="62" t="s">
        <v>201</v>
      </c>
      <c r="D207" s="63" t="s">
        <v>208</v>
      </c>
      <c r="E207" s="64" t="s">
        <v>239</v>
      </c>
      <c r="F207" s="65" t="s">
        <v>58</v>
      </c>
      <c r="G207" s="66" t="s">
        <v>358</v>
      </c>
      <c r="H207" s="67">
        <v>6</v>
      </c>
      <c r="I207" s="68">
        <v>0.55479990711053262</v>
      </c>
      <c r="J207" s="69">
        <f t="shared" si="3"/>
        <v>3.3287994426631959</v>
      </c>
      <c r="K207" s="57" t="s">
        <v>155</v>
      </c>
      <c r="L207" s="57" t="s">
        <v>427</v>
      </c>
      <c r="M207" s="59" t="s">
        <v>170</v>
      </c>
      <c r="N207" s="59">
        <v>5</v>
      </c>
      <c r="O207" s="60">
        <v>0.8571428571428571</v>
      </c>
      <c r="P207" s="60">
        <v>0.78571428571428581</v>
      </c>
      <c r="Q207" s="60">
        <v>0.14285714285714285</v>
      </c>
      <c r="R207" s="60">
        <v>0.13095238095238096</v>
      </c>
    </row>
    <row r="208" spans="2:18" ht="18.5">
      <c r="B208" s="61" t="s">
        <v>29</v>
      </c>
      <c r="C208" s="62" t="s">
        <v>201</v>
      </c>
      <c r="D208" s="63" t="s">
        <v>208</v>
      </c>
      <c r="E208" s="64" t="s">
        <v>240</v>
      </c>
      <c r="F208" s="65" t="s">
        <v>58</v>
      </c>
      <c r="G208" s="66" t="s">
        <v>359</v>
      </c>
      <c r="H208" s="67">
        <v>6</v>
      </c>
      <c r="I208" s="68">
        <v>0.68886516781575102</v>
      </c>
      <c r="J208" s="69">
        <f t="shared" si="3"/>
        <v>4.1331910068945064</v>
      </c>
      <c r="K208" s="57" t="s">
        <v>155</v>
      </c>
      <c r="L208" s="57" t="s">
        <v>427</v>
      </c>
      <c r="M208" s="59" t="s">
        <v>170</v>
      </c>
      <c r="N208" s="59">
        <v>5</v>
      </c>
      <c r="O208" s="60">
        <v>0.8571428571428571</v>
      </c>
      <c r="P208" s="60">
        <v>0.78571428571428581</v>
      </c>
      <c r="Q208" s="60">
        <v>0.14285714285714285</v>
      </c>
      <c r="R208" s="60">
        <v>0.13095238095238096</v>
      </c>
    </row>
    <row r="209" spans="2:18" ht="18.5">
      <c r="B209" s="61" t="s">
        <v>29</v>
      </c>
      <c r="C209" s="62" t="s">
        <v>201</v>
      </c>
      <c r="D209" s="63" t="s">
        <v>208</v>
      </c>
      <c r="E209" s="64" t="s">
        <v>241</v>
      </c>
      <c r="F209" s="65" t="s">
        <v>58</v>
      </c>
      <c r="G209" s="66" t="s">
        <v>360</v>
      </c>
      <c r="H209" s="67">
        <v>6</v>
      </c>
      <c r="I209" s="68">
        <v>0.82312557446086065</v>
      </c>
      <c r="J209" s="69">
        <f t="shared" si="3"/>
        <v>4.9387534467651637</v>
      </c>
      <c r="K209" s="57" t="s">
        <v>155</v>
      </c>
      <c r="L209" s="57" t="s">
        <v>427</v>
      </c>
      <c r="M209" s="59" t="s">
        <v>170</v>
      </c>
      <c r="N209" s="59">
        <v>5</v>
      </c>
      <c r="O209" s="60">
        <v>0.8571428571428571</v>
      </c>
      <c r="P209" s="60">
        <v>0.78571428571428581</v>
      </c>
      <c r="Q209" s="60">
        <v>0.14285714285714285</v>
      </c>
      <c r="R209" s="60">
        <v>0.13095238095238096</v>
      </c>
    </row>
    <row r="210" spans="2:18" ht="18.5">
      <c r="B210" s="61" t="s">
        <v>29</v>
      </c>
      <c r="C210" s="62" t="s">
        <v>201</v>
      </c>
      <c r="D210" s="63" t="s">
        <v>208</v>
      </c>
      <c r="E210" s="64" t="s">
        <v>242</v>
      </c>
      <c r="F210" s="65" t="s">
        <v>58</v>
      </c>
      <c r="G210" s="66" t="s">
        <v>361</v>
      </c>
      <c r="H210" s="67">
        <v>6</v>
      </c>
      <c r="I210" s="68">
        <v>0.90372084763590466</v>
      </c>
      <c r="J210" s="69">
        <f t="shared" si="3"/>
        <v>5.4223250858154284</v>
      </c>
      <c r="K210" s="57" t="s">
        <v>155</v>
      </c>
      <c r="L210" s="57" t="s">
        <v>427</v>
      </c>
      <c r="M210" s="59" t="s">
        <v>170</v>
      </c>
      <c r="N210" s="59">
        <v>5</v>
      </c>
      <c r="O210" s="60">
        <v>0.8571428571428571</v>
      </c>
      <c r="P210" s="60">
        <v>0.78571428571428581</v>
      </c>
      <c r="Q210" s="60">
        <v>0.14285714285714285</v>
      </c>
      <c r="R210" s="60">
        <v>0.13095238095238096</v>
      </c>
    </row>
    <row r="211" spans="2:18" ht="18.5">
      <c r="B211" s="61" t="s">
        <v>29</v>
      </c>
      <c r="C211" s="62" t="s">
        <v>201</v>
      </c>
      <c r="D211" s="63" t="s">
        <v>209</v>
      </c>
      <c r="E211" s="64" t="s">
        <v>243</v>
      </c>
      <c r="F211" s="65" t="s">
        <v>58</v>
      </c>
      <c r="G211" s="66" t="s">
        <v>362</v>
      </c>
      <c r="H211" s="67">
        <v>6</v>
      </c>
      <c r="I211" s="68">
        <v>1.0736929612810941</v>
      </c>
      <c r="J211" s="69">
        <f t="shared" si="3"/>
        <v>6.4421577676865649</v>
      </c>
      <c r="K211" s="57" t="s">
        <v>155</v>
      </c>
      <c r="L211" s="57" t="s">
        <v>427</v>
      </c>
      <c r="M211" s="59" t="s">
        <v>170</v>
      </c>
      <c r="N211" s="59">
        <v>5</v>
      </c>
      <c r="O211" s="60">
        <v>0.8571428571428571</v>
      </c>
      <c r="P211" s="60">
        <v>0.78571428571428581</v>
      </c>
      <c r="Q211" s="60">
        <v>0.14285714285714285</v>
      </c>
      <c r="R211" s="60">
        <v>0.13095238095238096</v>
      </c>
    </row>
    <row r="212" spans="2:18" ht="18.5">
      <c r="B212" s="61" t="s">
        <v>29</v>
      </c>
      <c r="C212" s="62" t="s">
        <v>201</v>
      </c>
      <c r="D212" s="63" t="s">
        <v>209</v>
      </c>
      <c r="E212" s="64" t="s">
        <v>244</v>
      </c>
      <c r="F212" s="65" t="s">
        <v>58</v>
      </c>
      <c r="G212" s="66" t="s">
        <v>363</v>
      </c>
      <c r="H212" s="67">
        <v>6</v>
      </c>
      <c r="I212" s="68">
        <v>1.3332370613363203</v>
      </c>
      <c r="J212" s="69">
        <f t="shared" si="3"/>
        <v>7.9994223680179211</v>
      </c>
      <c r="K212" s="57" t="s">
        <v>155</v>
      </c>
      <c r="L212" s="57" t="s">
        <v>427</v>
      </c>
      <c r="M212" s="59" t="s">
        <v>170</v>
      </c>
      <c r="N212" s="59">
        <v>5</v>
      </c>
      <c r="O212" s="60">
        <v>0.8571428571428571</v>
      </c>
      <c r="P212" s="60">
        <v>0.78571428571428581</v>
      </c>
      <c r="Q212" s="60">
        <v>0.14285714285714285</v>
      </c>
      <c r="R212" s="60">
        <v>0.13095238095238096</v>
      </c>
    </row>
    <row r="213" spans="2:18" ht="18.5">
      <c r="B213" s="61" t="s">
        <v>29</v>
      </c>
      <c r="C213" s="62" t="s">
        <v>201</v>
      </c>
      <c r="D213" s="63" t="s">
        <v>209</v>
      </c>
      <c r="E213" s="64" t="s">
        <v>245</v>
      </c>
      <c r="F213" s="65" t="s">
        <v>58</v>
      </c>
      <c r="G213" s="66" t="s">
        <v>364</v>
      </c>
      <c r="H213" s="67">
        <v>6</v>
      </c>
      <c r="I213" s="68">
        <v>1.6015627286866483</v>
      </c>
      <c r="J213" s="69">
        <f t="shared" si="3"/>
        <v>9.6093763721198897</v>
      </c>
      <c r="K213" s="57" t="s">
        <v>155</v>
      </c>
      <c r="L213" s="57" t="s">
        <v>427</v>
      </c>
      <c r="M213" s="59" t="s">
        <v>170</v>
      </c>
      <c r="N213" s="59">
        <v>5</v>
      </c>
      <c r="O213" s="60">
        <v>0.8571428571428571</v>
      </c>
      <c r="P213" s="60">
        <v>0.78571428571428581</v>
      </c>
      <c r="Q213" s="60">
        <v>0.14285714285714285</v>
      </c>
      <c r="R213" s="60">
        <v>0.13095238095238096</v>
      </c>
    </row>
    <row r="214" spans="2:18" ht="18.5">
      <c r="B214" s="61" t="s">
        <v>29</v>
      </c>
      <c r="C214" s="62" t="s">
        <v>201</v>
      </c>
      <c r="D214" s="63" t="s">
        <v>219</v>
      </c>
      <c r="E214" s="64" t="s">
        <v>319</v>
      </c>
      <c r="F214" s="65" t="s">
        <v>57</v>
      </c>
      <c r="G214" s="66" t="s">
        <v>420</v>
      </c>
      <c r="H214" s="67">
        <v>9</v>
      </c>
      <c r="I214" s="68">
        <v>2.093720789092123</v>
      </c>
      <c r="J214" s="69">
        <f t="shared" si="3"/>
        <v>18.843487101829108</v>
      </c>
      <c r="K214" s="57" t="s">
        <v>163</v>
      </c>
      <c r="L214" s="57" t="s">
        <v>148</v>
      </c>
      <c r="M214" s="59" t="s">
        <v>456</v>
      </c>
      <c r="N214" s="59">
        <v>51</v>
      </c>
      <c r="O214" s="60">
        <v>2.4624999999999999</v>
      </c>
      <c r="P214" s="60">
        <v>2.2000000000000002</v>
      </c>
      <c r="Q214" s="60">
        <v>0.27361111111111108</v>
      </c>
      <c r="R214" s="60">
        <v>0.24444444444444446</v>
      </c>
    </row>
    <row r="215" spans="2:18" ht="18.5">
      <c r="B215" s="61" t="s">
        <v>29</v>
      </c>
      <c r="C215" s="62" t="s">
        <v>201</v>
      </c>
      <c r="D215" s="63" t="s">
        <v>219</v>
      </c>
      <c r="E215" s="64" t="s">
        <v>320</v>
      </c>
      <c r="F215" s="65" t="s">
        <v>57</v>
      </c>
      <c r="G215" s="66" t="s">
        <v>421</v>
      </c>
      <c r="H215" s="67">
        <v>9</v>
      </c>
      <c r="I215" s="68">
        <v>2.093720789092123</v>
      </c>
      <c r="J215" s="69">
        <f t="shared" si="3"/>
        <v>18.843487101829108</v>
      </c>
      <c r="K215" s="57" t="s">
        <v>163</v>
      </c>
      <c r="L215" s="57" t="s">
        <v>148</v>
      </c>
      <c r="M215" s="59" t="s">
        <v>456</v>
      </c>
      <c r="N215" s="59">
        <v>51</v>
      </c>
      <c r="O215" s="60">
        <v>2.4624999999999999</v>
      </c>
      <c r="P215" s="60">
        <v>2.2000000000000002</v>
      </c>
      <c r="Q215" s="60">
        <v>0.27361111111111108</v>
      </c>
      <c r="R215" s="60">
        <v>0.24444444444444446</v>
      </c>
    </row>
    <row r="216" spans="2:18" ht="18.5">
      <c r="B216" s="61" t="s">
        <v>29</v>
      </c>
      <c r="C216" s="62" t="s">
        <v>201</v>
      </c>
      <c r="D216" s="63" t="s">
        <v>219</v>
      </c>
      <c r="E216" s="64" t="s">
        <v>321</v>
      </c>
      <c r="F216" s="65" t="s">
        <v>57</v>
      </c>
      <c r="G216" s="66" t="s">
        <v>422</v>
      </c>
      <c r="H216" s="67">
        <v>9</v>
      </c>
      <c r="I216" s="68">
        <v>2.093720789092123</v>
      </c>
      <c r="J216" s="69">
        <f t="shared" si="3"/>
        <v>18.843487101829108</v>
      </c>
      <c r="K216" s="57" t="s">
        <v>163</v>
      </c>
      <c r="L216" s="57" t="s">
        <v>148</v>
      </c>
      <c r="M216" s="59" t="s">
        <v>456</v>
      </c>
      <c r="N216" s="59">
        <v>51</v>
      </c>
      <c r="O216" s="60">
        <v>2.4624999999999999</v>
      </c>
      <c r="P216" s="60">
        <v>2.2000000000000002</v>
      </c>
      <c r="Q216" s="60">
        <v>0.27361111111111108</v>
      </c>
      <c r="R216" s="60">
        <v>0.24444444444444446</v>
      </c>
    </row>
    <row r="217" spans="2:18" ht="18.5">
      <c r="B217" s="61" t="s">
        <v>29</v>
      </c>
      <c r="C217" s="62" t="s">
        <v>201</v>
      </c>
      <c r="D217" s="63" t="s">
        <v>219</v>
      </c>
      <c r="E217" s="64" t="s">
        <v>322</v>
      </c>
      <c r="F217" s="65" t="s">
        <v>57</v>
      </c>
      <c r="G217" s="66" t="s">
        <v>423</v>
      </c>
      <c r="H217" s="67">
        <v>9</v>
      </c>
      <c r="I217" s="68">
        <v>2.093720789092123</v>
      </c>
      <c r="J217" s="69">
        <f t="shared" si="3"/>
        <v>18.843487101829108</v>
      </c>
      <c r="K217" s="57" t="s">
        <v>163</v>
      </c>
      <c r="L217" s="57" t="s">
        <v>148</v>
      </c>
      <c r="M217" s="59" t="s">
        <v>456</v>
      </c>
      <c r="N217" s="59">
        <v>51</v>
      </c>
      <c r="O217" s="60">
        <v>2.4624999999999999</v>
      </c>
      <c r="P217" s="60">
        <v>2.2000000000000002</v>
      </c>
      <c r="Q217" s="60">
        <v>0.27361111111111108</v>
      </c>
      <c r="R217" s="60">
        <v>0.24444444444444446</v>
      </c>
    </row>
    <row r="218" spans="2:18" ht="18.5">
      <c r="B218" s="61" t="s">
        <v>29</v>
      </c>
      <c r="C218" s="62" t="s">
        <v>201</v>
      </c>
      <c r="D218" s="63" t="s">
        <v>218</v>
      </c>
      <c r="E218" s="64" t="s">
        <v>301</v>
      </c>
      <c r="F218" s="65" t="s">
        <v>39</v>
      </c>
      <c r="G218" s="66" t="s">
        <v>406</v>
      </c>
      <c r="H218" s="67">
        <v>16</v>
      </c>
      <c r="I218" s="68">
        <v>1.4495440415114444</v>
      </c>
      <c r="J218" s="69">
        <f t="shared" si="3"/>
        <v>23.192704664183111</v>
      </c>
      <c r="K218" s="57" t="s">
        <v>159</v>
      </c>
      <c r="L218" s="57" t="s">
        <v>33</v>
      </c>
      <c r="M218" s="59" t="s">
        <v>437</v>
      </c>
      <c r="N218" s="59">
        <v>1</v>
      </c>
      <c r="O218" s="60">
        <v>5.3999999999999995</v>
      </c>
      <c r="P218" s="60">
        <v>4.4666666666666668</v>
      </c>
      <c r="Q218" s="60">
        <v>0.33749999999999997</v>
      </c>
      <c r="R218" s="60">
        <v>0.27916666666666667</v>
      </c>
    </row>
    <row r="219" spans="2:18" ht="18.5">
      <c r="B219" s="61" t="s">
        <v>29</v>
      </c>
      <c r="C219" s="62" t="s">
        <v>201</v>
      </c>
      <c r="D219" s="63" t="s">
        <v>218</v>
      </c>
      <c r="E219" s="64" t="s">
        <v>302</v>
      </c>
      <c r="F219" s="65" t="s">
        <v>39</v>
      </c>
      <c r="G219" s="66" t="s">
        <v>407</v>
      </c>
      <c r="H219" s="67">
        <v>16</v>
      </c>
      <c r="I219" s="68">
        <v>1.4495440415114444</v>
      </c>
      <c r="J219" s="69">
        <f t="shared" si="3"/>
        <v>23.192704664183111</v>
      </c>
      <c r="K219" s="57" t="s">
        <v>159</v>
      </c>
      <c r="L219" s="57" t="s">
        <v>33</v>
      </c>
      <c r="M219" s="59" t="s">
        <v>437</v>
      </c>
      <c r="N219" s="59">
        <v>1</v>
      </c>
      <c r="O219" s="60">
        <v>5.3999999999999995</v>
      </c>
      <c r="P219" s="60">
        <v>4.4666666666666668</v>
      </c>
      <c r="Q219" s="60">
        <v>0.33749999999999997</v>
      </c>
      <c r="R219" s="60">
        <v>0.27916666666666667</v>
      </c>
    </row>
    <row r="220" spans="2:18" ht="18.5">
      <c r="B220" s="61" t="s">
        <v>29</v>
      </c>
      <c r="C220" s="62" t="s">
        <v>201</v>
      </c>
      <c r="D220" s="63" t="s">
        <v>218</v>
      </c>
      <c r="E220" s="64" t="s">
        <v>303</v>
      </c>
      <c r="F220" s="65" t="s">
        <v>39</v>
      </c>
      <c r="G220" s="66" t="s">
        <v>408</v>
      </c>
      <c r="H220" s="67">
        <v>16</v>
      </c>
      <c r="I220" s="68">
        <v>1.4495440415114444</v>
      </c>
      <c r="J220" s="69">
        <f t="shared" si="3"/>
        <v>23.192704664183111</v>
      </c>
      <c r="K220" s="57" t="s">
        <v>159</v>
      </c>
      <c r="L220" s="57" t="s">
        <v>33</v>
      </c>
      <c r="M220" s="59" t="s">
        <v>437</v>
      </c>
      <c r="N220" s="59">
        <v>1</v>
      </c>
      <c r="O220" s="60">
        <v>5.3999999999999995</v>
      </c>
      <c r="P220" s="60">
        <v>4.4666666666666668</v>
      </c>
      <c r="Q220" s="60">
        <v>0.33749999999999997</v>
      </c>
      <c r="R220" s="60">
        <v>0.27916666666666667</v>
      </c>
    </row>
    <row r="221" spans="2:18" ht="18.5">
      <c r="B221" s="61" t="s">
        <v>29</v>
      </c>
      <c r="C221" s="62" t="s">
        <v>201</v>
      </c>
      <c r="D221" s="63"/>
      <c r="E221" s="64" t="s">
        <v>88</v>
      </c>
      <c r="F221" s="65" t="s">
        <v>59</v>
      </c>
      <c r="G221" s="66" t="s">
        <v>99</v>
      </c>
      <c r="H221" s="67">
        <v>12</v>
      </c>
      <c r="I221" s="68">
        <v>1.6821580018616924</v>
      </c>
      <c r="J221" s="69">
        <f t="shared" si="3"/>
        <v>20.185896022340309</v>
      </c>
      <c r="K221" s="57" t="s">
        <v>161</v>
      </c>
      <c r="L221" s="57" t="s">
        <v>30</v>
      </c>
      <c r="M221" s="59" t="s">
        <v>181</v>
      </c>
      <c r="N221" s="59">
        <v>52</v>
      </c>
      <c r="O221" s="60">
        <v>16.02</v>
      </c>
      <c r="P221" s="60">
        <v>15.02</v>
      </c>
      <c r="Q221" s="60">
        <v>1.335</v>
      </c>
      <c r="R221" s="60">
        <v>1.2516666666666667</v>
      </c>
    </row>
    <row r="222" spans="2:18" ht="18.5">
      <c r="B222" s="61" t="s">
        <v>29</v>
      </c>
      <c r="C222" s="62" t="s">
        <v>201</v>
      </c>
      <c r="D222" s="63"/>
      <c r="E222" s="64" t="s">
        <v>309</v>
      </c>
      <c r="F222" s="65" t="s">
        <v>335</v>
      </c>
      <c r="G222" s="66" t="s">
        <v>412</v>
      </c>
      <c r="H222" s="67">
        <v>12</v>
      </c>
      <c r="I222" s="68">
        <v>1.3242603481013278</v>
      </c>
      <c r="J222" s="69">
        <f t="shared" si="3"/>
        <v>15.891124177215932</v>
      </c>
      <c r="K222" s="57" t="s">
        <v>161</v>
      </c>
      <c r="L222" s="57" t="s">
        <v>83</v>
      </c>
      <c r="M222" s="59" t="s">
        <v>453</v>
      </c>
      <c r="N222" s="59">
        <v>42</v>
      </c>
      <c r="O222" s="60">
        <v>14.119999999999997</v>
      </c>
      <c r="P222" s="60">
        <v>13.12</v>
      </c>
      <c r="Q222" s="60">
        <v>1.1766666666666665</v>
      </c>
      <c r="R222" s="60">
        <v>1.0933333333333333</v>
      </c>
    </row>
    <row r="223" spans="2:18" ht="18.5">
      <c r="B223" s="61" t="s">
        <v>29</v>
      </c>
      <c r="C223" s="62" t="s">
        <v>201</v>
      </c>
      <c r="D223" s="63"/>
      <c r="E223" s="64" t="s">
        <v>253</v>
      </c>
      <c r="F223" s="65" t="s">
        <v>42</v>
      </c>
      <c r="G223" s="66" t="s">
        <v>372</v>
      </c>
      <c r="H223" s="67">
        <v>24</v>
      </c>
      <c r="I223" s="68">
        <v>1.8611068287418748</v>
      </c>
      <c r="J223" s="69">
        <f t="shared" si="3"/>
        <v>44.666563889804998</v>
      </c>
      <c r="K223" s="57" t="s">
        <v>161</v>
      </c>
      <c r="L223" s="57" t="s">
        <v>30</v>
      </c>
      <c r="M223" s="59" t="s">
        <v>440</v>
      </c>
      <c r="N223" s="59">
        <v>8</v>
      </c>
      <c r="O223" s="60">
        <v>40</v>
      </c>
      <c r="P223" s="60">
        <v>38</v>
      </c>
      <c r="Q223" s="60">
        <v>1.6666666666666667</v>
      </c>
      <c r="R223" s="60">
        <v>1.5833333333333333</v>
      </c>
    </row>
    <row r="224" spans="2:18" ht="37">
      <c r="B224" s="61" t="s">
        <v>29</v>
      </c>
      <c r="C224" s="62" t="s">
        <v>201</v>
      </c>
      <c r="D224" s="63"/>
      <c r="E224" s="64" t="s">
        <v>254</v>
      </c>
      <c r="F224" s="65" t="s">
        <v>59</v>
      </c>
      <c r="G224" s="66" t="s">
        <v>373</v>
      </c>
      <c r="H224" s="67">
        <v>8</v>
      </c>
      <c r="I224" s="68">
        <v>2.2190044825022395</v>
      </c>
      <c r="J224" s="69">
        <f t="shared" si="3"/>
        <v>17.752035860017916</v>
      </c>
      <c r="K224" s="57" t="s">
        <v>161</v>
      </c>
      <c r="L224" s="57" t="s">
        <v>30</v>
      </c>
      <c r="M224" s="59" t="s">
        <v>440</v>
      </c>
      <c r="N224" s="59">
        <v>8</v>
      </c>
      <c r="O224" s="60">
        <v>13.15</v>
      </c>
      <c r="P224" s="60">
        <v>12.15</v>
      </c>
      <c r="Q224" s="60">
        <v>1.64375</v>
      </c>
      <c r="R224" s="60">
        <v>1.51875</v>
      </c>
    </row>
    <row r="225" spans="2:18" ht="18.5">
      <c r="B225" s="61" t="s">
        <v>29</v>
      </c>
      <c r="C225" s="62" t="s">
        <v>201</v>
      </c>
      <c r="D225" s="63"/>
      <c r="E225" s="64" t="s">
        <v>255</v>
      </c>
      <c r="F225" s="65" t="s">
        <v>330</v>
      </c>
      <c r="G225" s="66" t="s">
        <v>374</v>
      </c>
      <c r="H225" s="67">
        <v>48</v>
      </c>
      <c r="I225" s="68">
        <v>1.6821580018616924</v>
      </c>
      <c r="J225" s="69">
        <f t="shared" si="3"/>
        <v>80.743584089361235</v>
      </c>
      <c r="K225" s="57" t="s">
        <v>163</v>
      </c>
      <c r="L225" s="57" t="s">
        <v>148</v>
      </c>
      <c r="M225" s="59" t="s">
        <v>441</v>
      </c>
      <c r="N225" s="59">
        <v>9</v>
      </c>
      <c r="O225" s="60">
        <v>16</v>
      </c>
      <c r="P225" s="60">
        <v>14</v>
      </c>
      <c r="Q225" s="60">
        <v>0.33333333333333331</v>
      </c>
      <c r="R225" s="60">
        <v>0.29166666666666669</v>
      </c>
    </row>
    <row r="226" spans="2:18" ht="18.5">
      <c r="B226" s="61" t="s">
        <v>29</v>
      </c>
      <c r="C226" s="62" t="s">
        <v>201</v>
      </c>
      <c r="D226" s="63"/>
      <c r="E226" s="64" t="s">
        <v>257</v>
      </c>
      <c r="F226" s="65" t="s">
        <v>56</v>
      </c>
      <c r="G226" s="66" t="s">
        <v>376</v>
      </c>
      <c r="H226" s="67">
        <v>1</v>
      </c>
      <c r="I226" s="68">
        <v>33.731561148004538</v>
      </c>
      <c r="J226" s="69">
        <f t="shared" si="3"/>
        <v>33.731561148004538</v>
      </c>
      <c r="K226" s="57" t="s">
        <v>160</v>
      </c>
      <c r="L226" s="57" t="s">
        <v>43</v>
      </c>
      <c r="M226" s="59" t="s">
        <v>174</v>
      </c>
      <c r="N226" s="59">
        <v>11</v>
      </c>
      <c r="O226" s="60">
        <v>6</v>
      </c>
      <c r="P226" s="60">
        <v>4.9000000000000004</v>
      </c>
      <c r="Q226" s="60">
        <v>6</v>
      </c>
      <c r="R226" s="60">
        <v>4.9000000000000004</v>
      </c>
    </row>
    <row r="227" spans="2:18" ht="18.5">
      <c r="B227" s="61" t="s">
        <v>29</v>
      </c>
      <c r="C227" s="62" t="s">
        <v>201</v>
      </c>
      <c r="D227" s="63"/>
      <c r="E227" s="64" t="s">
        <v>323</v>
      </c>
      <c r="F227" s="65" t="s">
        <v>56</v>
      </c>
      <c r="G227" s="66" t="s">
        <v>424</v>
      </c>
      <c r="H227" s="67">
        <v>2</v>
      </c>
      <c r="I227" s="68">
        <v>18.377868889248827</v>
      </c>
      <c r="J227" s="69">
        <f t="shared" si="3"/>
        <v>36.755737778497654</v>
      </c>
      <c r="K227" s="57" t="s">
        <v>160</v>
      </c>
      <c r="L227" s="57" t="s">
        <v>43</v>
      </c>
      <c r="M227" s="59" t="s">
        <v>442</v>
      </c>
      <c r="N227" s="59">
        <v>10</v>
      </c>
      <c r="O227" s="60">
        <v>5.8</v>
      </c>
      <c r="P227" s="60">
        <v>4.8</v>
      </c>
      <c r="Q227" s="60">
        <v>2.9</v>
      </c>
      <c r="R227" s="60">
        <v>2.4</v>
      </c>
    </row>
    <row r="228" spans="2:18" ht="18.5">
      <c r="B228" s="61" t="s">
        <v>29</v>
      </c>
      <c r="C228" s="62" t="s">
        <v>201</v>
      </c>
      <c r="D228" s="63"/>
      <c r="E228" s="64" t="s">
        <v>74</v>
      </c>
      <c r="F228" s="65" t="s">
        <v>35</v>
      </c>
      <c r="G228" s="66" t="s">
        <v>82</v>
      </c>
      <c r="H228" s="67">
        <v>2</v>
      </c>
      <c r="I228" s="68">
        <v>14.423236417354721</v>
      </c>
      <c r="J228" s="69">
        <f t="shared" si="3"/>
        <v>28.846472834709441</v>
      </c>
      <c r="K228" s="57" t="s">
        <v>160</v>
      </c>
      <c r="L228" s="57" t="s">
        <v>43</v>
      </c>
      <c r="M228" s="59" t="s">
        <v>193</v>
      </c>
      <c r="N228" s="59">
        <v>14</v>
      </c>
      <c r="O228" s="60">
        <v>5.6</v>
      </c>
      <c r="P228" s="60">
        <v>3.6</v>
      </c>
      <c r="Q228" s="60">
        <v>2.8</v>
      </c>
      <c r="R228" s="60">
        <v>1.8</v>
      </c>
    </row>
    <row r="229" spans="2:18" ht="18.5">
      <c r="B229" s="61" t="s">
        <v>29</v>
      </c>
      <c r="C229" s="62" t="s">
        <v>201</v>
      </c>
      <c r="D229" s="63"/>
      <c r="E229" s="64" t="s">
        <v>259</v>
      </c>
      <c r="F229" s="65" t="s">
        <v>35</v>
      </c>
      <c r="G229" s="66" t="s">
        <v>378</v>
      </c>
      <c r="H229" s="67">
        <v>2</v>
      </c>
      <c r="I229" s="68">
        <v>11.049943700396343</v>
      </c>
      <c r="J229" s="69">
        <f t="shared" si="3"/>
        <v>22.099887400792685</v>
      </c>
      <c r="K229" s="57" t="s">
        <v>458</v>
      </c>
      <c r="L229" s="57" t="s">
        <v>43</v>
      </c>
      <c r="M229" s="59" t="s">
        <v>443</v>
      </c>
      <c r="N229" s="59">
        <v>15</v>
      </c>
      <c r="O229" s="60">
        <v>4.6000000000000023</v>
      </c>
      <c r="P229" s="60">
        <v>2.8</v>
      </c>
      <c r="Q229" s="60">
        <v>2.3000000000000012</v>
      </c>
      <c r="R229" s="60">
        <v>1.4</v>
      </c>
    </row>
    <row r="230" spans="2:18" ht="18.5">
      <c r="B230" s="61" t="s">
        <v>29</v>
      </c>
      <c r="C230" s="62" t="s">
        <v>201</v>
      </c>
      <c r="D230" s="63"/>
      <c r="E230" s="64" t="s">
        <v>260</v>
      </c>
      <c r="F230" s="65" t="s">
        <v>35</v>
      </c>
      <c r="G230" s="66" t="s">
        <v>379</v>
      </c>
      <c r="H230" s="67">
        <v>2</v>
      </c>
      <c r="I230" s="68">
        <v>13.957813350714332</v>
      </c>
      <c r="J230" s="69">
        <f t="shared" si="3"/>
        <v>27.915626701428664</v>
      </c>
      <c r="K230" s="57" t="s">
        <v>160</v>
      </c>
      <c r="L230" s="57" t="s">
        <v>43</v>
      </c>
      <c r="M230" s="59" t="s">
        <v>190</v>
      </c>
      <c r="N230" s="59">
        <v>16</v>
      </c>
      <c r="O230" s="60">
        <v>6.6</v>
      </c>
      <c r="P230" s="60">
        <v>5.4</v>
      </c>
      <c r="Q230" s="60">
        <v>3.3</v>
      </c>
      <c r="R230" s="60">
        <v>2.7</v>
      </c>
    </row>
    <row r="231" spans="2:18" ht="18.5">
      <c r="B231" s="61" t="s">
        <v>29</v>
      </c>
      <c r="C231" s="62" t="s">
        <v>201</v>
      </c>
      <c r="D231" s="63"/>
      <c r="E231" s="64" t="s">
        <v>261</v>
      </c>
      <c r="F231" s="65" t="s">
        <v>35</v>
      </c>
      <c r="G231" s="66" t="s">
        <v>380</v>
      </c>
      <c r="H231" s="67">
        <v>2</v>
      </c>
      <c r="I231" s="68">
        <v>10.235794839170474</v>
      </c>
      <c r="J231" s="69">
        <f t="shared" si="3"/>
        <v>20.471589678340948</v>
      </c>
      <c r="K231" s="57" t="s">
        <v>160</v>
      </c>
      <c r="L231" s="57" t="s">
        <v>43</v>
      </c>
      <c r="M231" s="59" t="s">
        <v>442</v>
      </c>
      <c r="N231" s="59">
        <v>10</v>
      </c>
      <c r="O231" s="60">
        <v>4</v>
      </c>
      <c r="P231" s="60">
        <v>2.8</v>
      </c>
      <c r="Q231" s="60">
        <v>2</v>
      </c>
      <c r="R231" s="60">
        <v>1.4</v>
      </c>
    </row>
    <row r="232" spans="2:18" ht="18.5">
      <c r="B232" s="61" t="s">
        <v>29</v>
      </c>
      <c r="C232" s="62" t="s">
        <v>201</v>
      </c>
      <c r="D232" s="63"/>
      <c r="E232" s="64" t="s">
        <v>115</v>
      </c>
      <c r="F232" s="65" t="s">
        <v>94</v>
      </c>
      <c r="G232" s="66" t="s">
        <v>139</v>
      </c>
      <c r="H232" s="67">
        <v>36</v>
      </c>
      <c r="I232" s="68">
        <v>1.4136371885714731</v>
      </c>
      <c r="J232" s="69">
        <f t="shared" si="3"/>
        <v>50.890938788573031</v>
      </c>
      <c r="K232" s="57" t="s">
        <v>158</v>
      </c>
      <c r="L232" s="57" t="s">
        <v>30</v>
      </c>
      <c r="M232" s="59" t="s">
        <v>191</v>
      </c>
      <c r="N232" s="59">
        <v>45</v>
      </c>
      <c r="O232" s="60">
        <v>32</v>
      </c>
      <c r="P232" s="60">
        <v>30</v>
      </c>
      <c r="Q232" s="60">
        <v>0.88888888888888884</v>
      </c>
      <c r="R232" s="60">
        <v>0.83333333333333337</v>
      </c>
    </row>
    <row r="233" spans="2:18" ht="37">
      <c r="B233" s="61" t="s">
        <v>29</v>
      </c>
      <c r="C233" s="62" t="s">
        <v>201</v>
      </c>
      <c r="D233" s="63"/>
      <c r="E233" s="64" t="s">
        <v>312</v>
      </c>
      <c r="F233" s="65" t="s">
        <v>336</v>
      </c>
      <c r="G233" s="66" t="s">
        <v>415</v>
      </c>
      <c r="H233" s="67">
        <v>9</v>
      </c>
      <c r="I233" s="68">
        <v>3.6416183843087055</v>
      </c>
      <c r="J233" s="69">
        <f t="shared" si="3"/>
        <v>32.774565458778348</v>
      </c>
      <c r="K233" s="57" t="s">
        <v>463</v>
      </c>
      <c r="L233" s="57" t="s">
        <v>436</v>
      </c>
      <c r="M233" s="59" t="s">
        <v>454</v>
      </c>
      <c r="N233" s="59">
        <v>46</v>
      </c>
      <c r="O233" s="60">
        <v>7.2</v>
      </c>
      <c r="P233" s="60">
        <v>6.7</v>
      </c>
      <c r="Q233" s="60">
        <v>0.8</v>
      </c>
      <c r="R233" s="60">
        <v>0.74444444444444446</v>
      </c>
    </row>
    <row r="234" spans="2:18" ht="37">
      <c r="B234" s="61" t="s">
        <v>29</v>
      </c>
      <c r="C234" s="62" t="s">
        <v>201</v>
      </c>
      <c r="D234" s="63"/>
      <c r="E234" s="64" t="s">
        <v>313</v>
      </c>
      <c r="F234" s="65" t="s">
        <v>336</v>
      </c>
      <c r="G234" s="66" t="s">
        <v>415</v>
      </c>
      <c r="H234" s="67">
        <v>9</v>
      </c>
      <c r="I234" s="68">
        <v>3.6416183843087055</v>
      </c>
      <c r="J234" s="69">
        <f t="shared" si="3"/>
        <v>32.774565458778348</v>
      </c>
      <c r="K234" s="57" t="s">
        <v>463</v>
      </c>
      <c r="L234" s="57" t="s">
        <v>436</v>
      </c>
      <c r="M234" s="59" t="s">
        <v>454</v>
      </c>
      <c r="N234" s="59">
        <v>46</v>
      </c>
      <c r="O234" s="60">
        <v>7.2</v>
      </c>
      <c r="P234" s="60">
        <v>6.7</v>
      </c>
      <c r="Q234" s="60">
        <v>0.8</v>
      </c>
      <c r="R234" s="60">
        <v>0.74444444444444446</v>
      </c>
    </row>
    <row r="235" spans="2:18" ht="37">
      <c r="B235" s="61" t="s">
        <v>29</v>
      </c>
      <c r="C235" s="62" t="s">
        <v>201</v>
      </c>
      <c r="D235" s="63"/>
      <c r="E235" s="64" t="s">
        <v>324</v>
      </c>
      <c r="F235" s="65" t="s">
        <v>336</v>
      </c>
      <c r="G235" s="66" t="s">
        <v>415</v>
      </c>
      <c r="H235" s="67">
        <v>9</v>
      </c>
      <c r="I235" s="68">
        <v>3.6416183843087055</v>
      </c>
      <c r="J235" s="69">
        <f t="shared" si="3"/>
        <v>32.774565458778348</v>
      </c>
      <c r="K235" s="57" t="s">
        <v>463</v>
      </c>
      <c r="L235" s="57" t="s">
        <v>436</v>
      </c>
      <c r="M235" s="59" t="s">
        <v>454</v>
      </c>
      <c r="N235" s="59">
        <v>46</v>
      </c>
      <c r="O235" s="60">
        <v>7.2</v>
      </c>
      <c r="P235" s="60">
        <v>6.7</v>
      </c>
      <c r="Q235" s="60">
        <v>0.8</v>
      </c>
      <c r="R235" s="60">
        <v>0.74444444444444446</v>
      </c>
    </row>
    <row r="236" spans="2:18" ht="18.5">
      <c r="B236" s="61" t="s">
        <v>29</v>
      </c>
      <c r="C236" s="62" t="s">
        <v>201</v>
      </c>
      <c r="D236" s="63"/>
      <c r="E236" s="64" t="s">
        <v>263</v>
      </c>
      <c r="F236" s="65" t="s">
        <v>331</v>
      </c>
      <c r="G236" s="66" t="s">
        <v>382</v>
      </c>
      <c r="H236" s="67">
        <v>3</v>
      </c>
      <c r="I236" s="68">
        <v>16.212724686156541</v>
      </c>
      <c r="J236" s="69">
        <f t="shared" si="3"/>
        <v>48.638174058469623</v>
      </c>
      <c r="K236" s="57" t="s">
        <v>169</v>
      </c>
      <c r="L236" s="57" t="s">
        <v>30</v>
      </c>
      <c r="M236" s="59" t="s">
        <v>444</v>
      </c>
      <c r="N236" s="59">
        <v>19</v>
      </c>
      <c r="O236" s="60">
        <v>34.980000000000004</v>
      </c>
      <c r="P236" s="60">
        <v>31.98</v>
      </c>
      <c r="Q236" s="60">
        <v>11.660000000000002</v>
      </c>
      <c r="R236" s="60">
        <v>10.66</v>
      </c>
    </row>
    <row r="237" spans="2:18" ht="18.5">
      <c r="B237" s="61" t="s">
        <v>29</v>
      </c>
      <c r="C237" s="62" t="s">
        <v>201</v>
      </c>
      <c r="D237" s="63"/>
      <c r="E237" s="64" t="s">
        <v>264</v>
      </c>
      <c r="F237" s="65" t="s">
        <v>331</v>
      </c>
      <c r="G237" s="66" t="s">
        <v>383</v>
      </c>
      <c r="H237" s="67">
        <v>3</v>
      </c>
      <c r="I237" s="68">
        <v>15.487952665400821</v>
      </c>
      <c r="J237" s="69">
        <f t="shared" si="3"/>
        <v>46.463857996202464</v>
      </c>
      <c r="K237" s="57" t="s">
        <v>169</v>
      </c>
      <c r="L237" s="57" t="s">
        <v>30</v>
      </c>
      <c r="M237" s="59" t="s">
        <v>445</v>
      </c>
      <c r="N237" s="59">
        <v>20</v>
      </c>
      <c r="O237" s="60">
        <v>32.04</v>
      </c>
      <c r="P237" s="60">
        <v>29.04</v>
      </c>
      <c r="Q237" s="60">
        <v>10.68</v>
      </c>
      <c r="R237" s="60">
        <v>9.68</v>
      </c>
    </row>
    <row r="238" spans="2:18" ht="18.5">
      <c r="B238" s="61" t="s">
        <v>29</v>
      </c>
      <c r="C238" s="62" t="s">
        <v>201</v>
      </c>
      <c r="D238" s="63"/>
      <c r="E238" s="64" t="s">
        <v>265</v>
      </c>
      <c r="F238" s="65" t="s">
        <v>331</v>
      </c>
      <c r="G238" s="66" t="s">
        <v>384</v>
      </c>
      <c r="H238" s="67">
        <v>4</v>
      </c>
      <c r="I238" s="68">
        <v>8.6789205307188997</v>
      </c>
      <c r="J238" s="69">
        <f t="shared" si="3"/>
        <v>34.715682122875599</v>
      </c>
      <c r="K238" s="57" t="s">
        <v>161</v>
      </c>
      <c r="L238" s="57" t="s">
        <v>30</v>
      </c>
      <c r="M238" s="59" t="s">
        <v>446</v>
      </c>
      <c r="N238" s="59">
        <v>21</v>
      </c>
      <c r="O238" s="60">
        <v>29.1</v>
      </c>
      <c r="P238" s="60">
        <v>28.2</v>
      </c>
      <c r="Q238" s="60">
        <v>7.2750000000000004</v>
      </c>
      <c r="R238" s="60">
        <v>7.05</v>
      </c>
    </row>
    <row r="239" spans="2:18" ht="18.5">
      <c r="B239" s="61" t="s">
        <v>29</v>
      </c>
      <c r="C239" s="62" t="s">
        <v>201</v>
      </c>
      <c r="D239" s="63"/>
      <c r="E239" s="64" t="s">
        <v>91</v>
      </c>
      <c r="F239" s="65" t="s">
        <v>41</v>
      </c>
      <c r="G239" s="66" t="s">
        <v>102</v>
      </c>
      <c r="H239" s="67">
        <v>24</v>
      </c>
      <c r="I239" s="68">
        <v>2.5679254230276114</v>
      </c>
      <c r="J239" s="69">
        <f t="shared" si="3"/>
        <v>61.63021015266267</v>
      </c>
      <c r="K239" s="57" t="s">
        <v>168</v>
      </c>
      <c r="L239" s="57" t="s">
        <v>30</v>
      </c>
      <c r="M239" s="59" t="s">
        <v>181</v>
      </c>
      <c r="N239" s="59">
        <v>22</v>
      </c>
      <c r="O239" s="60">
        <v>33.799999999999997</v>
      </c>
      <c r="P239" s="60">
        <v>31.799999999999997</v>
      </c>
      <c r="Q239" s="60">
        <v>1.4083333333333332</v>
      </c>
      <c r="R239" s="60">
        <v>1.325</v>
      </c>
    </row>
    <row r="240" spans="2:18" ht="18.5">
      <c r="B240" s="61" t="s">
        <v>29</v>
      </c>
      <c r="C240" s="62" t="s">
        <v>201</v>
      </c>
      <c r="D240" s="63"/>
      <c r="E240" s="64" t="s">
        <v>113</v>
      </c>
      <c r="F240" s="65" t="s">
        <v>34</v>
      </c>
      <c r="G240" s="66" t="s">
        <v>138</v>
      </c>
      <c r="H240" s="67">
        <v>48</v>
      </c>
      <c r="I240" s="68">
        <v>1.4136371885714731</v>
      </c>
      <c r="J240" s="69">
        <f t="shared" si="3"/>
        <v>67.854585051430718</v>
      </c>
      <c r="K240" s="57" t="s">
        <v>166</v>
      </c>
      <c r="L240" s="57" t="s">
        <v>33</v>
      </c>
      <c r="M240" s="59" t="s">
        <v>179</v>
      </c>
      <c r="N240" s="59">
        <v>30</v>
      </c>
      <c r="O240" s="60">
        <v>11</v>
      </c>
      <c r="P240" s="60">
        <v>9</v>
      </c>
      <c r="Q240" s="60">
        <v>0.22916666666666666</v>
      </c>
      <c r="R240" s="60">
        <v>0.1875</v>
      </c>
    </row>
    <row r="241" spans="2:18" ht="18.5">
      <c r="B241" s="61" t="s">
        <v>29</v>
      </c>
      <c r="C241" s="62" t="s">
        <v>201</v>
      </c>
      <c r="D241" s="63"/>
      <c r="E241" s="64" t="s">
        <v>315</v>
      </c>
      <c r="F241" s="65" t="s">
        <v>38</v>
      </c>
      <c r="G241" s="66" t="s">
        <v>416</v>
      </c>
      <c r="H241" s="67">
        <v>8</v>
      </c>
      <c r="I241" s="68">
        <v>1.154288234456138</v>
      </c>
      <c r="J241" s="69">
        <f t="shared" si="3"/>
        <v>9.2343058756491043</v>
      </c>
      <c r="K241" s="57" t="s">
        <v>158</v>
      </c>
      <c r="L241" s="57" t="s">
        <v>45</v>
      </c>
      <c r="M241" s="59" t="s">
        <v>185</v>
      </c>
      <c r="N241" s="59">
        <v>48</v>
      </c>
      <c r="O241" s="60">
        <v>7.36</v>
      </c>
      <c r="P241" s="60">
        <v>6.96</v>
      </c>
      <c r="Q241" s="60">
        <v>0.92</v>
      </c>
      <c r="R241" s="60">
        <v>0.87</v>
      </c>
    </row>
    <row r="242" spans="2:18" ht="18.5">
      <c r="B242" s="61" t="s">
        <v>29</v>
      </c>
      <c r="C242" s="62" t="s">
        <v>201</v>
      </c>
      <c r="D242" s="63"/>
      <c r="E242" s="64" t="s">
        <v>110</v>
      </c>
      <c r="F242" s="65" t="s">
        <v>38</v>
      </c>
      <c r="G242" s="66" t="s">
        <v>134</v>
      </c>
      <c r="H242" s="67">
        <v>12</v>
      </c>
      <c r="I242" s="68">
        <v>0.65315346081567105</v>
      </c>
      <c r="J242" s="69">
        <f t="shared" si="3"/>
        <v>7.8378415297880526</v>
      </c>
      <c r="K242" s="57" t="s">
        <v>158</v>
      </c>
      <c r="L242" s="57" t="s">
        <v>45</v>
      </c>
      <c r="M242" s="59" t="s">
        <v>185</v>
      </c>
      <c r="N242" s="59">
        <v>48</v>
      </c>
      <c r="O242" s="60">
        <v>8.8000000000000007</v>
      </c>
      <c r="P242" s="60">
        <v>7</v>
      </c>
      <c r="Q242" s="60">
        <v>0.73333333333333339</v>
      </c>
      <c r="R242" s="60">
        <v>0.58333333333333337</v>
      </c>
    </row>
    <row r="243" spans="2:18" ht="18.5">
      <c r="B243" s="61" t="s">
        <v>29</v>
      </c>
      <c r="C243" s="62" t="s">
        <v>201</v>
      </c>
      <c r="D243" s="63"/>
      <c r="E243" s="64" t="s">
        <v>89</v>
      </c>
      <c r="F243" s="65" t="s">
        <v>38</v>
      </c>
      <c r="G243" s="66" t="s">
        <v>100</v>
      </c>
      <c r="H243" s="67">
        <v>8</v>
      </c>
      <c r="I243" s="68">
        <v>1.1899999414562181</v>
      </c>
      <c r="J243" s="69">
        <f t="shared" si="3"/>
        <v>9.519999531649745</v>
      </c>
      <c r="K243" s="57" t="s">
        <v>158</v>
      </c>
      <c r="L243" s="57" t="s">
        <v>45</v>
      </c>
      <c r="M243" s="59" t="s">
        <v>447</v>
      </c>
      <c r="N243" s="59">
        <v>26</v>
      </c>
      <c r="O243" s="60">
        <v>9.27</v>
      </c>
      <c r="P243" s="60">
        <v>8.7200000000000006</v>
      </c>
      <c r="Q243" s="60">
        <v>1.1587499999999999</v>
      </c>
      <c r="R243" s="60">
        <v>1.0900000000000001</v>
      </c>
    </row>
    <row r="244" spans="2:18" ht="18.5">
      <c r="B244" s="61" t="s">
        <v>29</v>
      </c>
      <c r="C244" s="62" t="s">
        <v>201</v>
      </c>
      <c r="D244" s="63"/>
      <c r="E244" s="64" t="s">
        <v>325</v>
      </c>
      <c r="F244" s="65" t="s">
        <v>38</v>
      </c>
      <c r="G244" s="66" t="s">
        <v>425</v>
      </c>
      <c r="H244" s="67">
        <v>8</v>
      </c>
      <c r="I244" s="68">
        <v>1.5748277349215611</v>
      </c>
      <c r="J244" s="69">
        <f t="shared" si="3"/>
        <v>12.598621879372489</v>
      </c>
      <c r="K244" s="57" t="s">
        <v>158</v>
      </c>
      <c r="L244" s="57" t="s">
        <v>45</v>
      </c>
      <c r="M244" s="59" t="s">
        <v>195</v>
      </c>
      <c r="N244" s="59">
        <v>27</v>
      </c>
      <c r="O244" s="60">
        <v>10.06</v>
      </c>
      <c r="P244" s="60">
        <v>9.36</v>
      </c>
      <c r="Q244" s="60">
        <v>1.2575000000000001</v>
      </c>
      <c r="R244" s="60">
        <v>1.17</v>
      </c>
    </row>
    <row r="245" spans="2:18" ht="18.5">
      <c r="B245" s="61" t="s">
        <v>29</v>
      </c>
      <c r="C245" s="62" t="s">
        <v>201</v>
      </c>
      <c r="D245" s="63"/>
      <c r="E245" s="64" t="s">
        <v>326</v>
      </c>
      <c r="F245" s="65" t="s">
        <v>38</v>
      </c>
      <c r="G245" s="66" t="s">
        <v>426</v>
      </c>
      <c r="H245" s="67">
        <v>8</v>
      </c>
      <c r="I245" s="68">
        <v>1.0736929612810941</v>
      </c>
      <c r="J245" s="69">
        <f t="shared" si="3"/>
        <v>8.5895436902487532</v>
      </c>
      <c r="K245" s="57" t="s">
        <v>158</v>
      </c>
      <c r="L245" s="57" t="s">
        <v>45</v>
      </c>
      <c r="M245" s="59" t="s">
        <v>195</v>
      </c>
      <c r="N245" s="59">
        <v>27</v>
      </c>
      <c r="O245" s="60">
        <v>7.98</v>
      </c>
      <c r="P245" s="60">
        <v>7.44</v>
      </c>
      <c r="Q245" s="60">
        <v>0.99750000000000005</v>
      </c>
      <c r="R245" s="60">
        <v>0.93</v>
      </c>
    </row>
    <row r="246" spans="2:18" ht="18.5">
      <c r="B246" s="61" t="s">
        <v>68</v>
      </c>
      <c r="C246" s="62" t="s">
        <v>201</v>
      </c>
      <c r="D246" s="63"/>
      <c r="E246" s="64" t="s">
        <v>270</v>
      </c>
      <c r="F246" s="65" t="s">
        <v>332</v>
      </c>
      <c r="G246" s="66" t="s">
        <v>387</v>
      </c>
      <c r="H246" s="67">
        <v>4</v>
      </c>
      <c r="I246" s="68">
        <v>9.9048273251150878</v>
      </c>
      <c r="J246" s="69">
        <f t="shared" si="3"/>
        <v>39.619309300460351</v>
      </c>
      <c r="K246" s="57" t="s">
        <v>162</v>
      </c>
      <c r="L246" s="57" t="s">
        <v>430</v>
      </c>
      <c r="M246" s="59" t="s">
        <v>176</v>
      </c>
      <c r="N246" s="59">
        <v>31</v>
      </c>
      <c r="O246" s="60">
        <v>6.21</v>
      </c>
      <c r="P246" s="60">
        <v>4.08</v>
      </c>
      <c r="Q246" s="60">
        <v>1.5525</v>
      </c>
      <c r="R246" s="60">
        <v>1.02</v>
      </c>
    </row>
    <row r="247" spans="2:18" ht="18.5">
      <c r="B247" s="61" t="s">
        <v>68</v>
      </c>
      <c r="C247" s="62" t="s">
        <v>201</v>
      </c>
      <c r="D247" s="63"/>
      <c r="E247" s="64" t="s">
        <v>271</v>
      </c>
      <c r="F247" s="65" t="s">
        <v>332</v>
      </c>
      <c r="G247" s="66" t="s">
        <v>388</v>
      </c>
      <c r="H247" s="67">
        <v>4</v>
      </c>
      <c r="I247" s="68">
        <v>4.6436927856497485</v>
      </c>
      <c r="J247" s="69">
        <f t="shared" si="3"/>
        <v>18.574771142598994</v>
      </c>
      <c r="K247" s="57" t="s">
        <v>162</v>
      </c>
      <c r="L247" s="57" t="s">
        <v>430</v>
      </c>
      <c r="M247" s="59" t="s">
        <v>176</v>
      </c>
      <c r="N247" s="59">
        <v>31</v>
      </c>
      <c r="O247" s="60">
        <v>3.03</v>
      </c>
      <c r="P247" s="60">
        <v>1.6600000000000001</v>
      </c>
      <c r="Q247" s="60">
        <v>0.75749999999999995</v>
      </c>
      <c r="R247" s="60">
        <v>0.41500000000000004</v>
      </c>
    </row>
    <row r="248" spans="2:18" ht="18.5">
      <c r="B248" s="61" t="s">
        <v>68</v>
      </c>
      <c r="C248" s="62" t="s">
        <v>201</v>
      </c>
      <c r="D248" s="63"/>
      <c r="E248" s="64" t="s">
        <v>272</v>
      </c>
      <c r="F248" s="65" t="s">
        <v>332</v>
      </c>
      <c r="G248" s="66" t="s">
        <v>389</v>
      </c>
      <c r="H248" s="67">
        <v>4</v>
      </c>
      <c r="I248" s="68">
        <v>8.2316460364883888</v>
      </c>
      <c r="J248" s="69">
        <f t="shared" si="3"/>
        <v>32.926584145953555</v>
      </c>
      <c r="K248" s="57" t="s">
        <v>162</v>
      </c>
      <c r="L248" s="57" t="s">
        <v>150</v>
      </c>
      <c r="M248" s="59" t="s">
        <v>176</v>
      </c>
      <c r="N248" s="59">
        <v>31</v>
      </c>
      <c r="O248" s="60">
        <v>6.16</v>
      </c>
      <c r="P248" s="60">
        <v>4.5599999999999996</v>
      </c>
      <c r="Q248" s="60">
        <v>1.54</v>
      </c>
      <c r="R248" s="60">
        <v>1.1399999999999999</v>
      </c>
    </row>
    <row r="249" spans="2:18" ht="18.5">
      <c r="B249" s="61" t="s">
        <v>29</v>
      </c>
      <c r="C249" s="62" t="s">
        <v>201</v>
      </c>
      <c r="D249" s="63"/>
      <c r="E249" s="64" t="s">
        <v>273</v>
      </c>
      <c r="F249" s="65" t="s">
        <v>40</v>
      </c>
      <c r="G249" s="66" t="s">
        <v>390</v>
      </c>
      <c r="H249" s="67">
        <v>48</v>
      </c>
      <c r="I249" s="68">
        <v>0.966362694340963</v>
      </c>
      <c r="J249" s="69">
        <f t="shared" si="3"/>
        <v>46.385409328366222</v>
      </c>
      <c r="K249" s="57" t="s">
        <v>163</v>
      </c>
      <c r="L249" s="57" t="s">
        <v>148</v>
      </c>
      <c r="M249" s="59" t="s">
        <v>441</v>
      </c>
      <c r="N249" s="59">
        <v>9</v>
      </c>
      <c r="O249" s="60">
        <v>8</v>
      </c>
      <c r="P249" s="60">
        <v>6</v>
      </c>
      <c r="Q249" s="60">
        <v>0.16666666666666666</v>
      </c>
      <c r="R249" s="60">
        <v>0.125</v>
      </c>
    </row>
    <row r="250" spans="2:18" ht="18.5">
      <c r="B250" s="61" t="s">
        <v>68</v>
      </c>
      <c r="C250" s="62" t="s">
        <v>201</v>
      </c>
      <c r="D250" s="63"/>
      <c r="E250" s="64" t="s">
        <v>274</v>
      </c>
      <c r="F250" s="65" t="s">
        <v>40</v>
      </c>
      <c r="G250" s="66" t="s">
        <v>391</v>
      </c>
      <c r="H250" s="67">
        <v>2</v>
      </c>
      <c r="I250" s="68">
        <v>14.906222618585311</v>
      </c>
      <c r="J250" s="69">
        <f t="shared" si="3"/>
        <v>29.812445237170621</v>
      </c>
      <c r="K250" s="57" t="s">
        <v>167</v>
      </c>
      <c r="L250" s="57" t="s">
        <v>149</v>
      </c>
      <c r="M250" s="59" t="s">
        <v>180</v>
      </c>
      <c r="N250" s="59">
        <v>32</v>
      </c>
      <c r="O250" s="60">
        <v>4.0999999999999996</v>
      </c>
      <c r="P250" s="60">
        <v>3.51</v>
      </c>
      <c r="Q250" s="60">
        <v>2.0499999999999998</v>
      </c>
      <c r="R250" s="60">
        <v>1.7549999999999999</v>
      </c>
    </row>
    <row r="251" spans="2:18" ht="37">
      <c r="B251" s="61" t="s">
        <v>29</v>
      </c>
      <c r="C251" s="62" t="s">
        <v>201</v>
      </c>
      <c r="D251" s="63"/>
      <c r="E251" s="64" t="s">
        <v>92</v>
      </c>
      <c r="F251" s="65" t="s">
        <v>95</v>
      </c>
      <c r="G251" s="66" t="s">
        <v>103</v>
      </c>
      <c r="H251" s="67">
        <v>48</v>
      </c>
      <c r="I251" s="68">
        <v>0.72477202075572222</v>
      </c>
      <c r="J251" s="69">
        <f t="shared" si="3"/>
        <v>34.789056996274667</v>
      </c>
      <c r="K251" s="57" t="s">
        <v>158</v>
      </c>
      <c r="L251" s="57" t="s">
        <v>104</v>
      </c>
      <c r="M251" s="59" t="s">
        <v>181</v>
      </c>
      <c r="N251" s="59">
        <v>50</v>
      </c>
      <c r="O251" s="60">
        <v>22.9</v>
      </c>
      <c r="P251" s="60">
        <v>20.9</v>
      </c>
      <c r="Q251" s="60">
        <v>0.4770833333333333</v>
      </c>
      <c r="R251" s="60">
        <v>0.43541666666666662</v>
      </c>
    </row>
    <row r="252" spans="2:18" ht="37">
      <c r="B252" s="61" t="s">
        <v>29</v>
      </c>
      <c r="C252" s="62" t="s">
        <v>201</v>
      </c>
      <c r="D252" s="63"/>
      <c r="E252" s="64" t="s">
        <v>276</v>
      </c>
      <c r="F252" s="65" t="s">
        <v>95</v>
      </c>
      <c r="G252" s="66" t="s">
        <v>393</v>
      </c>
      <c r="H252" s="67">
        <v>24</v>
      </c>
      <c r="I252" s="68">
        <v>0.99309768810605015</v>
      </c>
      <c r="J252" s="69">
        <f t="shared" si="3"/>
        <v>23.834344514545204</v>
      </c>
      <c r="K252" s="57" t="s">
        <v>158</v>
      </c>
      <c r="L252" s="57" t="s">
        <v>104</v>
      </c>
      <c r="M252" s="59" t="s">
        <v>449</v>
      </c>
      <c r="N252" s="59">
        <v>33</v>
      </c>
      <c r="O252" s="60">
        <v>18.100000000000001</v>
      </c>
      <c r="P252" s="60">
        <v>16.100000000000001</v>
      </c>
      <c r="Q252" s="60">
        <v>0.75416666666666676</v>
      </c>
      <c r="R252" s="60">
        <v>0.67083333333333339</v>
      </c>
    </row>
    <row r="253" spans="2:18" ht="19" thickBot="1">
      <c r="B253" s="5"/>
      <c r="D253" s="26" t="str">
        <f t="shared" ref="D253:D256" si="4">LEFT(E253,10)</f>
        <v/>
      </c>
      <c r="G253" s="37" t="s">
        <v>14</v>
      </c>
      <c r="H253" s="38">
        <f>SUM(H13:H252)</f>
        <v>2982</v>
      </c>
      <c r="I253" s="39"/>
      <c r="J253" s="47">
        <f>SUM(J13:J252)</f>
        <v>5287.140663144929</v>
      </c>
      <c r="K253" s="26"/>
      <c r="M253" s="26"/>
      <c r="N253" s="26"/>
      <c r="O253" s="70"/>
      <c r="P253" s="70"/>
    </row>
    <row r="254" spans="2:18" ht="16" thickBot="1">
      <c r="B254" s="5"/>
      <c r="D254" s="26" t="str">
        <f t="shared" si="4"/>
        <v/>
      </c>
      <c r="G254" s="42"/>
      <c r="H254" s="43"/>
      <c r="I254" s="40" t="s">
        <v>25</v>
      </c>
      <c r="J254" s="44">
        <v>1000</v>
      </c>
      <c r="K254" s="26"/>
      <c r="M254" s="26"/>
      <c r="N254" s="26"/>
      <c r="O254" s="26"/>
      <c r="P254" s="26"/>
    </row>
    <row r="255" spans="2:18" ht="16" thickBot="1">
      <c r="B255" s="5"/>
      <c r="D255" s="26"/>
      <c r="G255" s="42"/>
      <c r="H255" s="43"/>
      <c r="I255" s="40" t="s">
        <v>26</v>
      </c>
      <c r="J255" s="44">
        <v>3</v>
      </c>
      <c r="K255" s="26"/>
      <c r="M255" s="26"/>
      <c r="N255" s="26"/>
      <c r="O255" s="26"/>
      <c r="P255" s="26"/>
    </row>
    <row r="256" spans="2:18" ht="16" thickBot="1">
      <c r="B256" s="5"/>
      <c r="D256" s="26" t="str">
        <f t="shared" si="4"/>
        <v/>
      </c>
      <c r="G256" s="42"/>
      <c r="H256" s="43"/>
      <c r="I256" s="40" t="s">
        <v>27</v>
      </c>
      <c r="J256" s="44">
        <f>J253+J254+J255</f>
        <v>6290.140663144929</v>
      </c>
      <c r="K256" s="26"/>
      <c r="M256" s="26"/>
      <c r="N256" s="26"/>
      <c r="O256" s="26"/>
      <c r="P256" s="26"/>
    </row>
    <row r="257" spans="2:16" ht="23" customHeight="1" thickBot="1">
      <c r="B257" s="5"/>
      <c r="G257" s="42"/>
      <c r="H257" s="43"/>
      <c r="I257" s="40" t="s">
        <v>28</v>
      </c>
      <c r="J257" s="45">
        <f>J256*51.2437</f>
        <v>322330.08109999978</v>
      </c>
      <c r="K257" s="26"/>
      <c r="M257" s="26"/>
      <c r="N257" s="26"/>
      <c r="O257" s="26"/>
      <c r="P257" s="26"/>
    </row>
    <row r="258" spans="2:16">
      <c r="B258" s="5"/>
      <c r="J258" s="11"/>
      <c r="M258" s="26"/>
      <c r="N258" s="26"/>
      <c r="O258" s="26"/>
      <c r="P258" s="26"/>
    </row>
    <row r="259" spans="2:16" ht="15" thickBot="1">
      <c r="B259" s="6"/>
      <c r="C259" s="8"/>
      <c r="D259" s="7"/>
      <c r="E259" s="8"/>
      <c r="F259" s="9"/>
      <c r="G259" s="8"/>
      <c r="H259" s="7"/>
      <c r="I259" s="12"/>
      <c r="J259" s="13"/>
      <c r="O259" s="26"/>
      <c r="P259" s="26"/>
    </row>
  </sheetData>
  <mergeCells count="12">
    <mergeCell ref="B1:J1"/>
    <mergeCell ref="H10:I10"/>
    <mergeCell ref="H11:I11"/>
    <mergeCell ref="B2:J2"/>
    <mergeCell ref="B3:J3"/>
    <mergeCell ref="B5:F10"/>
    <mergeCell ref="B4:J4"/>
    <mergeCell ref="H5:I5"/>
    <mergeCell ref="H6:I6"/>
    <mergeCell ref="H7:I7"/>
    <mergeCell ref="H8:I8"/>
    <mergeCell ref="H9:I9"/>
  </mergeCells>
  <pageMargins left="0.15748031496062992" right="0" top="0.74803149606299213" bottom="1.1417322834645669" header="0.31496062992125984" footer="0.31496062992125984"/>
  <pageSetup paperSize="9" scale="42" fitToHeight="0" orientation="portrait" r:id="rId1"/>
  <headerFooter scaleWithDoc="0">
    <oddHeader>Sayfa &amp;P / &amp;N</oddHeader>
    <oddFooter>&amp;L&amp;P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IV</vt:lpstr>
      <vt:lpstr>IV!Yazdırma_Alanı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2026-07-29T13:05:44Z</dcterms:modified>
</cp:coreProperties>
</file>