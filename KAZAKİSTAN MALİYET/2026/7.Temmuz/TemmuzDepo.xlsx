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ÜLKE OPERASYON\KAZAKİSTAN\2026\7.Temmuz\"/>
    </mc:Choice>
  </mc:AlternateContent>
  <xr:revisionPtr revIDLastSave="0" documentId="8_{71A108D2-3221-4FE6-8EF0-6125B0A11A51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JANUARY'26" sheetId="90" r:id="rId1"/>
    <sheet name="February'26" sheetId="91" r:id="rId2"/>
    <sheet name="Mart'26" sheetId="92" r:id="rId3"/>
    <sheet name="April'26" sheetId="93" r:id="rId4"/>
    <sheet name="May'26" sheetId="94" r:id="rId5"/>
    <sheet name="June'26" sheetId="95" r:id="rId6"/>
    <sheet name="July'26" sheetId="96" r:id="rId7"/>
  </sheets>
  <externalReferences>
    <externalReference r:id="rId8"/>
    <externalReference r:id="rId9"/>
  </externalReferences>
  <definedNames>
    <definedName name="kurs" localSheetId="3">'April''26'!#REF!</definedName>
    <definedName name="kurs" localSheetId="1">'February''26'!#REF!</definedName>
    <definedName name="kurs" localSheetId="0">'JANUARY''26'!#REF!</definedName>
    <definedName name="kurs" localSheetId="2">'Mart''26'!#REF!</definedName>
    <definedName name="kurs" localSheetId="4">'May''26'!#REF!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96" l="1"/>
  <c r="G42" i="96"/>
  <c r="C42" i="96"/>
  <c r="C44" i="96" s="1"/>
  <c r="E42" i="96"/>
  <c r="E44" i="96" s="1"/>
  <c r="F20" i="95"/>
  <c r="F18" i="95"/>
  <c r="G54" i="96"/>
  <c r="F11" i="96"/>
  <c r="F12" i="96" s="1"/>
  <c r="F36" i="95"/>
  <c r="C44" i="95"/>
  <c r="F11" i="95"/>
  <c r="F12" i="95" s="1"/>
  <c r="F13" i="95" s="1"/>
  <c r="F14" i="95" s="1"/>
  <c r="F15" i="95" s="1"/>
  <c r="F16" i="95" s="1"/>
  <c r="F17" i="95" s="1"/>
  <c r="F19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4" i="94"/>
  <c r="F33" i="94"/>
  <c r="G54" i="95"/>
  <c r="E41" i="95"/>
  <c r="E51" i="95" s="1"/>
  <c r="G51" i="95" s="1"/>
  <c r="C41" i="95"/>
  <c r="E50" i="95" s="1"/>
  <c r="G50" i="95" s="1"/>
  <c r="G55" i="94"/>
  <c r="E42" i="94"/>
  <c r="E45" i="94" s="1"/>
  <c r="C42" i="94"/>
  <c r="F11" i="94"/>
  <c r="G41" i="93"/>
  <c r="C40" i="93"/>
  <c r="C42" i="93" s="1"/>
  <c r="C32" i="93"/>
  <c r="C13" i="93"/>
  <c r="F11" i="93"/>
  <c r="G55" i="93"/>
  <c r="E42" i="93"/>
  <c r="E41" i="92"/>
  <c r="F39" i="92"/>
  <c r="F40" i="92" s="1"/>
  <c r="F12" i="92"/>
  <c r="F13" i="92" s="1"/>
  <c r="F14" i="92" s="1"/>
  <c r="F15" i="92" s="1"/>
  <c r="F16" i="92" s="1"/>
  <c r="F17" i="92" s="1"/>
  <c r="F18" i="92" s="1"/>
  <c r="F19" i="92" s="1"/>
  <c r="F20" i="92" s="1"/>
  <c r="F21" i="92" s="1"/>
  <c r="F22" i="92" s="1"/>
  <c r="F23" i="92" s="1"/>
  <c r="F24" i="92" s="1"/>
  <c r="F25" i="92" s="1"/>
  <c r="F26" i="92" s="1"/>
  <c r="F27" i="92" s="1"/>
  <c r="F28" i="92" s="1"/>
  <c r="F29" i="92" s="1"/>
  <c r="F30" i="92" s="1"/>
  <c r="F31" i="92" s="1"/>
  <c r="F32" i="92" s="1"/>
  <c r="F33" i="92" s="1"/>
  <c r="F34" i="92" s="1"/>
  <c r="F35" i="92" s="1"/>
  <c r="F36" i="92" s="1"/>
  <c r="F37" i="92" s="1"/>
  <c r="F38" i="92" s="1"/>
  <c r="F11" i="92"/>
  <c r="C12" i="92"/>
  <c r="C42" i="92" s="1"/>
  <c r="C45" i="92" s="1"/>
  <c r="C37" i="92"/>
  <c r="G55" i="92"/>
  <c r="E42" i="92"/>
  <c r="E52" i="92" s="1"/>
  <c r="G52" i="92" s="1"/>
  <c r="G67" i="90"/>
  <c r="F11" i="90"/>
  <c r="E50" i="96" l="1"/>
  <c r="G50" i="96" s="1"/>
  <c r="C46" i="96"/>
  <c r="F13" i="96"/>
  <c r="G12" i="96"/>
  <c r="E51" i="96"/>
  <c r="G51" i="96" s="1"/>
  <c r="G11" i="96"/>
  <c r="F37" i="95"/>
  <c r="F38" i="95" s="1"/>
  <c r="F39" i="95" s="1"/>
  <c r="F40" i="95" s="1"/>
  <c r="G11" i="95"/>
  <c r="G12" i="95"/>
  <c r="E44" i="95"/>
  <c r="C45" i="94"/>
  <c r="C47" i="94" s="1"/>
  <c r="E51" i="94"/>
  <c r="G51" i="94" s="1"/>
  <c r="E52" i="94"/>
  <c r="G52" i="94" s="1"/>
  <c r="G11" i="94"/>
  <c r="F12" i="94"/>
  <c r="C45" i="93"/>
  <c r="E51" i="93"/>
  <c r="G51" i="93" s="1"/>
  <c r="E45" i="93"/>
  <c r="E52" i="93"/>
  <c r="G52" i="93" s="1"/>
  <c r="G11" i="93"/>
  <c r="F12" i="93"/>
  <c r="G40" i="92"/>
  <c r="F41" i="92"/>
  <c r="G41" i="92" s="1"/>
  <c r="G39" i="92"/>
  <c r="E45" i="92"/>
  <c r="C47" i="92" s="1"/>
  <c r="E51" i="92"/>
  <c r="G51" i="92" s="1"/>
  <c r="G12" i="92"/>
  <c r="G11" i="92"/>
  <c r="F11" i="9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F14" i="96" l="1"/>
  <c r="G13" i="96"/>
  <c r="C46" i="95"/>
  <c r="G13" i="95"/>
  <c r="F13" i="94"/>
  <c r="G12" i="94"/>
  <c r="F13" i="93"/>
  <c r="G12" i="93"/>
  <c r="C47" i="93"/>
  <c r="G13" i="92"/>
  <c r="E45" i="91"/>
  <c r="C47" i="91" s="1"/>
  <c r="E52" i="91"/>
  <c r="G52" i="91" s="1"/>
  <c r="E51" i="91"/>
  <c r="G51" i="91" s="1"/>
  <c r="F12" i="91"/>
  <c r="G55" i="90"/>
  <c r="G11" i="90"/>
  <c r="C42" i="90"/>
  <c r="F15" i="96" l="1"/>
  <c r="G14" i="96"/>
  <c r="G14" i="95"/>
  <c r="F14" i="94"/>
  <c r="G13" i="94"/>
  <c r="F14" i="93"/>
  <c r="G13" i="93"/>
  <c r="G14" i="92"/>
  <c r="F13" i="91"/>
  <c r="G12" i="91"/>
  <c r="E51" i="90"/>
  <c r="G51" i="90" s="1"/>
  <c r="C45" i="90"/>
  <c r="E42" i="90"/>
  <c r="E45" i="90" s="1"/>
  <c r="F16" i="96" l="1"/>
  <c r="G15" i="96"/>
  <c r="G15" i="95"/>
  <c r="F15" i="94"/>
  <c r="G14" i="94"/>
  <c r="F15" i="93"/>
  <c r="G14" i="93"/>
  <c r="G15" i="92"/>
  <c r="G13" i="91"/>
  <c r="F14" i="91"/>
  <c r="C47" i="90"/>
  <c r="F13" i="90"/>
  <c r="G12" i="90"/>
  <c r="E52" i="90"/>
  <c r="G52" i="90" s="1"/>
  <c r="G57" i="90" s="1"/>
  <c r="G58" i="90" s="1"/>
  <c r="F17" i="96" l="1"/>
  <c r="G16" i="96"/>
  <c r="G16" i="95"/>
  <c r="G15" i="94"/>
  <c r="F16" i="94"/>
  <c r="F16" i="93"/>
  <c r="G15" i="93"/>
  <c r="G16" i="92"/>
  <c r="G14" i="91"/>
  <c r="F15" i="91"/>
  <c r="F14" i="90"/>
  <c r="G13" i="90"/>
  <c r="F18" i="96" l="1"/>
  <c r="G17" i="96"/>
  <c r="G17" i="95"/>
  <c r="F17" i="94"/>
  <c r="G16" i="94"/>
  <c r="F17" i="93"/>
  <c r="G16" i="93"/>
  <c r="G17" i="92"/>
  <c r="F16" i="91"/>
  <c r="G15" i="91"/>
  <c r="F15" i="90"/>
  <c r="G14" i="90"/>
  <c r="F19" i="96" l="1"/>
  <c r="G18" i="96"/>
  <c r="G18" i="95"/>
  <c r="F18" i="94"/>
  <c r="G17" i="94"/>
  <c r="F18" i="93"/>
  <c r="G17" i="93"/>
  <c r="G18" i="92"/>
  <c r="F17" i="91"/>
  <c r="G16" i="91"/>
  <c r="F16" i="90"/>
  <c r="G15" i="90"/>
  <c r="F20" i="96" l="1"/>
  <c r="G19" i="96"/>
  <c r="G19" i="95"/>
  <c r="F19" i="94"/>
  <c r="G18" i="94"/>
  <c r="F19" i="93"/>
  <c r="G18" i="93"/>
  <c r="G19" i="92"/>
  <c r="G17" i="91"/>
  <c r="F18" i="91"/>
  <c r="F17" i="90"/>
  <c r="G16" i="90"/>
  <c r="F21" i="96" l="1"/>
  <c r="G20" i="96"/>
  <c r="G20" i="95"/>
  <c r="G19" i="94"/>
  <c r="F20" i="94"/>
  <c r="F20" i="93"/>
  <c r="G19" i="93"/>
  <c r="G20" i="92"/>
  <c r="F19" i="91"/>
  <c r="G18" i="91"/>
  <c r="F18" i="90"/>
  <c r="G17" i="90"/>
  <c r="F22" i="96" l="1"/>
  <c r="G21" i="96"/>
  <c r="G21" i="95"/>
  <c r="F21" i="94"/>
  <c r="G20" i="94"/>
  <c r="F21" i="93"/>
  <c r="G20" i="93"/>
  <c r="G21" i="92"/>
  <c r="F20" i="91"/>
  <c r="G19" i="91"/>
  <c r="F19" i="90"/>
  <c r="G18" i="90"/>
  <c r="F23" i="96" l="1"/>
  <c r="G22" i="96"/>
  <c r="G22" i="95"/>
  <c r="F22" i="94"/>
  <c r="G21" i="94"/>
  <c r="F22" i="93"/>
  <c r="G21" i="93"/>
  <c r="G22" i="92"/>
  <c r="F21" i="91"/>
  <c r="G20" i="91"/>
  <c r="F20" i="90"/>
  <c r="G19" i="90"/>
  <c r="F24" i="96" l="1"/>
  <c r="G23" i="96"/>
  <c r="G23" i="95"/>
  <c r="F23" i="94"/>
  <c r="G22" i="94"/>
  <c r="F23" i="93"/>
  <c r="G22" i="93"/>
  <c r="G23" i="92"/>
  <c r="F22" i="91"/>
  <c r="G21" i="91"/>
  <c r="F21" i="90"/>
  <c r="G20" i="90"/>
  <c r="F25" i="96" l="1"/>
  <c r="G24" i="96"/>
  <c r="G24" i="95"/>
  <c r="G23" i="94"/>
  <c r="F24" i="94"/>
  <c r="F24" i="93"/>
  <c r="G23" i="93"/>
  <c r="G24" i="92"/>
  <c r="F23" i="91"/>
  <c r="G22" i="91"/>
  <c r="F22" i="90"/>
  <c r="G21" i="90"/>
  <c r="F26" i="96" l="1"/>
  <c r="G25" i="96"/>
  <c r="G25" i="95"/>
  <c r="F25" i="94"/>
  <c r="G24" i="94"/>
  <c r="F25" i="93"/>
  <c r="G24" i="93"/>
  <c r="G25" i="92"/>
  <c r="F24" i="91"/>
  <c r="G23" i="91"/>
  <c r="F23" i="90"/>
  <c r="G22" i="90"/>
  <c r="F27" i="96" l="1"/>
  <c r="G26" i="96"/>
  <c r="G26" i="95"/>
  <c r="F26" i="94"/>
  <c r="G25" i="94"/>
  <c r="F26" i="93"/>
  <c r="G25" i="93"/>
  <c r="G26" i="92"/>
  <c r="F25" i="91"/>
  <c r="G24" i="91"/>
  <c r="F24" i="90"/>
  <c r="G23" i="90"/>
  <c r="F28" i="96" l="1"/>
  <c r="G27" i="96"/>
  <c r="G27" i="95"/>
  <c r="F27" i="94"/>
  <c r="G26" i="94"/>
  <c r="F27" i="93"/>
  <c r="G26" i="93"/>
  <c r="G27" i="92"/>
  <c r="F26" i="91"/>
  <c r="G25" i="91"/>
  <c r="F25" i="90"/>
  <c r="G24" i="90"/>
  <c r="F29" i="96" l="1"/>
  <c r="G28" i="96"/>
  <c r="G28" i="95"/>
  <c r="G27" i="94"/>
  <c r="F28" i="94"/>
  <c r="F28" i="93"/>
  <c r="G27" i="93"/>
  <c r="G28" i="92"/>
  <c r="F27" i="91"/>
  <c r="G26" i="91"/>
  <c r="F26" i="90"/>
  <c r="G25" i="90"/>
  <c r="F30" i="96" l="1"/>
  <c r="G29" i="96"/>
  <c r="G29" i="95"/>
  <c r="F29" i="94"/>
  <c r="G28" i="94"/>
  <c r="F29" i="93"/>
  <c r="G28" i="93"/>
  <c r="G29" i="92"/>
  <c r="G27" i="91"/>
  <c r="F28" i="91"/>
  <c r="F27" i="90"/>
  <c r="G26" i="90"/>
  <c r="F31" i="96" l="1"/>
  <c r="G30" i="96"/>
  <c r="G30" i="95"/>
  <c r="F30" i="94"/>
  <c r="G29" i="94"/>
  <c r="F30" i="93"/>
  <c r="G29" i="93"/>
  <c r="G30" i="92"/>
  <c r="G28" i="91"/>
  <c r="F29" i="91"/>
  <c r="F28" i="90"/>
  <c r="G27" i="90"/>
  <c r="F32" i="96" l="1"/>
  <c r="G31" i="96"/>
  <c r="G31" i="95"/>
  <c r="F31" i="94"/>
  <c r="G30" i="94"/>
  <c r="F31" i="93"/>
  <c r="G30" i="93"/>
  <c r="G31" i="92"/>
  <c r="F30" i="91"/>
  <c r="G29" i="91"/>
  <c r="F29" i="90"/>
  <c r="G28" i="90"/>
  <c r="F33" i="96" l="1"/>
  <c r="G32" i="96"/>
  <c r="G32" i="95"/>
  <c r="G31" i="94"/>
  <c r="F32" i="94"/>
  <c r="F32" i="93"/>
  <c r="G31" i="93"/>
  <c r="G32" i="92"/>
  <c r="F31" i="91"/>
  <c r="G30" i="91"/>
  <c r="F30" i="90"/>
  <c r="G29" i="90"/>
  <c r="F34" i="96" l="1"/>
  <c r="G33" i="96"/>
  <c r="G33" i="95"/>
  <c r="G32" i="94"/>
  <c r="F33" i="93"/>
  <c r="G32" i="93"/>
  <c r="G33" i="92"/>
  <c r="F32" i="91"/>
  <c r="G31" i="91"/>
  <c r="F31" i="90"/>
  <c r="G30" i="90"/>
  <c r="F35" i="96" l="1"/>
  <c r="G34" i="96"/>
  <c r="G34" i="95"/>
  <c r="G33" i="94"/>
  <c r="F34" i="93"/>
  <c r="G33" i="93"/>
  <c r="G34" i="92"/>
  <c r="F33" i="91"/>
  <c r="G32" i="91"/>
  <c r="F32" i="90"/>
  <c r="G31" i="90"/>
  <c r="F36" i="96" l="1"/>
  <c r="G35" i="96"/>
  <c r="G35" i="95"/>
  <c r="F35" i="94"/>
  <c r="G34" i="94"/>
  <c r="F35" i="93"/>
  <c r="G34" i="93"/>
  <c r="G35" i="92"/>
  <c r="F34" i="91"/>
  <c r="G33" i="91"/>
  <c r="F33" i="90"/>
  <c r="G32" i="90"/>
  <c r="F37" i="96" l="1"/>
  <c r="G36" i="96"/>
  <c r="G36" i="95"/>
  <c r="F36" i="94"/>
  <c r="G35" i="94"/>
  <c r="F36" i="93"/>
  <c r="G35" i="93"/>
  <c r="G36" i="92"/>
  <c r="F35" i="91"/>
  <c r="G34" i="91"/>
  <c r="F34" i="90"/>
  <c r="G33" i="90"/>
  <c r="F38" i="96" l="1"/>
  <c r="G37" i="96"/>
  <c r="G37" i="95"/>
  <c r="F37" i="94"/>
  <c r="G36" i="94"/>
  <c r="F37" i="93"/>
  <c r="G36" i="93"/>
  <c r="G37" i="92"/>
  <c r="F36" i="91"/>
  <c r="G35" i="91"/>
  <c r="F35" i="90"/>
  <c r="G34" i="90"/>
  <c r="F39" i="96" l="1"/>
  <c r="G38" i="96"/>
  <c r="G38" i="95"/>
  <c r="F38" i="94"/>
  <c r="G37" i="94"/>
  <c r="F38" i="93"/>
  <c r="G37" i="93"/>
  <c r="G38" i="92"/>
  <c r="G42" i="92" s="1"/>
  <c r="F42" i="92"/>
  <c r="E53" i="92" s="1"/>
  <c r="G53" i="92" s="1"/>
  <c r="G57" i="92" s="1"/>
  <c r="G36" i="91"/>
  <c r="F37" i="91"/>
  <c r="F36" i="90"/>
  <c r="G35" i="90"/>
  <c r="F40" i="96" l="1"/>
  <c r="F41" i="96" s="1"/>
  <c r="G41" i="96" s="1"/>
  <c r="G39" i="96"/>
  <c r="G39" i="95"/>
  <c r="F39" i="94"/>
  <c r="G38" i="94"/>
  <c r="F39" i="93"/>
  <c r="G38" i="93"/>
  <c r="G37" i="91"/>
  <c r="F38" i="91"/>
  <c r="F37" i="90"/>
  <c r="G36" i="90"/>
  <c r="G40" i="96" l="1"/>
  <c r="E52" i="96"/>
  <c r="G52" i="96" s="1"/>
  <c r="G56" i="96" s="1"/>
  <c r="G40" i="95"/>
  <c r="F40" i="94"/>
  <c r="F41" i="94" s="1"/>
  <c r="G41" i="94" s="1"/>
  <c r="G39" i="94"/>
  <c r="G39" i="93"/>
  <c r="F40" i="93"/>
  <c r="G38" i="91"/>
  <c r="F38" i="90"/>
  <c r="G37" i="90"/>
  <c r="G41" i="95" l="1"/>
  <c r="F41" i="95"/>
  <c r="E52" i="95" s="1"/>
  <c r="G52" i="95" s="1"/>
  <c r="G56" i="95" s="1"/>
  <c r="G40" i="94"/>
  <c r="G42" i="94" s="1"/>
  <c r="F42" i="94"/>
  <c r="E53" i="94" s="1"/>
  <c r="G53" i="94" s="1"/>
  <c r="G57" i="94" s="1"/>
  <c r="G40" i="93"/>
  <c r="G39" i="91"/>
  <c r="F39" i="90"/>
  <c r="F40" i="90" s="1"/>
  <c r="G38" i="90"/>
  <c r="G42" i="93" l="1"/>
  <c r="F42" i="93"/>
  <c r="E53" i="93" s="1"/>
  <c r="G53" i="93" s="1"/>
  <c r="G57" i="93" s="1"/>
  <c r="G40" i="91"/>
  <c r="G42" i="91" s="1"/>
  <c r="F42" i="91"/>
  <c r="E53" i="91" s="1"/>
  <c r="G53" i="91" s="1"/>
  <c r="G57" i="91" s="1"/>
  <c r="F42" i="90"/>
  <c r="E53" i="90" s="1"/>
  <c r="G39" i="90"/>
  <c r="G40" i="90" l="1"/>
  <c r="G42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tc={60243D7B-124B-FA4C-A72B-E2C73A917954}</author>
  </authors>
  <commentList>
    <comment ref="C12" authorId="0" shapeId="0" xr:uid="{60243D7B-124B-FA4C-A72B-E2C73A917954}">
      <text>
        <r>
          <rPr>
            <sz val="11"/>
            <color theme="1"/>
            <rFont val="Arial"/>
            <family val="2"/>
            <charset val="238"/>
          </rPr>
  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278 mağazadan gelen mobilya</t>
        </r>
      </text>
    </comment>
  </commentList>
</comments>
</file>

<file path=xl/sharedStrings.xml><?xml version="1.0" encoding="utf-8"?>
<sst xmlns="http://schemas.openxmlformats.org/spreadsheetml/2006/main" count="210" uniqueCount="56">
  <si>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</si>
  <si>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</si>
  <si>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</si>
  <si>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</si>
  <si>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</si>
  <si>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</si>
  <si>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</si>
  <si>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</si>
  <si>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</si>
  <si>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</si>
  <si>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</si>
  <si>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</si>
  <si>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</si>
  <si>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</si>
  <si>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</si>
  <si>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</si>
  <si>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</si>
  <si>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</si>
  <si>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</si>
  <si>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</si>
  <si>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</si>
  <si>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</si>
  <si>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</si>
  <si>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</si>
  <si>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</si>
  <si>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</si>
  <si>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</si>
  <si>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</si>
  <si>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</si>
  <si>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</si>
  <si>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</si>
  <si>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</si>
  <si>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</si>
  <si>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</si>
  <si>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</si>
  <si>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</si>
  <si>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</si>
  <si>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</si>
  <si>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</si>
  <si>
    <t>VAT</t>
  </si>
  <si>
    <t>IHR2026000000095</t>
  </si>
  <si>
    <t>IHR2026000000088 - ANT2026000000039</t>
  </si>
  <si>
    <t>IHR2026000000080</t>
  </si>
  <si>
    <t>IHR2026000000104</t>
  </si>
  <si>
    <t>31.04.2026</t>
  </si>
  <si>
    <t>ANT2026000000047+IHR2026000000106</t>
  </si>
  <si>
    <t>IHR2026000000134 - ANT2026000000055+IHR2026000000124</t>
  </si>
  <si>
    <t>IHR2026000000142</t>
  </si>
  <si>
    <t>IHR2026000000148 - ANT2026000000063</t>
  </si>
  <si>
    <t>IHR2026000000189</t>
  </si>
  <si>
    <t>IHR2026000000165</t>
  </si>
  <si>
    <t>IHR2026000000163-ANT2026000000073</t>
  </si>
  <si>
    <t>IHR2026000000209-ANT2026000000090</t>
  </si>
  <si>
    <t>IHR2026000000214</t>
  </si>
  <si>
    <t>IHR2026000000227-ANT20260000000100</t>
  </si>
  <si>
    <t>IHR2026000000237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</si>
</sst>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_-* #,##0.00\ _R_S_D_-;\-* #,##0.00\ _R_S_D_-;_-* &quot;-&quot;??\ _R_S_D_-;_-@_-"/>
    <numFmt numFmtId="166" formatCode="_-* #,##0_-;\-* #,##0_-;_-* &quot;-&quot;??_-;_-@_-"/>
    <numFmt numFmtId="167" formatCode="_-* #,##0.00\ [$₸-43F]_-;\-* #,##0.00\ [$₸-43F]_-;_-* &quot;-&quot;??\ [$₸-43F]_-;_-@_-"/>
    <numFmt numFmtId="168" formatCode="_-* #,##0\ [$₸-43F]_-;\-* #,##0\ [$₸-43F]_-;_-* &quot;-&quot;??\ [$₸-43F]_-;_-@_-"/>
  </numFmts>
  <fonts count="19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1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43" fontId="3" fillId="0" borderId="0" applyFont="0" applyFill="0" applyBorder="0" applyAlignment="0" applyProtection="0"/>
  </cellStyleXfs>
  <cellXfs count="121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6" fontId="7" fillId="0" borderId="0" xfId="6" applyNumberFormat="1" applyFont="1" applyAlignment="1">
      <alignment horizontal="left" indent="3"/>
    </xf>
    <xf numFmtId="167" fontId="7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6" fontId="11" fillId="2" borderId="11" xfId="6" applyNumberFormat="1" applyFont="1" applyFill="1" applyBorder="1" applyAlignment="1">
      <alignment horizontal="left" indent="3"/>
    </xf>
    <xf numFmtId="167" fontId="7" fillId="0" borderId="7" xfId="6" applyNumberFormat="1" applyFont="1" applyBorder="1"/>
    <xf numFmtId="166" fontId="7" fillId="0" borderId="7" xfId="6" applyNumberFormat="1" applyFont="1" applyBorder="1"/>
    <xf numFmtId="166" fontId="7" fillId="0" borderId="7" xfId="6" applyNumberFormat="1" applyFont="1" applyBorder="1" applyAlignment="1">
      <alignment horizontal="left" indent="3"/>
    </xf>
    <xf numFmtId="41" fontId="7" fillId="0" borderId="0" xfId="1" applyFont="1"/>
    <xf numFmtId="165" fontId="7" fillId="0" borderId="0" xfId="0" applyNumberFormat="1" applyFont="1"/>
    <xf numFmtId="2" fontId="15" fillId="0" borderId="0" xfId="0" applyNumberFormat="1" applyFont="1"/>
    <xf numFmtId="166" fontId="15" fillId="0" borderId="0" xfId="6" applyNumberFormat="1" applyFont="1" applyAlignment="1">
      <alignment horizontal="left" indent="3"/>
    </xf>
    <xf numFmtId="167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6" fontId="11" fillId="2" borderId="13" xfId="6" applyNumberFormat="1" applyFont="1" applyFill="1" applyBorder="1" applyAlignment="1">
      <alignment horizontal="left" indent="3"/>
    </xf>
    <xf numFmtId="167" fontId="7" fillId="0" borderId="14" xfId="6" applyNumberFormat="1" applyFont="1" applyBorder="1"/>
    <xf numFmtId="166" fontId="9" fillId="5" borderId="17" xfId="6" applyNumberFormat="1" applyFont="1" applyFill="1" applyBorder="1" applyAlignment="1">
      <alignment horizontal="left" indent="3"/>
    </xf>
    <xf numFmtId="167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6" fontId="10" fillId="2" borderId="5" xfId="6" applyNumberFormat="1" applyFont="1" applyFill="1" applyBorder="1" applyAlignment="1">
      <alignment horizontal="left" indent="3"/>
    </xf>
    <xf numFmtId="167" fontId="10" fillId="2" borderId="6" xfId="0" applyNumberFormat="1" applyFont="1" applyFill="1" applyBorder="1" applyAlignment="1">
      <alignment horizontal="right"/>
    </xf>
    <xf numFmtId="167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6" fontId="7" fillId="0" borderId="27" xfId="6" applyNumberFormat="1" applyFont="1" applyBorder="1"/>
    <xf numFmtId="166" fontId="7" fillId="0" borderId="27" xfId="6" applyNumberFormat="1" applyFont="1" applyBorder="1" applyAlignment="1">
      <alignment horizontal="left" indent="3"/>
    </xf>
    <xf numFmtId="167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7" fontId="12" fillId="0" borderId="3" xfId="0" applyNumberFormat="1" applyFont="1" applyBorder="1" applyAlignment="1">
      <alignment vertical="center"/>
    </xf>
    <xf numFmtId="166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8" fontId="7" fillId="0" borderId="21" xfId="0" applyNumberFormat="1" applyFont="1" applyBorder="1"/>
    <xf numFmtId="0" fontId="7" fillId="6" borderId="20" xfId="0" applyFont="1" applyFill="1" applyBorder="1"/>
    <xf numFmtId="166" fontId="7" fillId="6" borderId="7" xfId="6" applyNumberFormat="1" applyFont="1" applyFill="1" applyBorder="1"/>
    <xf numFmtId="166" fontId="7" fillId="6" borderId="7" xfId="6" applyNumberFormat="1" applyFont="1" applyFill="1" applyBorder="1" applyAlignment="1">
      <alignment horizontal="left" indent="3"/>
    </xf>
    <xf numFmtId="168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7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6" fontId="11" fillId="2" borderId="31" xfId="6" applyNumberFormat="1" applyFont="1" applyFill="1" applyBorder="1" applyAlignment="1">
      <alignment horizontal="left" indent="3"/>
    </xf>
    <xf numFmtId="167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7" fontId="7" fillId="2" borderId="18" xfId="6" applyNumberFormat="1" applyFont="1" applyFill="1" applyBorder="1"/>
    <xf numFmtId="43" fontId="7" fillId="0" borderId="7" xfId="6" applyFont="1" applyBorder="1"/>
    <xf numFmtId="43" fontId="7" fillId="0" borderId="0" xfId="6" applyFont="1"/>
    <xf numFmtId="166" fontId="7" fillId="0" borderId="0" xfId="6" applyNumberFormat="1" applyFont="1"/>
    <xf numFmtId="43" fontId="18" fillId="0" borderId="7" xfId="6" applyFont="1" applyBorder="1"/>
    <xf numFmtId="166" fontId="18" fillId="0" borderId="7" xfId="6" applyNumberFormat="1" applyFont="1" applyBorder="1"/>
    <xf numFmtId="167" fontId="7" fillId="6" borderId="0" xfId="0" applyNumberFormat="1" applyFont="1" applyFill="1"/>
    <xf numFmtId="1" fontId="11" fillId="0" borderId="21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166" fontId="7" fillId="0" borderId="7" xfId="6" applyNumberFormat="1" applyFont="1" applyFill="1" applyBorder="1"/>
    <xf numFmtId="166" fontId="7" fillId="0" borderId="7" xfId="6" applyNumberFormat="1" applyFont="1" applyFill="1" applyBorder="1" applyAlignment="1">
      <alignment horizontal="left" indent="3"/>
    </xf>
    <xf numFmtId="0" fontId="7" fillId="0" borderId="0" xfId="0" applyFont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14" fontId="17" fillId="0" borderId="34" xfId="0" applyNumberFormat="1" applyFont="1" applyBorder="1" applyAlignment="1">
      <alignment horizontal="center"/>
    </xf>
    <xf numFmtId="14" fontId="17" fillId="0" borderId="12" xfId="0" applyNumberFormat="1" applyFont="1" applyBorder="1" applyAlignment="1">
      <alignment horizontal="center"/>
    </xf>
    <xf numFmtId="0" fontId="10" fillId="2" borderId="19" xfId="0" applyFont="1" applyFill="1" applyBorder="1" applyAlignment="1">
      <alignment horizontal="left" wrapText="1"/>
    </xf>
    <xf numFmtId="2" fontId="11" fillId="0" borderId="13" xfId="0" applyNumberFormat="1" applyFont="1" applyBorder="1"/>
    <xf numFmtId="2" fontId="11" fillId="0" borderId="11" xfId="0" applyNumberFormat="1" applyFont="1" applyBorder="1"/>
    <xf numFmtId="0" fontId="7" fillId="0" borderId="1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2" fontId="9" fillId="5" borderId="3" xfId="0" applyNumberFormat="1" applyFont="1" applyFill="1" applyBorder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13" fillId="0" borderId="37" xfId="0" applyFont="1" applyBorder="1"/>
    <xf numFmtId="1" fontId="11" fillId="0" borderId="23" xfId="0" applyNumberFormat="1" applyFont="1" applyBorder="1" applyAlignment="1">
      <alignment horizontal="center"/>
    </xf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6" fontId="9" fillId="2" borderId="9" xfId="6" applyNumberFormat="1" applyFont="1" applyFill="1" applyBorder="1" applyAlignment="1">
      <alignment horizontal="center" vertical="center" wrapText="1"/>
    </xf>
    <xf numFmtId="166" fontId="9" fillId="2" borderId="12" xfId="6" applyNumberFormat="1" applyFont="1" applyFill="1" applyBorder="1" applyAlignment="1">
      <alignment horizontal="center" vertical="center" wrapText="1"/>
    </xf>
    <xf numFmtId="167" fontId="10" fillId="2" borderId="9" xfId="0" applyNumberFormat="1" applyFont="1" applyFill="1" applyBorder="1" applyAlignment="1">
      <alignment horizontal="left" vertical="center" wrapText="1"/>
    </xf>
    <xf numFmtId="167" fontId="10" fillId="2" borderId="12" xfId="0" applyNumberFormat="1" applyFont="1" applyFill="1" applyBorder="1" applyAlignment="1">
      <alignment horizontal="left" vertical="center" wrapText="1"/>
    </xf>
  </cellXfs>
  <cellStyles count="7">
    <cellStyle name="Binlik Ayracı [0]" xfId="1" builtinId="6"/>
    <cellStyle name="Neutral 2" xfId="3" xr:uid="{BD365A22-152B-4E16-B311-3EA9F2E3AB3E}"/>
    <cellStyle name="Normal" xfId="0" builtinId="0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Virgül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arun/Desktop/COCO/Ocak%20Ay&#305;%20Faturas&#305;.xlsx" TargetMode="External"/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Çıkış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un şarapcıoğlu" id="{64454364-2AD7-E548-89AE-434D71B5660E}" userId="c30817086ea9f711" providerId="Windows Live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03T07:59:33.15" personId="{64454364-2AD7-E548-89AE-434D71B5660E}" id="{60243D7B-124B-FA4C-A72B-E2C73A917954}">
    <text>278 mağazadan gelen mobilya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sheetPr>
    <tabColor rgb="FF92D050"/>
  </sheetPr>
  <dimension ref="A1:H67"/>
  <sheetViews>
    <sheetView showGridLines="0" topLeftCell="A38" zoomScale="130" zoomScaleNormal="13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46053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4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0" t="s">
        <v>4</v>
      </c>
      <c r="D9" s="21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2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2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2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x14ac:dyDescent="0.2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x14ac:dyDescent="0.2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x14ac:dyDescent="0.2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x14ac:dyDescent="0.2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x14ac:dyDescent="0.2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2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x14ac:dyDescent="0.2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x14ac:dyDescent="0.2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x14ac:dyDescent="0.2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x14ac:dyDescent="0.2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x14ac:dyDescent="0.2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x14ac:dyDescent="0.2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2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x14ac:dyDescent="0.2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x14ac:dyDescent="0.2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x14ac:dyDescent="0.2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x14ac:dyDescent="0.2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x14ac:dyDescent="0.2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x14ac:dyDescent="0.2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x14ac:dyDescent="0.2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x14ac:dyDescent="0.2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x14ac:dyDescent="0.2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2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x14ac:dyDescent="0.2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x14ac:dyDescent="0.2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x14ac:dyDescent="0.2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x14ac:dyDescent="0.2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2.75" thickBot="1" x14ac:dyDescent="0.25">
      <c r="A41" s="75">
        <v>46053</v>
      </c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4427500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2">
      <c r="D52" s="41" t="s">
        <v>3</v>
      </c>
      <c r="E52" s="12">
        <f>E42</f>
        <v>11921</v>
      </c>
      <c r="F52" s="13">
        <v>110</v>
      </c>
      <c r="G52" s="66">
        <f t="shared" ref="G52" si="2">E52*F52</f>
        <v>1311310</v>
      </c>
      <c r="H52" s="14"/>
    </row>
    <row r="53" spans="4:8" ht="20.25" customHeight="1" x14ac:dyDescent="0.2">
      <c r="D53" s="67" t="s">
        <v>9</v>
      </c>
      <c r="E53" s="68">
        <f>F42</f>
        <v>627536</v>
      </c>
      <c r="F53" s="69">
        <v>31</v>
      </c>
      <c r="G53" s="70">
        <v>15000000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19427500</v>
      </c>
    </row>
    <row r="58" spans="4:8" ht="12.75" customHeight="1" x14ac:dyDescent="0.2">
      <c r="E58" s="16"/>
      <c r="F58" s="17" t="s">
        <v>39</v>
      </c>
      <c r="G58" s="18">
        <f>G57*1.16</f>
        <v>22535900</v>
      </c>
    </row>
    <row r="59" spans="4:8" x14ac:dyDescent="0.2">
      <c r="G59" s="94">
        <v>5135900</v>
      </c>
    </row>
    <row r="60" spans="4:8" x14ac:dyDescent="0.2">
      <c r="G60" s="94">
        <v>7400000</v>
      </c>
    </row>
    <row r="61" spans="4:8" x14ac:dyDescent="0.2">
      <c r="G61" s="94">
        <v>2500000</v>
      </c>
    </row>
    <row r="62" spans="4:8" x14ac:dyDescent="0.2">
      <c r="G62" s="94">
        <v>5000000</v>
      </c>
    </row>
    <row r="63" spans="4:8" x14ac:dyDescent="0.2">
      <c r="G63" s="94">
        <v>2500000</v>
      </c>
    </row>
    <row r="64" spans="4:8" x14ac:dyDescent="0.2">
      <c r="G64" s="4">
        <v>5912967</v>
      </c>
    </row>
    <row r="67" spans="7:7" x14ac:dyDescent="0.2">
      <c r="G67" s="4">
        <f>SUM(G59:G64)</f>
        <v>28448867</v>
      </c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sheetPr>
    <tabColor rgb="FF92D050"/>
  </sheetPr>
  <dimension ref="A1:H58"/>
  <sheetViews>
    <sheetView showGridLines="0" topLeftCell="A33" zoomScale="130" zoomScaleNormal="13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46081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4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0" t="s">
        <v>4</v>
      </c>
      <c r="D9" s="21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2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2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2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x14ac:dyDescent="0.2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x14ac:dyDescent="0.2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x14ac:dyDescent="0.2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x14ac:dyDescent="0.2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x14ac:dyDescent="0.2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2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x14ac:dyDescent="0.2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x14ac:dyDescent="0.2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x14ac:dyDescent="0.2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x14ac:dyDescent="0.2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x14ac:dyDescent="0.2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x14ac:dyDescent="0.2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2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x14ac:dyDescent="0.2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x14ac:dyDescent="0.2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x14ac:dyDescent="0.2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x14ac:dyDescent="0.2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x14ac:dyDescent="0.2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x14ac:dyDescent="0.2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x14ac:dyDescent="0.2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x14ac:dyDescent="0.2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x14ac:dyDescent="0.2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2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x14ac:dyDescent="0.2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x14ac:dyDescent="0.2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x14ac:dyDescent="0.2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x14ac:dyDescent="0.2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2.75" thickBot="1" x14ac:dyDescent="0.25">
      <c r="A41" s="63"/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1393040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2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2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EEC-0EF0-6442-BBAA-DFF2C4327CB6}">
  <sheetPr>
    <tabColor rgb="FF92D050"/>
  </sheetPr>
  <dimension ref="A1:G58"/>
  <sheetViews>
    <sheetView showGridLines="0" topLeftCell="A31" zoomScale="130" zoomScaleNormal="13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26.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46112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4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0" t="s">
        <v>4</v>
      </c>
      <c r="D9" s="21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16665</v>
      </c>
      <c r="G10" s="26"/>
    </row>
    <row r="11" spans="1:7" ht="13.5" customHeight="1" x14ac:dyDescent="0.2">
      <c r="A11" s="63">
        <v>46082</v>
      </c>
      <c r="B11" s="35"/>
      <c r="C11" s="65"/>
      <c r="D11" s="46"/>
      <c r="E11" s="47"/>
      <c r="F11" s="23">
        <f>F10+C11-E11</f>
        <v>16665</v>
      </c>
      <c r="G11" s="24">
        <f t="shared" ref="G11:G41" si="0">F11*$F$53</f>
        <v>516615</v>
      </c>
    </row>
    <row r="12" spans="1:7" ht="14.25" customHeight="1" x14ac:dyDescent="0.2">
      <c r="A12" s="63">
        <v>46083</v>
      </c>
      <c r="B12" s="38"/>
      <c r="C12" s="5">
        <f>1375+278</f>
        <v>1653</v>
      </c>
      <c r="D12" s="32"/>
      <c r="E12" s="47">
        <v>851</v>
      </c>
      <c r="F12" s="23">
        <f>F11+C12-E12</f>
        <v>17467</v>
      </c>
      <c r="G12" s="11">
        <f t="shared" si="0"/>
        <v>541477</v>
      </c>
    </row>
    <row r="13" spans="1:7" ht="13.5" customHeight="1" x14ac:dyDescent="0.2">
      <c r="A13" s="63">
        <v>46084</v>
      </c>
      <c r="B13" s="35" t="s">
        <v>38</v>
      </c>
      <c r="C13" s="65">
        <v>54</v>
      </c>
      <c r="D13" s="32"/>
      <c r="E13" s="47">
        <v>502</v>
      </c>
      <c r="F13" s="23">
        <f t="shared" ref="F13:F41" si="1">F12+C13-E13</f>
        <v>17019</v>
      </c>
      <c r="G13" s="11">
        <f t="shared" si="0"/>
        <v>527589</v>
      </c>
    </row>
    <row r="14" spans="1:7" x14ac:dyDescent="0.2">
      <c r="A14" s="63">
        <v>46085</v>
      </c>
      <c r="B14" s="38"/>
      <c r="C14" s="65"/>
      <c r="D14" s="32"/>
      <c r="E14" s="47">
        <v>342</v>
      </c>
      <c r="F14" s="23">
        <f t="shared" si="1"/>
        <v>16677</v>
      </c>
      <c r="G14" s="11">
        <f t="shared" si="0"/>
        <v>516987</v>
      </c>
    </row>
    <row r="15" spans="1:7" x14ac:dyDescent="0.2">
      <c r="A15" s="63">
        <v>46086</v>
      </c>
      <c r="B15" s="37"/>
      <c r="C15" s="65">
        <v>1428</v>
      </c>
      <c r="D15" s="32"/>
      <c r="E15" s="47">
        <v>435</v>
      </c>
      <c r="F15" s="23">
        <f t="shared" si="1"/>
        <v>17670</v>
      </c>
      <c r="G15" s="11">
        <f t="shared" si="0"/>
        <v>547770</v>
      </c>
    </row>
    <row r="16" spans="1:7" x14ac:dyDescent="0.2">
      <c r="A16" s="63">
        <v>46087</v>
      </c>
      <c r="B16" s="38"/>
      <c r="C16" s="65"/>
      <c r="D16" s="32"/>
      <c r="E16" s="47"/>
      <c r="F16" s="23">
        <f t="shared" si="1"/>
        <v>17670</v>
      </c>
      <c r="G16" s="11">
        <f t="shared" si="0"/>
        <v>547770</v>
      </c>
    </row>
    <row r="17" spans="1:7" x14ac:dyDescent="0.2">
      <c r="A17" s="63">
        <v>46088</v>
      </c>
      <c r="B17" s="39"/>
      <c r="C17" s="65"/>
      <c r="D17" s="32"/>
      <c r="E17" s="47"/>
      <c r="F17" s="23">
        <f t="shared" si="1"/>
        <v>17670</v>
      </c>
      <c r="G17" s="11">
        <f t="shared" si="0"/>
        <v>547770</v>
      </c>
    </row>
    <row r="18" spans="1:7" x14ac:dyDescent="0.2">
      <c r="A18" s="63">
        <v>46089</v>
      </c>
      <c r="B18" s="38"/>
      <c r="C18" s="65"/>
      <c r="D18" s="32"/>
      <c r="E18" s="47"/>
      <c r="F18" s="23">
        <f t="shared" si="1"/>
        <v>17670</v>
      </c>
      <c r="G18" s="11">
        <f t="shared" si="0"/>
        <v>547770</v>
      </c>
    </row>
    <row r="19" spans="1:7" ht="13.5" customHeight="1" x14ac:dyDescent="0.2">
      <c r="A19" s="63">
        <v>46090</v>
      </c>
      <c r="B19" s="38"/>
      <c r="C19" s="65"/>
      <c r="D19" s="33"/>
      <c r="E19" s="47"/>
      <c r="F19" s="23">
        <f t="shared" si="1"/>
        <v>17670</v>
      </c>
      <c r="G19" s="11">
        <f t="shared" si="0"/>
        <v>547770</v>
      </c>
    </row>
    <row r="20" spans="1:7" x14ac:dyDescent="0.2">
      <c r="A20" s="63">
        <v>46091</v>
      </c>
      <c r="B20" s="37"/>
      <c r="C20" s="65"/>
      <c r="D20" s="33"/>
      <c r="E20" s="47">
        <v>1142</v>
      </c>
      <c r="F20" s="23">
        <f t="shared" si="1"/>
        <v>16528</v>
      </c>
      <c r="G20" s="11">
        <f t="shared" si="0"/>
        <v>512368</v>
      </c>
    </row>
    <row r="21" spans="1:7" x14ac:dyDescent="0.2">
      <c r="A21" s="63">
        <v>46092</v>
      </c>
      <c r="B21" s="40"/>
      <c r="C21" s="65"/>
      <c r="D21" s="33"/>
      <c r="E21" s="47">
        <v>723</v>
      </c>
      <c r="F21" s="23">
        <f t="shared" si="1"/>
        <v>15805</v>
      </c>
      <c r="G21" s="11">
        <f t="shared" si="0"/>
        <v>489955</v>
      </c>
    </row>
    <row r="22" spans="1:7" x14ac:dyDescent="0.2">
      <c r="A22" s="63">
        <v>46093</v>
      </c>
      <c r="B22" s="39"/>
      <c r="C22" s="65"/>
      <c r="D22" s="33"/>
      <c r="E22" s="47">
        <v>666</v>
      </c>
      <c r="F22" s="23">
        <f t="shared" si="1"/>
        <v>15139</v>
      </c>
      <c r="G22" s="11">
        <f t="shared" si="0"/>
        <v>469309</v>
      </c>
    </row>
    <row r="23" spans="1:7" x14ac:dyDescent="0.2">
      <c r="A23" s="63">
        <v>46094</v>
      </c>
      <c r="B23" s="38"/>
      <c r="C23" s="65">
        <v>1656</v>
      </c>
      <c r="D23" s="33"/>
      <c r="E23" s="47">
        <v>158</v>
      </c>
      <c r="F23" s="23">
        <f t="shared" si="1"/>
        <v>16637</v>
      </c>
      <c r="G23" s="11">
        <f t="shared" si="0"/>
        <v>515747</v>
      </c>
    </row>
    <row r="24" spans="1:7" x14ac:dyDescent="0.2">
      <c r="A24" s="63">
        <v>46095</v>
      </c>
      <c r="B24" s="38"/>
      <c r="C24" s="65"/>
      <c r="D24" s="33"/>
      <c r="E24" s="47"/>
      <c r="F24" s="23">
        <f t="shared" si="1"/>
        <v>16637</v>
      </c>
      <c r="G24" s="11">
        <f t="shared" si="0"/>
        <v>515747</v>
      </c>
    </row>
    <row r="25" spans="1:7" x14ac:dyDescent="0.2">
      <c r="A25" s="63">
        <v>46096</v>
      </c>
      <c r="B25" s="38"/>
      <c r="C25" s="65"/>
      <c r="D25" s="33"/>
      <c r="E25" s="47"/>
      <c r="F25" s="23">
        <f t="shared" si="1"/>
        <v>16637</v>
      </c>
      <c r="G25" s="11">
        <f t="shared" si="0"/>
        <v>515747</v>
      </c>
    </row>
    <row r="26" spans="1:7" ht="13.5" customHeight="1" x14ac:dyDescent="0.2">
      <c r="A26" s="63">
        <v>46097</v>
      </c>
      <c r="B26" s="38"/>
      <c r="C26" s="65"/>
      <c r="D26" s="33"/>
      <c r="E26" s="47"/>
      <c r="F26" s="23">
        <f t="shared" si="1"/>
        <v>16637</v>
      </c>
      <c r="G26" s="11">
        <f t="shared" si="0"/>
        <v>515747</v>
      </c>
    </row>
    <row r="27" spans="1:7" x14ac:dyDescent="0.2">
      <c r="A27" s="63">
        <v>46098</v>
      </c>
      <c r="B27" s="38"/>
      <c r="C27" s="36"/>
      <c r="D27" s="33"/>
      <c r="E27" s="47">
        <v>985</v>
      </c>
      <c r="F27" s="23">
        <f t="shared" si="1"/>
        <v>15652</v>
      </c>
      <c r="G27" s="11">
        <f t="shared" si="0"/>
        <v>485212</v>
      </c>
    </row>
    <row r="28" spans="1:7" x14ac:dyDescent="0.2">
      <c r="A28" s="63">
        <v>46099</v>
      </c>
      <c r="B28" s="38"/>
      <c r="C28" s="36"/>
      <c r="D28" s="33"/>
      <c r="E28" s="47">
        <v>849</v>
      </c>
      <c r="F28" s="23">
        <f t="shared" si="1"/>
        <v>14803</v>
      </c>
      <c r="G28" s="11">
        <f t="shared" si="0"/>
        <v>458893</v>
      </c>
    </row>
    <row r="29" spans="1:7" x14ac:dyDescent="0.2">
      <c r="A29" s="63">
        <v>46100</v>
      </c>
      <c r="B29" s="38"/>
      <c r="C29" s="65">
        <v>1609</v>
      </c>
      <c r="D29" s="34"/>
      <c r="E29" s="47">
        <v>384</v>
      </c>
      <c r="F29" s="23">
        <f t="shared" si="1"/>
        <v>16028</v>
      </c>
      <c r="G29" s="11">
        <f t="shared" si="0"/>
        <v>496868</v>
      </c>
    </row>
    <row r="30" spans="1:7" x14ac:dyDescent="0.2">
      <c r="A30" s="63">
        <v>46101</v>
      </c>
      <c r="B30" s="38"/>
      <c r="C30" s="36"/>
      <c r="D30" s="33"/>
      <c r="E30" s="47">
        <v>218</v>
      </c>
      <c r="F30" s="23">
        <f t="shared" si="1"/>
        <v>15810</v>
      </c>
      <c r="G30" s="11">
        <f t="shared" si="0"/>
        <v>490110</v>
      </c>
    </row>
    <row r="31" spans="1:7" x14ac:dyDescent="0.2">
      <c r="A31" s="63">
        <v>46102</v>
      </c>
      <c r="B31" s="37"/>
      <c r="C31" s="36"/>
      <c r="D31" s="33"/>
      <c r="E31" s="47"/>
      <c r="F31" s="23">
        <f t="shared" si="1"/>
        <v>15810</v>
      </c>
      <c r="G31" s="11">
        <f t="shared" si="0"/>
        <v>490110</v>
      </c>
    </row>
    <row r="32" spans="1:7" x14ac:dyDescent="0.2">
      <c r="A32" s="63">
        <v>46103</v>
      </c>
      <c r="B32" s="38"/>
      <c r="C32" s="36"/>
      <c r="D32" s="33"/>
      <c r="E32" s="47"/>
      <c r="F32" s="23">
        <f t="shared" si="1"/>
        <v>15810</v>
      </c>
      <c r="G32" s="11">
        <f t="shared" si="0"/>
        <v>490110</v>
      </c>
    </row>
    <row r="33" spans="1:7" x14ac:dyDescent="0.2">
      <c r="A33" s="63">
        <v>46104</v>
      </c>
      <c r="B33" s="38"/>
      <c r="C33" s="36"/>
      <c r="D33" s="33"/>
      <c r="E33" s="47"/>
      <c r="F33" s="23">
        <f t="shared" si="1"/>
        <v>15810</v>
      </c>
      <c r="G33" s="11">
        <f t="shared" si="0"/>
        <v>490110</v>
      </c>
    </row>
    <row r="34" spans="1:7" x14ac:dyDescent="0.2">
      <c r="A34" s="63">
        <v>46105</v>
      </c>
      <c r="B34" s="38"/>
      <c r="C34" s="36"/>
      <c r="D34" s="33"/>
      <c r="E34" s="47"/>
      <c r="F34" s="23">
        <f t="shared" si="1"/>
        <v>15810</v>
      </c>
      <c r="G34" s="11">
        <f t="shared" si="0"/>
        <v>490110</v>
      </c>
    </row>
    <row r="35" spans="1:7" x14ac:dyDescent="0.2">
      <c r="A35" s="63">
        <v>46106</v>
      </c>
      <c r="B35" s="41"/>
      <c r="C35" s="36"/>
      <c r="D35" s="33"/>
      <c r="E35" s="47"/>
      <c r="F35" s="23">
        <f t="shared" si="1"/>
        <v>15810</v>
      </c>
      <c r="G35" s="11">
        <f t="shared" si="0"/>
        <v>490110</v>
      </c>
    </row>
    <row r="36" spans="1:7" ht="13.5" customHeight="1" x14ac:dyDescent="0.2">
      <c r="A36" s="63">
        <v>46107</v>
      </c>
      <c r="B36" s="38"/>
      <c r="C36" s="36"/>
      <c r="D36" s="32"/>
      <c r="E36" s="47">
        <v>1230</v>
      </c>
      <c r="F36" s="23">
        <f t="shared" si="1"/>
        <v>14580</v>
      </c>
      <c r="G36" s="11">
        <f t="shared" si="0"/>
        <v>451980</v>
      </c>
    </row>
    <row r="37" spans="1:7" x14ac:dyDescent="0.2">
      <c r="A37" s="63">
        <v>46108</v>
      </c>
      <c r="B37" s="38"/>
      <c r="C37" s="95">
        <f>1478+1332</f>
        <v>2810</v>
      </c>
      <c r="D37" s="32"/>
      <c r="E37" s="47">
        <v>1033</v>
      </c>
      <c r="F37" s="23">
        <f t="shared" si="1"/>
        <v>16357</v>
      </c>
      <c r="G37" s="11">
        <f t="shared" si="0"/>
        <v>507067</v>
      </c>
    </row>
    <row r="38" spans="1:7" x14ac:dyDescent="0.2">
      <c r="A38" s="63">
        <v>46109</v>
      </c>
      <c r="B38" s="41"/>
      <c r="C38" s="36"/>
      <c r="D38" s="32"/>
      <c r="E38" s="47"/>
      <c r="F38" s="23">
        <f t="shared" si="1"/>
        <v>16357</v>
      </c>
      <c r="G38" s="11">
        <f t="shared" si="0"/>
        <v>507067</v>
      </c>
    </row>
    <row r="39" spans="1:7" x14ac:dyDescent="0.2">
      <c r="A39" s="63">
        <v>46110</v>
      </c>
      <c r="B39" s="38"/>
      <c r="C39" s="36"/>
      <c r="D39" s="32"/>
      <c r="E39" s="47"/>
      <c r="F39" s="23">
        <f t="shared" si="1"/>
        <v>16357</v>
      </c>
      <c r="G39" s="11">
        <f t="shared" si="0"/>
        <v>507067</v>
      </c>
    </row>
    <row r="40" spans="1:7" x14ac:dyDescent="0.2">
      <c r="A40" s="63">
        <v>46111</v>
      </c>
      <c r="B40" s="38"/>
      <c r="C40" s="36"/>
      <c r="D40" s="32"/>
      <c r="E40" s="47">
        <v>1003</v>
      </c>
      <c r="F40" s="23">
        <f t="shared" si="1"/>
        <v>15354</v>
      </c>
      <c r="G40" s="11">
        <f t="shared" si="0"/>
        <v>475974</v>
      </c>
    </row>
    <row r="41" spans="1:7" ht="12.75" thickBot="1" x14ac:dyDescent="0.25">
      <c r="A41" s="63">
        <v>46112</v>
      </c>
      <c r="B41" s="76"/>
      <c r="C41" s="96">
        <v>216</v>
      </c>
      <c r="D41" s="78"/>
      <c r="E41" s="79">
        <f>537+216</f>
        <v>753</v>
      </c>
      <c r="F41" s="23">
        <f t="shared" si="1"/>
        <v>14817</v>
      </c>
      <c r="G41" s="11">
        <f t="shared" si="0"/>
        <v>459327</v>
      </c>
    </row>
    <row r="42" spans="1:7" ht="12.75" thickBot="1" x14ac:dyDescent="0.25">
      <c r="A42" s="82"/>
      <c r="B42" s="83" t="s">
        <v>13</v>
      </c>
      <c r="C42" s="84">
        <f>SUM(C11:C41)</f>
        <v>9426</v>
      </c>
      <c r="D42" s="85"/>
      <c r="E42" s="86">
        <f>SUM(E10:E41)</f>
        <v>11274</v>
      </c>
      <c r="F42" s="87">
        <f>SUM(F11:F41)</f>
        <v>505363</v>
      </c>
      <c r="G42" s="88">
        <f>SUM(G11:G41)</f>
        <v>15666253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1036860</v>
      </c>
      <c r="D45" s="12" t="s">
        <v>36</v>
      </c>
      <c r="E45" s="12">
        <f>E42*F52</f>
        <v>1240140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2277000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9426</v>
      </c>
      <c r="F51" s="13">
        <v>110</v>
      </c>
      <c r="G51" s="66">
        <f>E51*F51</f>
        <v>1036860</v>
      </c>
    </row>
    <row r="52" spans="4:7" x14ac:dyDescent="0.2">
      <c r="D52" s="41" t="s">
        <v>3</v>
      </c>
      <c r="E52" s="12">
        <f>E42</f>
        <v>11274</v>
      </c>
      <c r="F52" s="13">
        <v>110</v>
      </c>
      <c r="G52" s="66">
        <f t="shared" ref="G52:G53" si="2">E52*F52</f>
        <v>1240140</v>
      </c>
    </row>
    <row r="53" spans="4:7" ht="20.25" customHeight="1" x14ac:dyDescent="0.2">
      <c r="D53" s="41" t="s">
        <v>9</v>
      </c>
      <c r="E53" s="97">
        <f>F42</f>
        <v>505363</v>
      </c>
      <c r="F53" s="98">
        <v>31</v>
      </c>
      <c r="G53" s="66">
        <f t="shared" si="2"/>
        <v>15666253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347</v>
      </c>
      <c r="F55" s="13">
        <v>900</v>
      </c>
      <c r="G55" s="53">
        <f>F55*E55</f>
        <v>312300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18255553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EAB-CF67-044C-92AA-CD778D9245AD}">
  <sheetPr>
    <tabColor rgb="FF92D050"/>
  </sheetPr>
  <dimension ref="A1:G58"/>
  <sheetViews>
    <sheetView showGridLines="0" topLeftCell="A35" zoomScale="130" zoomScaleNormal="13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46112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4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0" t="s">
        <v>4</v>
      </c>
      <c r="D9" s="21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14817</v>
      </c>
      <c r="G10" s="26"/>
    </row>
    <row r="11" spans="1:7" ht="13.5" customHeight="1" x14ac:dyDescent="0.2">
      <c r="A11" s="63">
        <v>46113</v>
      </c>
      <c r="B11" s="35"/>
      <c r="C11" s="65"/>
      <c r="D11" s="46"/>
      <c r="E11" s="47"/>
      <c r="F11" s="23">
        <f>F10+C11-E11</f>
        <v>14817</v>
      </c>
      <c r="G11" s="24">
        <f t="shared" ref="G11:G41" si="0">F11*$F$53</f>
        <v>459327</v>
      </c>
    </row>
    <row r="12" spans="1:7" ht="14.25" customHeight="1" x14ac:dyDescent="0.2">
      <c r="A12" s="63">
        <v>46114</v>
      </c>
      <c r="B12" s="38" t="s">
        <v>40</v>
      </c>
      <c r="C12" s="99">
        <v>1365</v>
      </c>
      <c r="D12" s="32"/>
      <c r="E12" s="47"/>
      <c r="F12" s="23">
        <f>F11+C12-E12</f>
        <v>16182</v>
      </c>
      <c r="G12" s="11">
        <f t="shared" si="0"/>
        <v>501642</v>
      </c>
    </row>
    <row r="13" spans="1:7" ht="13.5" customHeight="1" x14ac:dyDescent="0.2">
      <c r="A13" s="63">
        <v>46115</v>
      </c>
      <c r="B13" s="35" t="s">
        <v>41</v>
      </c>
      <c r="C13" s="65">
        <f>333+760</f>
        <v>1093</v>
      </c>
      <c r="D13" s="32"/>
      <c r="E13" s="47">
        <v>1064</v>
      </c>
      <c r="F13" s="23">
        <f t="shared" ref="F13:F40" si="1">F12+C13-E13</f>
        <v>16211</v>
      </c>
      <c r="G13" s="11">
        <f t="shared" si="0"/>
        <v>502541</v>
      </c>
    </row>
    <row r="14" spans="1:7" x14ac:dyDescent="0.2">
      <c r="A14" s="63">
        <v>46116</v>
      </c>
      <c r="B14" s="38"/>
      <c r="C14" s="65"/>
      <c r="D14" s="32"/>
      <c r="E14" s="47"/>
      <c r="F14" s="23">
        <f t="shared" si="1"/>
        <v>16211</v>
      </c>
      <c r="G14" s="11">
        <f t="shared" si="0"/>
        <v>502541</v>
      </c>
    </row>
    <row r="15" spans="1:7" x14ac:dyDescent="0.2">
      <c r="A15" s="63">
        <v>46117</v>
      </c>
      <c r="B15" s="37"/>
      <c r="C15" s="65"/>
      <c r="D15" s="32"/>
      <c r="E15" s="47"/>
      <c r="F15" s="23">
        <f t="shared" si="1"/>
        <v>16211</v>
      </c>
      <c r="G15" s="11">
        <f t="shared" si="0"/>
        <v>502541</v>
      </c>
    </row>
    <row r="16" spans="1:7" x14ac:dyDescent="0.2">
      <c r="A16" s="63">
        <v>46118</v>
      </c>
      <c r="B16" s="38" t="s">
        <v>42</v>
      </c>
      <c r="C16" s="65">
        <v>1422</v>
      </c>
      <c r="D16" s="32"/>
      <c r="E16" s="47">
        <v>409</v>
      </c>
      <c r="F16" s="23">
        <f t="shared" si="1"/>
        <v>17224</v>
      </c>
      <c r="G16" s="11">
        <f t="shared" si="0"/>
        <v>533944</v>
      </c>
    </row>
    <row r="17" spans="1:7" x14ac:dyDescent="0.2">
      <c r="A17" s="63">
        <v>46119</v>
      </c>
      <c r="B17" s="39"/>
      <c r="C17" s="65"/>
      <c r="D17" s="32"/>
      <c r="E17" s="47"/>
      <c r="F17" s="23">
        <f t="shared" si="1"/>
        <v>17224</v>
      </c>
      <c r="G17" s="11">
        <f t="shared" si="0"/>
        <v>533944</v>
      </c>
    </row>
    <row r="18" spans="1:7" x14ac:dyDescent="0.2">
      <c r="A18" s="63">
        <v>46120</v>
      </c>
      <c r="B18" s="38"/>
      <c r="C18" s="65"/>
      <c r="D18" s="32"/>
      <c r="E18" s="47"/>
      <c r="F18" s="23">
        <f t="shared" si="1"/>
        <v>17224</v>
      </c>
      <c r="G18" s="11">
        <f t="shared" si="0"/>
        <v>533944</v>
      </c>
    </row>
    <row r="19" spans="1:7" ht="13.5" customHeight="1" x14ac:dyDescent="0.2">
      <c r="A19" s="63">
        <v>46121</v>
      </c>
      <c r="B19" s="38"/>
      <c r="C19" s="65"/>
      <c r="D19" s="33"/>
      <c r="E19" s="47"/>
      <c r="F19" s="23">
        <f t="shared" si="1"/>
        <v>17224</v>
      </c>
      <c r="G19" s="11">
        <f t="shared" si="0"/>
        <v>533944</v>
      </c>
    </row>
    <row r="20" spans="1:7" x14ac:dyDescent="0.2">
      <c r="A20" s="63">
        <v>46122</v>
      </c>
      <c r="B20" s="37"/>
      <c r="C20" s="65"/>
      <c r="D20" s="33"/>
      <c r="E20" s="47"/>
      <c r="F20" s="23">
        <f t="shared" si="1"/>
        <v>17224</v>
      </c>
      <c r="G20" s="11">
        <f t="shared" si="0"/>
        <v>533944</v>
      </c>
    </row>
    <row r="21" spans="1:7" x14ac:dyDescent="0.2">
      <c r="A21" s="63">
        <v>46123</v>
      </c>
      <c r="B21" s="40"/>
      <c r="C21" s="65"/>
      <c r="D21" s="33"/>
      <c r="E21" s="47"/>
      <c r="F21" s="23">
        <f t="shared" si="1"/>
        <v>17224</v>
      </c>
      <c r="G21" s="11">
        <f t="shared" si="0"/>
        <v>533944</v>
      </c>
    </row>
    <row r="22" spans="1:7" x14ac:dyDescent="0.2">
      <c r="A22" s="63">
        <v>46124</v>
      </c>
      <c r="B22" s="39"/>
      <c r="C22" s="65"/>
      <c r="D22" s="33"/>
      <c r="E22" s="47"/>
      <c r="F22" s="23">
        <f t="shared" si="1"/>
        <v>17224</v>
      </c>
      <c r="G22" s="11">
        <f t="shared" si="0"/>
        <v>533944</v>
      </c>
    </row>
    <row r="23" spans="1:7" x14ac:dyDescent="0.2">
      <c r="A23" s="63">
        <v>46125</v>
      </c>
      <c r="B23" s="38" t="s">
        <v>43</v>
      </c>
      <c r="C23" s="65">
        <v>1283</v>
      </c>
      <c r="D23" s="33"/>
      <c r="E23" s="47"/>
      <c r="F23" s="23">
        <f t="shared" si="1"/>
        <v>18507</v>
      </c>
      <c r="G23" s="11">
        <f t="shared" si="0"/>
        <v>573717</v>
      </c>
    </row>
    <row r="24" spans="1:7" x14ac:dyDescent="0.2">
      <c r="A24" s="63">
        <v>46126</v>
      </c>
      <c r="B24" s="38"/>
      <c r="C24" s="65"/>
      <c r="D24" s="33"/>
      <c r="E24" s="47">
        <v>806</v>
      </c>
      <c r="F24" s="23">
        <f t="shared" si="1"/>
        <v>17701</v>
      </c>
      <c r="G24" s="11">
        <f t="shared" si="0"/>
        <v>548731</v>
      </c>
    </row>
    <row r="25" spans="1:7" x14ac:dyDescent="0.2">
      <c r="A25" s="63">
        <v>46127</v>
      </c>
      <c r="B25" s="38"/>
      <c r="C25" s="65"/>
      <c r="D25" s="33"/>
      <c r="E25" s="47">
        <v>561</v>
      </c>
      <c r="F25" s="23">
        <f t="shared" si="1"/>
        <v>17140</v>
      </c>
      <c r="G25" s="11">
        <f t="shared" si="0"/>
        <v>531340</v>
      </c>
    </row>
    <row r="26" spans="1:7" ht="13.5" customHeight="1" x14ac:dyDescent="0.2">
      <c r="A26" s="63">
        <v>46128</v>
      </c>
      <c r="B26" s="38"/>
      <c r="C26" s="65"/>
      <c r="D26" s="33"/>
      <c r="E26" s="47"/>
      <c r="F26" s="23">
        <f t="shared" si="1"/>
        <v>17140</v>
      </c>
      <c r="G26" s="11">
        <f t="shared" si="0"/>
        <v>531340</v>
      </c>
    </row>
    <row r="27" spans="1:7" x14ac:dyDescent="0.2">
      <c r="A27" s="63">
        <v>46129</v>
      </c>
      <c r="B27" s="38"/>
      <c r="C27" s="100"/>
      <c r="D27" s="33"/>
      <c r="E27" s="47"/>
      <c r="F27" s="23">
        <f t="shared" si="1"/>
        <v>17140</v>
      </c>
      <c r="G27" s="11">
        <f t="shared" si="0"/>
        <v>531340</v>
      </c>
    </row>
    <row r="28" spans="1:7" x14ac:dyDescent="0.2">
      <c r="A28" s="63">
        <v>46130</v>
      </c>
      <c r="B28" s="38"/>
      <c r="C28" s="100"/>
      <c r="D28" s="33"/>
      <c r="E28" s="47"/>
      <c r="F28" s="23">
        <f t="shared" si="1"/>
        <v>17140</v>
      </c>
      <c r="G28" s="11">
        <f t="shared" si="0"/>
        <v>531340</v>
      </c>
    </row>
    <row r="29" spans="1:7" x14ac:dyDescent="0.2">
      <c r="A29" s="63">
        <v>46131</v>
      </c>
      <c r="B29" s="38"/>
      <c r="C29" s="65"/>
      <c r="D29" s="34"/>
      <c r="E29" s="47"/>
      <c r="F29" s="23">
        <f t="shared" si="1"/>
        <v>17140</v>
      </c>
      <c r="G29" s="11">
        <f t="shared" si="0"/>
        <v>531340</v>
      </c>
    </row>
    <row r="30" spans="1:7" x14ac:dyDescent="0.2">
      <c r="A30" s="63">
        <v>46132</v>
      </c>
      <c r="B30" s="38"/>
      <c r="C30" s="100"/>
      <c r="D30" s="33"/>
      <c r="E30" s="47"/>
      <c r="F30" s="23">
        <f t="shared" si="1"/>
        <v>17140</v>
      </c>
      <c r="G30" s="11">
        <f t="shared" si="0"/>
        <v>531340</v>
      </c>
    </row>
    <row r="31" spans="1:7" x14ac:dyDescent="0.2">
      <c r="A31" s="63">
        <v>46133</v>
      </c>
      <c r="B31" s="37"/>
      <c r="C31" s="100"/>
      <c r="D31" s="33"/>
      <c r="E31" s="47"/>
      <c r="F31" s="23">
        <f t="shared" si="1"/>
        <v>17140</v>
      </c>
      <c r="G31" s="11">
        <f t="shared" si="0"/>
        <v>531340</v>
      </c>
    </row>
    <row r="32" spans="1:7" x14ac:dyDescent="0.2">
      <c r="A32" s="63">
        <v>46134</v>
      </c>
      <c r="B32" s="38" t="s">
        <v>45</v>
      </c>
      <c r="C32" s="65">
        <f>985+1425</f>
        <v>2410</v>
      </c>
      <c r="D32" s="33"/>
      <c r="E32" s="47"/>
      <c r="F32" s="23">
        <f t="shared" si="1"/>
        <v>19550</v>
      </c>
      <c r="G32" s="11">
        <f t="shared" si="0"/>
        <v>606050</v>
      </c>
    </row>
    <row r="33" spans="1:7" x14ac:dyDescent="0.2">
      <c r="A33" s="63">
        <v>46135</v>
      </c>
      <c r="B33" s="38"/>
      <c r="C33" s="36"/>
      <c r="D33" s="33"/>
      <c r="E33" s="47"/>
      <c r="F33" s="23">
        <f t="shared" si="1"/>
        <v>19550</v>
      </c>
      <c r="G33" s="11">
        <f t="shared" si="0"/>
        <v>606050</v>
      </c>
    </row>
    <row r="34" spans="1:7" x14ac:dyDescent="0.2">
      <c r="A34" s="63">
        <v>46136</v>
      </c>
      <c r="B34" s="38"/>
      <c r="C34" s="36"/>
      <c r="D34" s="33"/>
      <c r="E34" s="47"/>
      <c r="F34" s="23">
        <f t="shared" si="1"/>
        <v>19550</v>
      </c>
      <c r="G34" s="11">
        <f t="shared" si="0"/>
        <v>606050</v>
      </c>
    </row>
    <row r="35" spans="1:7" x14ac:dyDescent="0.2">
      <c r="A35" s="63">
        <v>46137</v>
      </c>
      <c r="B35" s="41"/>
      <c r="C35" s="36"/>
      <c r="D35" s="33"/>
      <c r="E35" s="47"/>
      <c r="F35" s="23">
        <f t="shared" si="1"/>
        <v>19550</v>
      </c>
      <c r="G35" s="11">
        <f t="shared" si="0"/>
        <v>606050</v>
      </c>
    </row>
    <row r="36" spans="1:7" ht="13.5" customHeight="1" x14ac:dyDescent="0.2">
      <c r="A36" s="63">
        <v>46138</v>
      </c>
      <c r="B36" s="38"/>
      <c r="C36" s="36"/>
      <c r="D36" s="32"/>
      <c r="E36" s="47"/>
      <c r="F36" s="23">
        <f t="shared" si="1"/>
        <v>19550</v>
      </c>
      <c r="G36" s="11">
        <f t="shared" si="0"/>
        <v>606050</v>
      </c>
    </row>
    <row r="37" spans="1:7" x14ac:dyDescent="0.2">
      <c r="A37" s="63">
        <v>46139</v>
      </c>
      <c r="B37" s="38"/>
      <c r="C37" s="95"/>
      <c r="D37" s="32"/>
      <c r="E37" s="47"/>
      <c r="F37" s="23">
        <f t="shared" si="1"/>
        <v>19550</v>
      </c>
      <c r="G37" s="11">
        <f t="shared" si="0"/>
        <v>606050</v>
      </c>
    </row>
    <row r="38" spans="1:7" x14ac:dyDescent="0.2">
      <c r="A38" s="63">
        <v>46140</v>
      </c>
      <c r="B38" s="41"/>
      <c r="C38" s="36"/>
      <c r="D38" s="32"/>
      <c r="E38" s="47"/>
      <c r="F38" s="23">
        <f t="shared" si="1"/>
        <v>19550</v>
      </c>
      <c r="G38" s="11">
        <f t="shared" si="0"/>
        <v>606050</v>
      </c>
    </row>
    <row r="39" spans="1:7" x14ac:dyDescent="0.2">
      <c r="A39" s="63">
        <v>46141</v>
      </c>
      <c r="B39" s="38"/>
      <c r="C39" s="36"/>
      <c r="D39" s="32"/>
      <c r="E39" s="47">
        <v>296</v>
      </c>
      <c r="F39" s="23">
        <f t="shared" si="1"/>
        <v>19254</v>
      </c>
      <c r="G39" s="11">
        <f t="shared" si="0"/>
        <v>596874</v>
      </c>
    </row>
    <row r="40" spans="1:7" x14ac:dyDescent="0.2">
      <c r="A40" s="63">
        <v>46142</v>
      </c>
      <c r="B40" s="38" t="s">
        <v>46</v>
      </c>
      <c r="C40" s="95">
        <f>280+811+1177</f>
        <v>2268</v>
      </c>
      <c r="D40" s="32"/>
      <c r="E40" s="47">
        <v>1612</v>
      </c>
      <c r="F40" s="23">
        <f t="shared" si="1"/>
        <v>19910</v>
      </c>
      <c r="G40" s="11">
        <f t="shared" si="0"/>
        <v>617210</v>
      </c>
    </row>
    <row r="41" spans="1:7" ht="12.75" thickBot="1" x14ac:dyDescent="0.25">
      <c r="A41" s="63" t="s">
        <v>44</v>
      </c>
      <c r="B41" s="76"/>
      <c r="C41" s="96"/>
      <c r="D41" s="78"/>
      <c r="E41" s="79"/>
      <c r="F41" s="23"/>
      <c r="G41" s="11">
        <f t="shared" si="0"/>
        <v>0</v>
      </c>
    </row>
    <row r="42" spans="1:7" ht="12.75" thickBot="1" x14ac:dyDescent="0.25">
      <c r="A42" s="82"/>
      <c r="B42" s="83" t="s">
        <v>13</v>
      </c>
      <c r="C42" s="84">
        <f>SUM(C11:C41)</f>
        <v>9841</v>
      </c>
      <c r="D42" s="85"/>
      <c r="E42" s="86">
        <f>SUM(E10:E41)</f>
        <v>4748</v>
      </c>
      <c r="F42" s="87">
        <f>SUM(F11:F41)</f>
        <v>532402</v>
      </c>
      <c r="G42" s="88">
        <f>SUM(G11:G41)</f>
        <v>16504462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1082510</v>
      </c>
      <c r="D45" s="12" t="s">
        <v>36</v>
      </c>
      <c r="E45" s="12">
        <f>E42*F52</f>
        <v>522280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1604790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9841</v>
      </c>
      <c r="F51" s="13">
        <v>110</v>
      </c>
      <c r="G51" s="66">
        <f>E51*F51</f>
        <v>1082510</v>
      </c>
    </row>
    <row r="52" spans="4:7" x14ac:dyDescent="0.2">
      <c r="D52" s="41" t="s">
        <v>3</v>
      </c>
      <c r="E52" s="12">
        <f>E42</f>
        <v>4748</v>
      </c>
      <c r="F52" s="13">
        <v>110</v>
      </c>
      <c r="G52" s="66">
        <f t="shared" ref="G52:G53" si="2">E52*F52</f>
        <v>522280</v>
      </c>
    </row>
    <row r="53" spans="4:7" ht="20.25" customHeight="1" x14ac:dyDescent="0.2">
      <c r="D53" s="41" t="s">
        <v>9</v>
      </c>
      <c r="E53" s="97">
        <f>F42</f>
        <v>532402</v>
      </c>
      <c r="F53" s="98">
        <v>31</v>
      </c>
      <c r="G53" s="66">
        <f t="shared" si="2"/>
        <v>16504462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190</v>
      </c>
      <c r="F55" s="13">
        <v>900</v>
      </c>
      <c r="G55" s="53">
        <f>F55*E55</f>
        <v>171000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18280252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F873-C969-4143-A928-A18DD6AC7D36}">
  <sheetPr>
    <tabColor rgb="FF92D050"/>
  </sheetPr>
  <dimension ref="A1:G58"/>
  <sheetViews>
    <sheetView showGridLines="0" topLeftCell="A28" zoomScale="110" zoomScaleNormal="11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46143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46173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4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0" t="s">
        <v>4</v>
      </c>
      <c r="D9" s="21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19910</v>
      </c>
      <c r="G10" s="26"/>
    </row>
    <row r="11" spans="1:7" ht="13.5" customHeight="1" x14ac:dyDescent="0.2">
      <c r="A11" s="63">
        <v>46143</v>
      </c>
      <c r="B11" s="35"/>
      <c r="C11" s="65"/>
      <c r="D11" s="46"/>
      <c r="E11" s="47"/>
      <c r="F11" s="23">
        <f>F10+C11-E11</f>
        <v>19910</v>
      </c>
      <c r="G11" s="24">
        <f t="shared" ref="G11:G41" si="0">F11*$F$53</f>
        <v>617210</v>
      </c>
    </row>
    <row r="12" spans="1:7" ht="14.25" customHeight="1" x14ac:dyDescent="0.2">
      <c r="A12" s="63">
        <v>46144</v>
      </c>
      <c r="B12" s="38"/>
      <c r="C12" s="99"/>
      <c r="D12" s="32"/>
      <c r="E12" s="47"/>
      <c r="F12" s="23">
        <f>F11+C12-E12</f>
        <v>19910</v>
      </c>
      <c r="G12" s="11">
        <f t="shared" si="0"/>
        <v>617210</v>
      </c>
    </row>
    <row r="13" spans="1:7" ht="13.5" customHeight="1" x14ac:dyDescent="0.2">
      <c r="A13" s="63">
        <v>46145</v>
      </c>
      <c r="B13" s="35"/>
      <c r="C13" s="65"/>
      <c r="D13" s="32"/>
      <c r="E13" s="47"/>
      <c r="F13" s="23">
        <f t="shared" ref="F13:F41" si="1">F12+C13-E13</f>
        <v>19910</v>
      </c>
      <c r="G13" s="11">
        <f t="shared" si="0"/>
        <v>617210</v>
      </c>
    </row>
    <row r="14" spans="1:7" x14ac:dyDescent="0.2">
      <c r="A14" s="63">
        <v>46146</v>
      </c>
      <c r="B14" s="38"/>
      <c r="C14" s="65"/>
      <c r="D14" s="32"/>
      <c r="E14" s="47">
        <v>476</v>
      </c>
      <c r="F14" s="23">
        <f t="shared" si="1"/>
        <v>19434</v>
      </c>
      <c r="G14" s="11">
        <f t="shared" si="0"/>
        <v>602454</v>
      </c>
    </row>
    <row r="15" spans="1:7" x14ac:dyDescent="0.2">
      <c r="A15" s="63">
        <v>46147</v>
      </c>
      <c r="B15" s="37"/>
      <c r="C15" s="65"/>
      <c r="D15" s="32"/>
      <c r="E15" s="47"/>
      <c r="F15" s="23">
        <f t="shared" si="1"/>
        <v>19434</v>
      </c>
      <c r="G15" s="11">
        <f t="shared" si="0"/>
        <v>602454</v>
      </c>
    </row>
    <row r="16" spans="1:7" x14ac:dyDescent="0.2">
      <c r="A16" s="63">
        <v>46148</v>
      </c>
      <c r="B16" s="38"/>
      <c r="C16" s="65"/>
      <c r="D16" s="32"/>
      <c r="E16" s="47">
        <v>531</v>
      </c>
      <c r="F16" s="23">
        <f t="shared" si="1"/>
        <v>18903</v>
      </c>
      <c r="G16" s="11">
        <f t="shared" si="0"/>
        <v>585993</v>
      </c>
    </row>
    <row r="17" spans="1:7" x14ac:dyDescent="0.2">
      <c r="A17" s="63">
        <v>46149</v>
      </c>
      <c r="B17" s="39"/>
      <c r="C17" s="65"/>
      <c r="D17" s="32"/>
      <c r="E17" s="47"/>
      <c r="F17" s="23">
        <f t="shared" si="1"/>
        <v>18903</v>
      </c>
      <c r="G17" s="11">
        <f t="shared" si="0"/>
        <v>585993</v>
      </c>
    </row>
    <row r="18" spans="1:7" x14ac:dyDescent="0.2">
      <c r="A18" s="63">
        <v>46150</v>
      </c>
      <c r="B18" s="38"/>
      <c r="C18" s="65"/>
      <c r="D18" s="32"/>
      <c r="E18" s="47"/>
      <c r="F18" s="23">
        <f t="shared" si="1"/>
        <v>18903</v>
      </c>
      <c r="G18" s="11">
        <f t="shared" si="0"/>
        <v>585993</v>
      </c>
    </row>
    <row r="19" spans="1:7" ht="13.5" customHeight="1" x14ac:dyDescent="0.2">
      <c r="A19" s="63">
        <v>46151</v>
      </c>
      <c r="B19" s="38"/>
      <c r="C19" s="65"/>
      <c r="D19" s="33"/>
      <c r="E19" s="47"/>
      <c r="F19" s="23">
        <f t="shared" si="1"/>
        <v>18903</v>
      </c>
      <c r="G19" s="11">
        <f t="shared" si="0"/>
        <v>585993</v>
      </c>
    </row>
    <row r="20" spans="1:7" x14ac:dyDescent="0.2">
      <c r="A20" s="63">
        <v>46152</v>
      </c>
      <c r="B20" s="37"/>
      <c r="C20" s="65"/>
      <c r="D20" s="33"/>
      <c r="E20" s="47"/>
      <c r="F20" s="23">
        <f t="shared" si="1"/>
        <v>18903</v>
      </c>
      <c r="G20" s="11">
        <f t="shared" si="0"/>
        <v>585993</v>
      </c>
    </row>
    <row r="21" spans="1:7" x14ac:dyDescent="0.2">
      <c r="A21" s="63">
        <v>46153</v>
      </c>
      <c r="B21" s="40"/>
      <c r="C21" s="65"/>
      <c r="D21" s="33"/>
      <c r="E21" s="47"/>
      <c r="F21" s="23">
        <f t="shared" si="1"/>
        <v>18903</v>
      </c>
      <c r="G21" s="11">
        <f t="shared" si="0"/>
        <v>585993</v>
      </c>
    </row>
    <row r="22" spans="1:7" x14ac:dyDescent="0.2">
      <c r="A22" s="63">
        <v>46154</v>
      </c>
      <c r="B22" s="39"/>
      <c r="C22" s="65"/>
      <c r="D22" s="33"/>
      <c r="E22" s="47"/>
      <c r="F22" s="23">
        <f t="shared" si="1"/>
        <v>18903</v>
      </c>
      <c r="G22" s="11">
        <f t="shared" si="0"/>
        <v>585993</v>
      </c>
    </row>
    <row r="23" spans="1:7" x14ac:dyDescent="0.2">
      <c r="A23" s="63">
        <v>46155</v>
      </c>
      <c r="B23" s="38"/>
      <c r="C23" s="65"/>
      <c r="D23" s="33"/>
      <c r="E23" s="47"/>
      <c r="F23" s="23">
        <f t="shared" si="1"/>
        <v>18903</v>
      </c>
      <c r="G23" s="11">
        <f t="shared" si="0"/>
        <v>585993</v>
      </c>
    </row>
    <row r="24" spans="1:7" x14ac:dyDescent="0.2">
      <c r="A24" s="63">
        <v>46156</v>
      </c>
      <c r="B24" s="38"/>
      <c r="C24" s="65"/>
      <c r="D24" s="33"/>
      <c r="E24" s="47">
        <v>769</v>
      </c>
      <c r="F24" s="23">
        <f t="shared" si="1"/>
        <v>18134</v>
      </c>
      <c r="G24" s="11">
        <f t="shared" si="0"/>
        <v>562154</v>
      </c>
    </row>
    <row r="25" spans="1:7" x14ac:dyDescent="0.2">
      <c r="A25" s="63">
        <v>46157</v>
      </c>
      <c r="B25" s="38" t="s">
        <v>47</v>
      </c>
      <c r="C25" s="65">
        <v>1176</v>
      </c>
      <c r="D25" s="33"/>
      <c r="E25" s="47">
        <v>684</v>
      </c>
      <c r="F25" s="23">
        <f t="shared" si="1"/>
        <v>18626</v>
      </c>
      <c r="G25" s="11">
        <f t="shared" si="0"/>
        <v>577406</v>
      </c>
    </row>
    <row r="26" spans="1:7" ht="13.5" customHeight="1" x14ac:dyDescent="0.2">
      <c r="A26" s="63">
        <v>46158</v>
      </c>
      <c r="B26" s="38"/>
      <c r="C26" s="65"/>
      <c r="D26" s="33"/>
      <c r="E26" s="47"/>
      <c r="F26" s="23">
        <f t="shared" si="1"/>
        <v>18626</v>
      </c>
      <c r="G26" s="11">
        <f t="shared" si="0"/>
        <v>577406</v>
      </c>
    </row>
    <row r="27" spans="1:7" x14ac:dyDescent="0.2">
      <c r="A27" s="63">
        <v>46159</v>
      </c>
      <c r="B27" s="38"/>
      <c r="C27" s="100"/>
      <c r="D27" s="33"/>
      <c r="E27" s="47"/>
      <c r="F27" s="23">
        <f t="shared" si="1"/>
        <v>18626</v>
      </c>
      <c r="G27" s="11">
        <f t="shared" si="0"/>
        <v>577406</v>
      </c>
    </row>
    <row r="28" spans="1:7" x14ac:dyDescent="0.2">
      <c r="A28" s="63">
        <v>46160</v>
      </c>
      <c r="B28" s="38"/>
      <c r="C28" s="100"/>
      <c r="D28" s="33"/>
      <c r="E28" s="47"/>
      <c r="F28" s="23">
        <f t="shared" si="1"/>
        <v>18626</v>
      </c>
      <c r="G28" s="11">
        <f t="shared" si="0"/>
        <v>577406</v>
      </c>
    </row>
    <row r="29" spans="1:7" x14ac:dyDescent="0.2">
      <c r="A29" s="63">
        <v>46161</v>
      </c>
      <c r="B29" s="38" t="s">
        <v>48</v>
      </c>
      <c r="C29" s="65">
        <v>1207</v>
      </c>
      <c r="D29" s="34"/>
      <c r="E29" s="47"/>
      <c r="F29" s="23">
        <f t="shared" si="1"/>
        <v>19833</v>
      </c>
      <c r="G29" s="11">
        <f t="shared" si="0"/>
        <v>614823</v>
      </c>
    </row>
    <row r="30" spans="1:7" x14ac:dyDescent="0.2">
      <c r="A30" s="63">
        <v>46162</v>
      </c>
      <c r="B30" s="38"/>
      <c r="C30" s="100"/>
      <c r="D30" s="33"/>
      <c r="E30" s="47"/>
      <c r="F30" s="23">
        <f t="shared" si="1"/>
        <v>19833</v>
      </c>
      <c r="G30" s="11">
        <f t="shared" si="0"/>
        <v>614823</v>
      </c>
    </row>
    <row r="31" spans="1:7" x14ac:dyDescent="0.2">
      <c r="A31" s="63">
        <v>46163</v>
      </c>
      <c r="B31" s="37"/>
      <c r="C31" s="100"/>
      <c r="D31" s="33"/>
      <c r="E31" s="47"/>
      <c r="F31" s="23">
        <f t="shared" si="1"/>
        <v>19833</v>
      </c>
      <c r="G31" s="11">
        <f t="shared" si="0"/>
        <v>614823</v>
      </c>
    </row>
    <row r="32" spans="1:7" x14ac:dyDescent="0.2">
      <c r="A32" s="63">
        <v>46164</v>
      </c>
      <c r="B32" s="38"/>
      <c r="C32" s="65"/>
      <c r="D32" s="33"/>
      <c r="E32" s="47"/>
      <c r="F32" s="23">
        <f t="shared" si="1"/>
        <v>19833</v>
      </c>
      <c r="G32" s="11">
        <f t="shared" si="0"/>
        <v>614823</v>
      </c>
    </row>
    <row r="33" spans="1:7" x14ac:dyDescent="0.2">
      <c r="A33" s="63">
        <v>46165</v>
      </c>
      <c r="B33" s="38"/>
      <c r="C33" s="36"/>
      <c r="D33" s="33"/>
      <c r="E33" s="47"/>
      <c r="F33" s="23">
        <f>F32+C33-E33</f>
        <v>19833</v>
      </c>
      <c r="G33" s="11">
        <f t="shared" si="0"/>
        <v>614823</v>
      </c>
    </row>
    <row r="34" spans="1:7" x14ac:dyDescent="0.2">
      <c r="A34" s="63">
        <v>46166</v>
      </c>
      <c r="B34" s="38"/>
      <c r="C34" s="36"/>
      <c r="D34" s="33"/>
      <c r="E34" s="47"/>
      <c r="F34" s="23">
        <f>F33+C34-E34</f>
        <v>19833</v>
      </c>
      <c r="G34" s="11">
        <f t="shared" si="0"/>
        <v>614823</v>
      </c>
    </row>
    <row r="35" spans="1:7" x14ac:dyDescent="0.2">
      <c r="A35" s="63">
        <v>46167</v>
      </c>
      <c r="B35" s="41"/>
      <c r="C35" s="36"/>
      <c r="D35" s="33"/>
      <c r="E35" s="47">
        <v>711</v>
      </c>
      <c r="F35" s="23">
        <f t="shared" si="1"/>
        <v>19122</v>
      </c>
      <c r="G35" s="11">
        <f t="shared" si="0"/>
        <v>592782</v>
      </c>
    </row>
    <row r="36" spans="1:7" ht="13.5" customHeight="1" x14ac:dyDescent="0.2">
      <c r="A36" s="63">
        <v>46168</v>
      </c>
      <c r="B36" s="38"/>
      <c r="C36" s="36"/>
      <c r="D36" s="32"/>
      <c r="E36" s="47">
        <v>1191</v>
      </c>
      <c r="F36" s="23">
        <f t="shared" si="1"/>
        <v>17931</v>
      </c>
      <c r="G36" s="11">
        <f t="shared" si="0"/>
        <v>555861</v>
      </c>
    </row>
    <row r="37" spans="1:7" x14ac:dyDescent="0.2">
      <c r="A37" s="63">
        <v>46169</v>
      </c>
      <c r="B37" s="38"/>
      <c r="C37" s="95"/>
      <c r="D37" s="32"/>
      <c r="E37" s="47"/>
      <c r="F37" s="23">
        <f t="shared" si="1"/>
        <v>17931</v>
      </c>
      <c r="G37" s="11">
        <f t="shared" si="0"/>
        <v>555861</v>
      </c>
    </row>
    <row r="38" spans="1:7" x14ac:dyDescent="0.2">
      <c r="A38" s="63">
        <v>46170</v>
      </c>
      <c r="B38" s="41"/>
      <c r="C38" s="36"/>
      <c r="D38" s="32"/>
      <c r="E38" s="47">
        <v>551</v>
      </c>
      <c r="F38" s="23">
        <f t="shared" si="1"/>
        <v>17380</v>
      </c>
      <c r="G38" s="11">
        <f t="shared" si="0"/>
        <v>538780</v>
      </c>
    </row>
    <row r="39" spans="1:7" x14ac:dyDescent="0.2">
      <c r="A39" s="63">
        <v>46171</v>
      </c>
      <c r="B39" s="38"/>
      <c r="C39" s="36"/>
      <c r="D39" s="32"/>
      <c r="E39" s="47">
        <v>421</v>
      </c>
      <c r="F39" s="23">
        <f>F38+C39-E39</f>
        <v>16959</v>
      </c>
      <c r="G39" s="11">
        <f t="shared" si="0"/>
        <v>525729</v>
      </c>
    </row>
    <row r="40" spans="1:7" x14ac:dyDescent="0.2">
      <c r="A40" s="63">
        <v>46172</v>
      </c>
      <c r="B40" s="38"/>
      <c r="C40" s="95"/>
      <c r="D40" s="32"/>
      <c r="E40" s="47"/>
      <c r="F40" s="23">
        <f>F39+C40-E40</f>
        <v>16959</v>
      </c>
      <c r="G40" s="11">
        <f t="shared" si="0"/>
        <v>525729</v>
      </c>
    </row>
    <row r="41" spans="1:7" ht="12.75" thickBot="1" x14ac:dyDescent="0.25">
      <c r="A41" s="63">
        <v>46173</v>
      </c>
      <c r="B41" s="76"/>
      <c r="C41" s="96"/>
      <c r="D41" s="78"/>
      <c r="E41" s="79"/>
      <c r="F41" s="23">
        <f t="shared" si="1"/>
        <v>16959</v>
      </c>
      <c r="G41" s="11">
        <f t="shared" si="0"/>
        <v>525729</v>
      </c>
    </row>
    <row r="42" spans="1:7" ht="12.75" thickBot="1" x14ac:dyDescent="0.25">
      <c r="A42" s="82"/>
      <c r="B42" s="83" t="s">
        <v>13</v>
      </c>
      <c r="C42" s="84">
        <f>SUM(C11:C41)</f>
        <v>2383</v>
      </c>
      <c r="D42" s="85"/>
      <c r="E42" s="86">
        <f>SUM(E10:E41)</f>
        <v>5334</v>
      </c>
      <c r="F42" s="87">
        <f>SUM(F11:F41)</f>
        <v>584699</v>
      </c>
      <c r="G42" s="88">
        <f>SUM(G11:G41)</f>
        <v>18125669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262130</v>
      </c>
      <c r="D45" s="12" t="s">
        <v>36</v>
      </c>
      <c r="E45" s="12">
        <f>E42*F52</f>
        <v>586740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848870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2383</v>
      </c>
      <c r="F51" s="13">
        <v>110</v>
      </c>
      <c r="G51" s="66">
        <f>E51*F51</f>
        <v>262130</v>
      </c>
    </row>
    <row r="52" spans="4:7" x14ac:dyDescent="0.2">
      <c r="D52" s="41" t="s">
        <v>3</v>
      </c>
      <c r="E52" s="12">
        <f>E42</f>
        <v>5334</v>
      </c>
      <c r="F52" s="13">
        <v>110</v>
      </c>
      <c r="G52" s="66">
        <f t="shared" ref="G52:G53" si="2">E52*F52</f>
        <v>586740</v>
      </c>
    </row>
    <row r="53" spans="4:7" ht="20.25" customHeight="1" x14ac:dyDescent="0.2">
      <c r="D53" s="41" t="s">
        <v>9</v>
      </c>
      <c r="E53" s="97">
        <f>F42</f>
        <v>584699</v>
      </c>
      <c r="F53" s="98">
        <v>31</v>
      </c>
      <c r="G53" s="66">
        <f t="shared" si="2"/>
        <v>18125669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96</v>
      </c>
      <c r="F55" s="13">
        <v>900</v>
      </c>
      <c r="G55" s="53">
        <f>F55*E55</f>
        <v>86400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19060939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65B2-2427-474B-8C4F-739D240DE8D1}">
  <sheetPr>
    <tabColor rgb="FF92D050"/>
  </sheetPr>
  <dimension ref="A1:G57"/>
  <sheetViews>
    <sheetView topLeftCell="A28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46174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46203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4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0" t="s">
        <v>4</v>
      </c>
      <c r="D9" s="21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16959</v>
      </c>
      <c r="G10" s="26"/>
    </row>
    <row r="11" spans="1:7" ht="13.5" customHeight="1" x14ac:dyDescent="0.2">
      <c r="A11" s="63">
        <v>46174</v>
      </c>
      <c r="B11" s="35"/>
      <c r="C11" s="65"/>
      <c r="D11" s="46"/>
      <c r="E11" s="47">
        <v>3</v>
      </c>
      <c r="F11" s="23">
        <f>F10+C11-E11</f>
        <v>16956</v>
      </c>
      <c r="G11" s="24">
        <f t="shared" ref="G11:G40" si="0">F11*$F$52</f>
        <v>525636</v>
      </c>
    </row>
    <row r="12" spans="1:7" ht="14.25" customHeight="1" x14ac:dyDescent="0.2">
      <c r="A12" s="63">
        <v>46175</v>
      </c>
      <c r="B12" s="38"/>
      <c r="C12" s="99"/>
      <c r="D12" s="32"/>
      <c r="E12" s="47"/>
      <c r="F12" s="23">
        <f>F11+C12-E12</f>
        <v>16956</v>
      </c>
      <c r="G12" s="11">
        <f t="shared" si="0"/>
        <v>525636</v>
      </c>
    </row>
    <row r="13" spans="1:7" ht="13.5" customHeight="1" x14ac:dyDescent="0.2">
      <c r="A13" s="63">
        <v>46176</v>
      </c>
      <c r="B13" s="35"/>
      <c r="C13" s="65"/>
      <c r="D13" s="32"/>
      <c r="E13" s="47">
        <v>414</v>
      </c>
      <c r="F13" s="23">
        <f t="shared" ref="F13:F38" si="1">F12+C13-E13</f>
        <v>16542</v>
      </c>
      <c r="G13" s="11">
        <f t="shared" si="0"/>
        <v>512802</v>
      </c>
    </row>
    <row r="14" spans="1:7" x14ac:dyDescent="0.2">
      <c r="A14" s="63">
        <v>46177</v>
      </c>
      <c r="B14" s="38"/>
      <c r="C14" s="65"/>
      <c r="D14" s="32"/>
      <c r="E14" s="47">
        <v>236</v>
      </c>
      <c r="F14" s="23">
        <f t="shared" si="1"/>
        <v>16306</v>
      </c>
      <c r="G14" s="11">
        <f t="shared" si="0"/>
        <v>505486</v>
      </c>
    </row>
    <row r="15" spans="1:7" x14ac:dyDescent="0.2">
      <c r="A15" s="63">
        <v>46178</v>
      </c>
      <c r="B15" s="37"/>
      <c r="C15" s="65"/>
      <c r="D15" s="32"/>
      <c r="E15" s="47">
        <v>375</v>
      </c>
      <c r="F15" s="23">
        <f t="shared" si="1"/>
        <v>15931</v>
      </c>
      <c r="G15" s="11">
        <f t="shared" si="0"/>
        <v>493861</v>
      </c>
    </row>
    <row r="16" spans="1:7" x14ac:dyDescent="0.2">
      <c r="A16" s="63">
        <v>46179</v>
      </c>
      <c r="B16" s="38"/>
      <c r="C16" s="65"/>
      <c r="D16" s="32"/>
      <c r="E16" s="47"/>
      <c r="F16" s="23">
        <f t="shared" si="1"/>
        <v>15931</v>
      </c>
      <c r="G16" s="11">
        <f t="shared" si="0"/>
        <v>493861</v>
      </c>
    </row>
    <row r="17" spans="1:7" x14ac:dyDescent="0.2">
      <c r="A17" s="63">
        <v>46180</v>
      </c>
      <c r="B17" s="39"/>
      <c r="C17" s="65"/>
      <c r="D17" s="32"/>
      <c r="E17" s="47"/>
      <c r="F17" s="23">
        <f t="shared" si="1"/>
        <v>15931</v>
      </c>
      <c r="G17" s="11">
        <f t="shared" si="0"/>
        <v>493861</v>
      </c>
    </row>
    <row r="18" spans="1:7" x14ac:dyDescent="0.2">
      <c r="A18" s="63">
        <v>46181</v>
      </c>
      <c r="B18" s="38" t="s">
        <v>51</v>
      </c>
      <c r="C18" s="65">
        <v>1154</v>
      </c>
      <c r="D18" s="32"/>
      <c r="E18" s="47"/>
      <c r="F18" s="23">
        <f>F17+C18-E18</f>
        <v>17085</v>
      </c>
      <c r="G18" s="11">
        <f t="shared" si="0"/>
        <v>529635</v>
      </c>
    </row>
    <row r="19" spans="1:7" ht="13.5" customHeight="1" x14ac:dyDescent="0.2">
      <c r="A19" s="63">
        <v>46182</v>
      </c>
      <c r="B19" s="38" t="s">
        <v>50</v>
      </c>
      <c r="C19" s="65">
        <v>849</v>
      </c>
      <c r="D19" s="33"/>
      <c r="E19" s="47"/>
      <c r="F19" s="23">
        <f t="shared" si="1"/>
        <v>17934</v>
      </c>
      <c r="G19" s="11">
        <f t="shared" si="0"/>
        <v>555954</v>
      </c>
    </row>
    <row r="20" spans="1:7" x14ac:dyDescent="0.2">
      <c r="A20" s="63">
        <v>46183</v>
      </c>
      <c r="B20" s="37"/>
      <c r="C20" s="65"/>
      <c r="D20" s="33"/>
      <c r="E20" s="47">
        <v>285</v>
      </c>
      <c r="F20" s="23">
        <f>F19+C20-E20</f>
        <v>17649</v>
      </c>
      <c r="G20" s="11">
        <f t="shared" si="0"/>
        <v>547119</v>
      </c>
    </row>
    <row r="21" spans="1:7" x14ac:dyDescent="0.2">
      <c r="A21" s="63">
        <v>46184</v>
      </c>
      <c r="B21" s="40"/>
      <c r="C21" s="65"/>
      <c r="D21" s="33"/>
      <c r="E21" s="47">
        <v>485</v>
      </c>
      <c r="F21" s="23">
        <f t="shared" si="1"/>
        <v>17164</v>
      </c>
      <c r="G21" s="11">
        <f t="shared" si="0"/>
        <v>532084</v>
      </c>
    </row>
    <row r="22" spans="1:7" x14ac:dyDescent="0.2">
      <c r="A22" s="63">
        <v>46185</v>
      </c>
      <c r="B22" s="39"/>
      <c r="C22" s="65"/>
      <c r="D22" s="33"/>
      <c r="E22" s="47">
        <v>1006</v>
      </c>
      <c r="F22" s="23">
        <f t="shared" si="1"/>
        <v>16158</v>
      </c>
      <c r="G22" s="11">
        <f t="shared" si="0"/>
        <v>500898</v>
      </c>
    </row>
    <row r="23" spans="1:7" x14ac:dyDescent="0.2">
      <c r="A23" s="63">
        <v>46186</v>
      </c>
      <c r="B23" s="38"/>
      <c r="C23" s="65"/>
      <c r="D23" s="33"/>
      <c r="E23" s="47"/>
      <c r="F23" s="23">
        <f t="shared" si="1"/>
        <v>16158</v>
      </c>
      <c r="G23" s="11">
        <f t="shared" si="0"/>
        <v>500898</v>
      </c>
    </row>
    <row r="24" spans="1:7" x14ac:dyDescent="0.2">
      <c r="A24" s="63">
        <v>46187</v>
      </c>
      <c r="B24" s="38"/>
      <c r="C24" s="65"/>
      <c r="D24" s="33"/>
      <c r="E24" s="47"/>
      <c r="F24" s="23">
        <f t="shared" si="1"/>
        <v>16158</v>
      </c>
      <c r="G24" s="11">
        <f t="shared" si="0"/>
        <v>500898</v>
      </c>
    </row>
    <row r="25" spans="1:7" x14ac:dyDescent="0.2">
      <c r="A25" s="63">
        <v>46188</v>
      </c>
      <c r="B25" s="38"/>
      <c r="C25" s="65"/>
      <c r="D25" s="33"/>
      <c r="E25" s="47">
        <v>652</v>
      </c>
      <c r="F25" s="23">
        <f t="shared" si="1"/>
        <v>15506</v>
      </c>
      <c r="G25" s="11">
        <f t="shared" si="0"/>
        <v>480686</v>
      </c>
    </row>
    <row r="26" spans="1:7" ht="13.5" customHeight="1" x14ac:dyDescent="0.2">
      <c r="A26" s="63">
        <v>46189</v>
      </c>
      <c r="B26" s="38"/>
      <c r="C26" s="65"/>
      <c r="D26" s="33"/>
      <c r="E26" s="47">
        <v>70</v>
      </c>
      <c r="F26" s="23">
        <f t="shared" si="1"/>
        <v>15436</v>
      </c>
      <c r="G26" s="11">
        <f t="shared" si="0"/>
        <v>478516</v>
      </c>
    </row>
    <row r="27" spans="1:7" x14ac:dyDescent="0.2">
      <c r="A27" s="63">
        <v>46190</v>
      </c>
      <c r="B27" s="38"/>
      <c r="C27" s="100"/>
      <c r="D27" s="33"/>
      <c r="E27" s="47">
        <v>371</v>
      </c>
      <c r="F27" s="23">
        <f t="shared" si="1"/>
        <v>15065</v>
      </c>
      <c r="G27" s="11">
        <f t="shared" si="0"/>
        <v>467015</v>
      </c>
    </row>
    <row r="28" spans="1:7" x14ac:dyDescent="0.2">
      <c r="A28" s="63">
        <v>46191</v>
      </c>
      <c r="B28" s="38"/>
      <c r="C28" s="100"/>
      <c r="D28" s="33"/>
      <c r="E28" s="47">
        <v>478</v>
      </c>
      <c r="F28" s="23">
        <f t="shared" si="1"/>
        <v>14587</v>
      </c>
      <c r="G28" s="11">
        <f t="shared" si="0"/>
        <v>452197</v>
      </c>
    </row>
    <row r="29" spans="1:7" x14ac:dyDescent="0.2">
      <c r="A29" s="63">
        <v>46192</v>
      </c>
      <c r="B29" s="38"/>
      <c r="C29" s="65"/>
      <c r="D29" s="34"/>
      <c r="E29" s="47">
        <v>90</v>
      </c>
      <c r="F29" s="23">
        <f t="shared" si="1"/>
        <v>14497</v>
      </c>
      <c r="G29" s="11">
        <f t="shared" si="0"/>
        <v>449407</v>
      </c>
    </row>
    <row r="30" spans="1:7" x14ac:dyDescent="0.2">
      <c r="A30" s="63">
        <v>46193</v>
      </c>
      <c r="B30" s="38"/>
      <c r="C30" s="100"/>
      <c r="D30" s="33"/>
      <c r="E30" s="47"/>
      <c r="F30" s="23">
        <f t="shared" si="1"/>
        <v>14497</v>
      </c>
      <c r="G30" s="11">
        <f t="shared" si="0"/>
        <v>449407</v>
      </c>
    </row>
    <row r="31" spans="1:7" x14ac:dyDescent="0.2">
      <c r="A31" s="63">
        <v>46194</v>
      </c>
      <c r="B31" s="37"/>
      <c r="C31" s="100"/>
      <c r="D31" s="33"/>
      <c r="E31" s="47"/>
      <c r="F31" s="23">
        <f t="shared" si="1"/>
        <v>14497</v>
      </c>
      <c r="G31" s="11">
        <f t="shared" si="0"/>
        <v>449407</v>
      </c>
    </row>
    <row r="32" spans="1:7" x14ac:dyDescent="0.2">
      <c r="A32" s="63">
        <v>46195</v>
      </c>
      <c r="B32" s="38" t="s">
        <v>49</v>
      </c>
      <c r="C32" s="65">
        <v>1045</v>
      </c>
      <c r="D32" s="33"/>
      <c r="E32" s="47"/>
      <c r="F32" s="23">
        <f t="shared" si="1"/>
        <v>15542</v>
      </c>
      <c r="G32" s="11">
        <f t="shared" si="0"/>
        <v>481802</v>
      </c>
    </row>
    <row r="33" spans="1:7" x14ac:dyDescent="0.2">
      <c r="A33" s="63">
        <v>46196</v>
      </c>
      <c r="B33" s="38"/>
      <c r="C33" s="36"/>
      <c r="D33" s="33"/>
      <c r="E33" s="47"/>
      <c r="F33" s="23">
        <f>F32+C33-E33</f>
        <v>15542</v>
      </c>
      <c r="G33" s="11">
        <f t="shared" si="0"/>
        <v>481802</v>
      </c>
    </row>
    <row r="34" spans="1:7" x14ac:dyDescent="0.2">
      <c r="A34" s="63">
        <v>46197</v>
      </c>
      <c r="B34" s="38"/>
      <c r="C34" s="36"/>
      <c r="D34" s="33"/>
      <c r="E34" s="47">
        <v>334</v>
      </c>
      <c r="F34" s="23">
        <f>F33+C34-E34</f>
        <v>15208</v>
      </c>
      <c r="G34" s="11">
        <f t="shared" si="0"/>
        <v>471448</v>
      </c>
    </row>
    <row r="35" spans="1:7" x14ac:dyDescent="0.2">
      <c r="A35" s="63">
        <v>46198</v>
      </c>
      <c r="B35" s="41"/>
      <c r="C35" s="36"/>
      <c r="D35" s="33"/>
      <c r="E35" s="47">
        <v>450</v>
      </c>
      <c r="F35" s="23">
        <f t="shared" si="1"/>
        <v>14758</v>
      </c>
      <c r="G35" s="11">
        <f t="shared" si="0"/>
        <v>457498</v>
      </c>
    </row>
    <row r="36" spans="1:7" ht="13.5" customHeight="1" x14ac:dyDescent="0.2">
      <c r="A36" s="63">
        <v>46199</v>
      </c>
      <c r="B36" s="38"/>
      <c r="C36" s="36"/>
      <c r="D36" s="32"/>
      <c r="E36" s="47">
        <v>496</v>
      </c>
      <c r="F36" s="23">
        <f>F35+C36-E36</f>
        <v>14262</v>
      </c>
      <c r="G36" s="11">
        <f t="shared" si="0"/>
        <v>442122</v>
      </c>
    </row>
    <row r="37" spans="1:7" x14ac:dyDescent="0.2">
      <c r="A37" s="63">
        <v>46200</v>
      </c>
      <c r="B37" s="38"/>
      <c r="C37" s="95"/>
      <c r="D37" s="32"/>
      <c r="E37" s="47"/>
      <c r="F37" s="23">
        <f t="shared" si="1"/>
        <v>14262</v>
      </c>
      <c r="G37" s="11">
        <f t="shared" si="0"/>
        <v>442122</v>
      </c>
    </row>
    <row r="38" spans="1:7" x14ac:dyDescent="0.2">
      <c r="A38" s="63">
        <v>46201</v>
      </c>
      <c r="B38" s="41"/>
      <c r="C38" s="36"/>
      <c r="D38" s="32"/>
      <c r="E38" s="47"/>
      <c r="F38" s="23">
        <f t="shared" si="1"/>
        <v>14262</v>
      </c>
      <c r="G38" s="11">
        <f t="shared" si="0"/>
        <v>442122</v>
      </c>
    </row>
    <row r="39" spans="1:7" x14ac:dyDescent="0.2">
      <c r="A39" s="63">
        <v>46202</v>
      </c>
      <c r="B39" s="38"/>
      <c r="C39" s="36"/>
      <c r="D39" s="32"/>
      <c r="E39" s="47"/>
      <c r="F39" s="23">
        <f>F38+C39-E39</f>
        <v>14262</v>
      </c>
      <c r="G39" s="11">
        <f t="shared" si="0"/>
        <v>442122</v>
      </c>
    </row>
    <row r="40" spans="1:7" ht="12.75" thickBot="1" x14ac:dyDescent="0.25">
      <c r="A40" s="63">
        <v>46203</v>
      </c>
      <c r="B40" s="38"/>
      <c r="C40" s="95"/>
      <c r="D40" s="32"/>
      <c r="E40" s="47"/>
      <c r="F40" s="23">
        <f>F39+C40-E40</f>
        <v>14262</v>
      </c>
      <c r="G40" s="11">
        <f t="shared" si="0"/>
        <v>442122</v>
      </c>
    </row>
    <row r="41" spans="1:7" ht="12.75" thickBot="1" x14ac:dyDescent="0.25">
      <c r="A41" s="82"/>
      <c r="B41" s="83" t="s">
        <v>13</v>
      </c>
      <c r="C41" s="84">
        <f>SUM(C11:C40)</f>
        <v>3048</v>
      </c>
      <c r="D41" s="85"/>
      <c r="E41" s="86">
        <f>SUM(E10:E40)</f>
        <v>5745</v>
      </c>
      <c r="F41" s="87">
        <f>SUM(F11:F40)</f>
        <v>469304</v>
      </c>
      <c r="G41" s="88">
        <f>SUM(G11:G40)</f>
        <v>14548424</v>
      </c>
    </row>
    <row r="42" spans="1:7" x14ac:dyDescent="0.2">
      <c r="A42" s="71"/>
      <c r="B42" s="74"/>
      <c r="C42" s="72"/>
      <c r="D42" s="72"/>
      <c r="E42" s="72"/>
      <c r="F42" s="72"/>
      <c r="G42" s="73"/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ht="12" customHeight="1" x14ac:dyDescent="0.2">
      <c r="B44" s="89" t="s">
        <v>35</v>
      </c>
      <c r="C44" s="12">
        <f>C41*F50</f>
        <v>335280</v>
      </c>
      <c r="D44" s="12" t="s">
        <v>36</v>
      </c>
      <c r="E44" s="12">
        <f>E41*F51</f>
        <v>631950</v>
      </c>
    </row>
    <row r="45" spans="1:7" x14ac:dyDescent="0.2">
      <c r="B45" s="90"/>
      <c r="C45" s="91"/>
      <c r="D45" s="91"/>
      <c r="E45" s="91"/>
    </row>
    <row r="46" spans="1:7" x14ac:dyDescent="0.2">
      <c r="B46" s="92" t="s">
        <v>37</v>
      </c>
      <c r="C46" s="93">
        <f>C44+E44</f>
        <v>967230</v>
      </c>
      <c r="D46" s="91"/>
      <c r="E46" s="91"/>
    </row>
    <row r="48" spans="1:7" ht="12.75" thickBot="1" x14ac:dyDescent="0.25"/>
    <row r="49" spans="4:7" x14ac:dyDescent="0.2">
      <c r="D49" s="49"/>
      <c r="E49" s="50" t="s">
        <v>10</v>
      </c>
      <c r="F49" s="51" t="s">
        <v>11</v>
      </c>
      <c r="G49" s="52" t="s">
        <v>12</v>
      </c>
    </row>
    <row r="50" spans="4:7" ht="25.5" customHeight="1" x14ac:dyDescent="0.2">
      <c r="D50" s="41" t="s">
        <v>2</v>
      </c>
      <c r="E50" s="12">
        <f>C41</f>
        <v>3048</v>
      </c>
      <c r="F50" s="13">
        <v>110</v>
      </c>
      <c r="G50" s="66">
        <f>E50*F50</f>
        <v>335280</v>
      </c>
    </row>
    <row r="51" spans="4:7" x14ac:dyDescent="0.2">
      <c r="D51" s="41" t="s">
        <v>3</v>
      </c>
      <c r="E51" s="12">
        <f>E41</f>
        <v>5745</v>
      </c>
      <c r="F51" s="13">
        <v>110</v>
      </c>
      <c r="G51" s="66">
        <f t="shared" ref="G51:G52" si="2">E51*F51</f>
        <v>631950</v>
      </c>
    </row>
    <row r="52" spans="4:7" ht="20.25" customHeight="1" x14ac:dyDescent="0.2">
      <c r="D52" s="41" t="s">
        <v>9</v>
      </c>
      <c r="E52" s="97">
        <f>F41</f>
        <v>469304</v>
      </c>
      <c r="F52" s="98">
        <v>31</v>
      </c>
      <c r="G52" s="66">
        <f t="shared" si="2"/>
        <v>14548424</v>
      </c>
    </row>
    <row r="53" spans="4:7" ht="13.5" customHeight="1" x14ac:dyDescent="0.2">
      <c r="D53" s="41"/>
      <c r="E53" s="12"/>
      <c r="F53" s="13"/>
      <c r="G53" s="53"/>
    </row>
    <row r="54" spans="4:7" ht="11.25" customHeight="1" x14ac:dyDescent="0.2">
      <c r="D54" s="54" t="s">
        <v>18</v>
      </c>
      <c r="E54" s="12">
        <v>198</v>
      </c>
      <c r="F54" s="13">
        <v>900</v>
      </c>
      <c r="G54" s="53">
        <f>F54*E54</f>
        <v>178200</v>
      </c>
    </row>
    <row r="55" spans="4:7" ht="12.75" thickBot="1" x14ac:dyDescent="0.25">
      <c r="D55" s="55"/>
      <c r="E55" s="56"/>
      <c r="F55" s="57"/>
      <c r="G55" s="58"/>
    </row>
    <row r="56" spans="4:7" ht="12.75" thickBot="1" x14ac:dyDescent="0.25">
      <c r="D56" s="59"/>
      <c r="E56" s="60"/>
      <c r="F56" s="62" t="s">
        <v>37</v>
      </c>
      <c r="G56" s="61">
        <f>SUM(G50:G55)</f>
        <v>15693854</v>
      </c>
    </row>
    <row r="57" spans="4:7" ht="12.75" customHeight="1" x14ac:dyDescent="0.2">
      <c r="E57" s="16"/>
      <c r="F57" s="17"/>
      <c r="G57" s="18"/>
    </row>
  </sheetData>
  <mergeCells count="5">
    <mergeCell ref="A8:A9"/>
    <mergeCell ref="B8:C8"/>
    <mergeCell ref="D8:E8"/>
    <mergeCell ref="F8:F9"/>
    <mergeCell ref="G8:G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E142-EC7D-4A86-92EF-E4077D50CD10}">
  <sheetPr>
    <tabColor rgb="FFFF0000"/>
  </sheetPr>
  <dimension ref="A1:G57"/>
  <sheetViews>
    <sheetView tabSelected="1" topLeftCell="A19" workbookViewId="0">
      <selection activeCell="G56" sqref="G56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46204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46234</v>
      </c>
      <c r="F7" s="2"/>
      <c r="G7" s="9"/>
    </row>
    <row r="8" spans="1:7" ht="12.75" thickBot="1" x14ac:dyDescent="0.25">
      <c r="A8" s="112"/>
      <c r="B8" s="114" t="s">
        <v>2</v>
      </c>
      <c r="C8" s="115"/>
      <c r="D8" s="116" t="s">
        <v>3</v>
      </c>
      <c r="E8" s="116"/>
      <c r="F8" s="117" t="s">
        <v>0</v>
      </c>
      <c r="G8" s="119" t="s">
        <v>17</v>
      </c>
    </row>
    <row r="9" spans="1:7" ht="15" customHeight="1" thickBot="1" x14ac:dyDescent="0.25">
      <c r="A9" s="113"/>
      <c r="B9" s="19" t="s">
        <v>6</v>
      </c>
      <c r="C9" s="22" t="s">
        <v>4</v>
      </c>
      <c r="D9" s="103" t="s">
        <v>8</v>
      </c>
      <c r="E9" s="22" t="s">
        <v>1</v>
      </c>
      <c r="F9" s="118"/>
      <c r="G9" s="120"/>
    </row>
    <row r="10" spans="1:7" ht="14.25" customHeight="1" thickBot="1" x14ac:dyDescent="0.25">
      <c r="A10" s="48" t="s">
        <v>5</v>
      </c>
      <c r="B10" s="42" t="s">
        <v>7</v>
      </c>
      <c r="C10" s="108"/>
      <c r="D10" s="43"/>
      <c r="E10" s="44"/>
      <c r="F10" s="25">
        <v>14262</v>
      </c>
      <c r="G10" s="26"/>
    </row>
    <row r="11" spans="1:7" ht="13.5" customHeight="1" x14ac:dyDescent="0.2">
      <c r="A11" s="101">
        <v>46204</v>
      </c>
      <c r="B11" s="35"/>
      <c r="C11" s="65"/>
      <c r="D11" s="104"/>
      <c r="E11" s="47"/>
      <c r="F11" s="23">
        <f>F10+C11-E11</f>
        <v>14262</v>
      </c>
      <c r="G11" s="24">
        <f t="shared" ref="G11:G40" si="0">F11*$F$52</f>
        <v>442122</v>
      </c>
    </row>
    <row r="12" spans="1:7" ht="14.25" customHeight="1" x14ac:dyDescent="0.2">
      <c r="A12" s="101">
        <v>46205</v>
      </c>
      <c r="B12" s="38"/>
      <c r="C12" s="109"/>
      <c r="D12" s="105"/>
      <c r="E12" s="47"/>
      <c r="F12" s="23">
        <f>F11+C12-E12</f>
        <v>14262</v>
      </c>
      <c r="G12" s="11">
        <f t="shared" si="0"/>
        <v>442122</v>
      </c>
    </row>
    <row r="13" spans="1:7" ht="13.5" customHeight="1" x14ac:dyDescent="0.2">
      <c r="A13" s="101">
        <v>46206</v>
      </c>
      <c r="B13" s="35"/>
      <c r="C13" s="65"/>
      <c r="D13" s="105"/>
      <c r="E13" s="47"/>
      <c r="F13" s="23">
        <f t="shared" ref="F13:F38" si="1">F12+C13-E13</f>
        <v>14262</v>
      </c>
      <c r="G13" s="11">
        <f t="shared" si="0"/>
        <v>442122</v>
      </c>
    </row>
    <row r="14" spans="1:7" x14ac:dyDescent="0.2">
      <c r="A14" s="101">
        <v>46207</v>
      </c>
      <c r="B14" s="38"/>
      <c r="C14" s="65"/>
      <c r="D14" s="105"/>
      <c r="E14" s="47"/>
      <c r="F14" s="23">
        <f t="shared" si="1"/>
        <v>14262</v>
      </c>
      <c r="G14" s="11">
        <f t="shared" si="0"/>
        <v>442122</v>
      </c>
    </row>
    <row r="15" spans="1:7" x14ac:dyDescent="0.2">
      <c r="A15" s="101">
        <v>46208</v>
      </c>
      <c r="B15" s="37"/>
      <c r="C15" s="65"/>
      <c r="D15" s="105"/>
      <c r="E15" s="47"/>
      <c r="F15" s="23">
        <f t="shared" si="1"/>
        <v>14262</v>
      </c>
      <c r="G15" s="11">
        <f t="shared" si="0"/>
        <v>442122</v>
      </c>
    </row>
    <row r="16" spans="1:7" x14ac:dyDescent="0.2">
      <c r="A16" s="101">
        <v>46209</v>
      </c>
      <c r="B16" s="38"/>
      <c r="C16" s="65"/>
      <c r="D16" s="105"/>
      <c r="E16" s="47"/>
      <c r="F16" s="23">
        <f t="shared" si="1"/>
        <v>14262</v>
      </c>
      <c r="G16" s="11">
        <f t="shared" si="0"/>
        <v>442122</v>
      </c>
    </row>
    <row r="17" spans="1:7" x14ac:dyDescent="0.2">
      <c r="A17" s="101">
        <v>46210</v>
      </c>
      <c r="B17" s="39"/>
      <c r="C17" s="65"/>
      <c r="D17" s="105"/>
      <c r="E17" s="47">
        <v>614</v>
      </c>
      <c r="F17" s="23">
        <f t="shared" si="1"/>
        <v>13648</v>
      </c>
      <c r="G17" s="11">
        <f t="shared" si="0"/>
        <v>423088</v>
      </c>
    </row>
    <row r="18" spans="1:7" x14ac:dyDescent="0.2">
      <c r="A18" s="101">
        <v>46211</v>
      </c>
      <c r="B18" s="38"/>
      <c r="C18" s="65"/>
      <c r="D18" s="105"/>
      <c r="E18" s="47">
        <v>639</v>
      </c>
      <c r="F18" s="23">
        <f t="shared" si="1"/>
        <v>13009</v>
      </c>
      <c r="G18" s="11">
        <f t="shared" si="0"/>
        <v>403279</v>
      </c>
    </row>
    <row r="19" spans="1:7" ht="13.5" customHeight="1" x14ac:dyDescent="0.2">
      <c r="A19" s="101">
        <v>46212</v>
      </c>
      <c r="B19" s="38"/>
      <c r="C19" s="65"/>
      <c r="D19" s="106"/>
      <c r="E19" s="47"/>
      <c r="F19" s="23">
        <f t="shared" si="1"/>
        <v>13009</v>
      </c>
      <c r="G19" s="11">
        <f t="shared" si="0"/>
        <v>403279</v>
      </c>
    </row>
    <row r="20" spans="1:7" x14ac:dyDescent="0.2">
      <c r="A20" s="101">
        <v>46213</v>
      </c>
      <c r="B20" s="37"/>
      <c r="C20" s="65"/>
      <c r="D20" s="106"/>
      <c r="E20" s="47"/>
      <c r="F20" s="23">
        <f t="shared" si="1"/>
        <v>13009</v>
      </c>
      <c r="G20" s="11">
        <f t="shared" si="0"/>
        <v>403279</v>
      </c>
    </row>
    <row r="21" spans="1:7" x14ac:dyDescent="0.2">
      <c r="A21" s="101">
        <v>46214</v>
      </c>
      <c r="B21" s="40"/>
      <c r="C21" s="65"/>
      <c r="D21" s="106"/>
      <c r="E21" s="47"/>
      <c r="F21" s="23">
        <f t="shared" si="1"/>
        <v>13009</v>
      </c>
      <c r="G21" s="11">
        <f t="shared" si="0"/>
        <v>403279</v>
      </c>
    </row>
    <row r="22" spans="1:7" x14ac:dyDescent="0.2">
      <c r="A22" s="101">
        <v>46215</v>
      </c>
      <c r="B22" s="39"/>
      <c r="C22" s="65"/>
      <c r="D22" s="106"/>
      <c r="E22" s="47"/>
      <c r="F22" s="23">
        <f t="shared" si="1"/>
        <v>13009</v>
      </c>
      <c r="G22" s="11">
        <f t="shared" si="0"/>
        <v>403279</v>
      </c>
    </row>
    <row r="23" spans="1:7" x14ac:dyDescent="0.2">
      <c r="A23" s="101">
        <v>46216</v>
      </c>
      <c r="B23" s="38"/>
      <c r="C23" s="65"/>
      <c r="D23" s="106"/>
      <c r="E23" s="47"/>
      <c r="F23" s="23">
        <f t="shared" si="1"/>
        <v>13009</v>
      </c>
      <c r="G23" s="11">
        <f t="shared" si="0"/>
        <v>403279</v>
      </c>
    </row>
    <row r="24" spans="1:7" x14ac:dyDescent="0.2">
      <c r="A24" s="101">
        <v>46217</v>
      </c>
      <c r="B24" s="38"/>
      <c r="C24" s="65"/>
      <c r="D24" s="106"/>
      <c r="E24" s="47">
        <v>498</v>
      </c>
      <c r="F24" s="23">
        <f t="shared" si="1"/>
        <v>12511</v>
      </c>
      <c r="G24" s="11">
        <f t="shared" si="0"/>
        <v>387841</v>
      </c>
    </row>
    <row r="25" spans="1:7" ht="13.5" customHeight="1" x14ac:dyDescent="0.2">
      <c r="A25" s="101">
        <v>46218</v>
      </c>
      <c r="B25" s="38" t="s">
        <v>52</v>
      </c>
      <c r="C25" s="65">
        <v>1455</v>
      </c>
      <c r="D25" s="106"/>
      <c r="E25" s="47">
        <v>399</v>
      </c>
      <c r="F25" s="23">
        <f t="shared" si="1"/>
        <v>13567</v>
      </c>
      <c r="G25" s="11">
        <f t="shared" si="0"/>
        <v>420577</v>
      </c>
    </row>
    <row r="26" spans="1:7" ht="13.5" customHeight="1" x14ac:dyDescent="0.2">
      <c r="A26" s="101">
        <v>46219</v>
      </c>
      <c r="B26" s="38"/>
      <c r="C26" s="65"/>
      <c r="D26" s="106"/>
      <c r="E26" s="47"/>
      <c r="F26" s="23">
        <f t="shared" si="1"/>
        <v>13567</v>
      </c>
      <c r="G26" s="11">
        <f t="shared" si="0"/>
        <v>420577</v>
      </c>
    </row>
    <row r="27" spans="1:7" x14ac:dyDescent="0.2">
      <c r="A27" s="101">
        <v>46220</v>
      </c>
      <c r="B27" s="38"/>
      <c r="C27" s="100"/>
      <c r="D27" s="106"/>
      <c r="E27" s="47"/>
      <c r="F27" s="23">
        <f t="shared" si="1"/>
        <v>13567</v>
      </c>
      <c r="G27" s="11">
        <f t="shared" si="0"/>
        <v>420577</v>
      </c>
    </row>
    <row r="28" spans="1:7" x14ac:dyDescent="0.2">
      <c r="A28" s="101">
        <v>46221</v>
      </c>
      <c r="B28" s="38"/>
      <c r="C28" s="100"/>
      <c r="D28" s="106"/>
      <c r="E28" s="47"/>
      <c r="F28" s="23">
        <f t="shared" si="1"/>
        <v>13567</v>
      </c>
      <c r="G28" s="11">
        <f t="shared" si="0"/>
        <v>420577</v>
      </c>
    </row>
    <row r="29" spans="1:7" x14ac:dyDescent="0.2">
      <c r="A29" s="101">
        <v>46222</v>
      </c>
      <c r="B29" s="38"/>
      <c r="C29" s="65"/>
      <c r="D29" s="107"/>
      <c r="E29" s="47"/>
      <c r="F29" s="23">
        <f t="shared" si="1"/>
        <v>13567</v>
      </c>
      <c r="G29" s="11">
        <f t="shared" si="0"/>
        <v>420577</v>
      </c>
    </row>
    <row r="30" spans="1:7" x14ac:dyDescent="0.2">
      <c r="A30" s="101">
        <v>46223</v>
      </c>
      <c r="B30" s="38" t="s">
        <v>53</v>
      </c>
      <c r="C30" s="65">
        <v>1316</v>
      </c>
      <c r="D30" s="106"/>
      <c r="E30" s="47"/>
      <c r="F30" s="23">
        <f t="shared" si="1"/>
        <v>14883</v>
      </c>
      <c r="G30" s="11">
        <f t="shared" si="0"/>
        <v>461373</v>
      </c>
    </row>
    <row r="31" spans="1:7" x14ac:dyDescent="0.2">
      <c r="A31" s="101">
        <v>46224</v>
      </c>
      <c r="B31" s="37"/>
      <c r="C31" s="100"/>
      <c r="D31" s="106"/>
      <c r="E31" s="47">
        <v>381</v>
      </c>
      <c r="F31" s="23">
        <f t="shared" si="1"/>
        <v>14502</v>
      </c>
      <c r="G31" s="11">
        <f t="shared" si="0"/>
        <v>449562</v>
      </c>
    </row>
    <row r="32" spans="1:7" x14ac:dyDescent="0.2">
      <c r="A32" s="101">
        <v>46225</v>
      </c>
      <c r="B32" s="38"/>
      <c r="C32" s="65"/>
      <c r="D32" s="106"/>
      <c r="E32" s="47">
        <v>352</v>
      </c>
      <c r="F32" s="23">
        <f t="shared" si="1"/>
        <v>14150</v>
      </c>
      <c r="G32" s="11">
        <f t="shared" si="0"/>
        <v>438650</v>
      </c>
    </row>
    <row r="33" spans="1:7" x14ac:dyDescent="0.2">
      <c r="A33" s="101">
        <v>46226</v>
      </c>
      <c r="B33" s="38"/>
      <c r="C33" s="36"/>
      <c r="D33" s="106"/>
      <c r="E33" s="47"/>
      <c r="F33" s="23">
        <f>F32+C33-E33</f>
        <v>14150</v>
      </c>
      <c r="G33" s="11">
        <f t="shared" si="0"/>
        <v>438650</v>
      </c>
    </row>
    <row r="34" spans="1:7" x14ac:dyDescent="0.2">
      <c r="A34" s="101">
        <v>46227</v>
      </c>
      <c r="B34" s="38"/>
      <c r="C34" s="36"/>
      <c r="D34" s="106"/>
      <c r="E34" s="47"/>
      <c r="F34" s="23">
        <f>F33+C34-E34</f>
        <v>14150</v>
      </c>
      <c r="G34" s="11">
        <f t="shared" si="0"/>
        <v>438650</v>
      </c>
    </row>
    <row r="35" spans="1:7" x14ac:dyDescent="0.2">
      <c r="A35" s="101">
        <v>46228</v>
      </c>
      <c r="B35" s="41"/>
      <c r="C35" s="36"/>
      <c r="D35" s="106"/>
      <c r="E35" s="47"/>
      <c r="F35" s="23">
        <f t="shared" si="1"/>
        <v>14150</v>
      </c>
      <c r="G35" s="11">
        <f t="shared" si="0"/>
        <v>438650</v>
      </c>
    </row>
    <row r="36" spans="1:7" ht="13.5" customHeight="1" x14ac:dyDescent="0.2">
      <c r="A36" s="101">
        <v>46229</v>
      </c>
      <c r="B36" s="38"/>
      <c r="C36" s="36"/>
      <c r="D36" s="105"/>
      <c r="E36" s="47"/>
      <c r="F36" s="23">
        <f>F35+C36-E36</f>
        <v>14150</v>
      </c>
      <c r="G36" s="11">
        <f t="shared" si="0"/>
        <v>438650</v>
      </c>
    </row>
    <row r="37" spans="1:7" x14ac:dyDescent="0.2">
      <c r="A37" s="101">
        <v>46230</v>
      </c>
      <c r="B37" s="38"/>
      <c r="C37" s="95"/>
      <c r="D37" s="105"/>
      <c r="E37" s="47"/>
      <c r="F37" s="23">
        <f t="shared" si="1"/>
        <v>14150</v>
      </c>
      <c r="G37" s="11">
        <f t="shared" si="0"/>
        <v>438650</v>
      </c>
    </row>
    <row r="38" spans="1:7" x14ac:dyDescent="0.2">
      <c r="A38" s="101">
        <v>46231</v>
      </c>
      <c r="B38" s="38" t="s">
        <v>54</v>
      </c>
      <c r="C38" s="95">
        <v>1120</v>
      </c>
      <c r="D38" s="105"/>
      <c r="E38" s="47">
        <v>596</v>
      </c>
      <c r="F38" s="23">
        <f t="shared" si="1"/>
        <v>14674</v>
      </c>
      <c r="G38" s="11">
        <f t="shared" si="0"/>
        <v>454894</v>
      </c>
    </row>
    <row r="39" spans="1:7" x14ac:dyDescent="0.2">
      <c r="A39" s="101">
        <v>46232</v>
      </c>
      <c r="B39" s="38"/>
      <c r="C39" s="36"/>
      <c r="D39" s="105"/>
      <c r="E39" s="47">
        <v>846</v>
      </c>
      <c r="F39" s="23">
        <f>F38+C39-E39</f>
        <v>13828</v>
      </c>
      <c r="G39" s="11">
        <f t="shared" si="0"/>
        <v>428668</v>
      </c>
    </row>
    <row r="40" spans="1:7" x14ac:dyDescent="0.2">
      <c r="A40" s="101">
        <v>46233</v>
      </c>
      <c r="B40" s="38"/>
      <c r="C40" s="95"/>
      <c r="D40" s="105"/>
      <c r="E40" s="47">
        <v>333</v>
      </c>
      <c r="F40" s="23">
        <f>F39+C40-E40</f>
        <v>13495</v>
      </c>
      <c r="G40" s="11">
        <f t="shared" si="0"/>
        <v>418345</v>
      </c>
    </row>
    <row r="41" spans="1:7" ht="12.75" thickBot="1" x14ac:dyDescent="0.25">
      <c r="A41" s="102">
        <v>46234</v>
      </c>
      <c r="B41" s="110" t="s">
        <v>55</v>
      </c>
      <c r="C41" s="111">
        <v>1134</v>
      </c>
      <c r="D41" s="105"/>
      <c r="E41" s="47">
        <v>212</v>
      </c>
      <c r="F41" s="23">
        <f>F40+C41-E41</f>
        <v>14417</v>
      </c>
      <c r="G41" s="11">
        <f t="shared" ref="G41" si="2">F41*$F$52</f>
        <v>446927</v>
      </c>
    </row>
    <row r="42" spans="1:7" ht="12.75" thickBot="1" x14ac:dyDescent="0.25">
      <c r="A42" s="82"/>
      <c r="B42" s="83" t="s">
        <v>13</v>
      </c>
      <c r="C42" s="84">
        <f>SUM(C11:C41)</f>
        <v>5025</v>
      </c>
      <c r="D42" s="85"/>
      <c r="E42" s="86">
        <f>SUM(E10:E41)</f>
        <v>4870</v>
      </c>
      <c r="F42" s="87">
        <f>SUM(F11:F41)</f>
        <v>428319</v>
      </c>
      <c r="G42" s="88">
        <f>SUM(G11:G41)</f>
        <v>13277889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ht="12" customHeight="1" x14ac:dyDescent="0.2">
      <c r="B44" s="89" t="s">
        <v>35</v>
      </c>
      <c r="C44" s="12">
        <f>C42*F50</f>
        <v>552750</v>
      </c>
      <c r="D44" s="12" t="s">
        <v>36</v>
      </c>
      <c r="E44" s="12">
        <f>E42*F51</f>
        <v>535700</v>
      </c>
    </row>
    <row r="45" spans="1:7" x14ac:dyDescent="0.2">
      <c r="B45" s="90"/>
      <c r="C45" s="91"/>
      <c r="D45" s="91"/>
      <c r="E45" s="91"/>
    </row>
    <row r="46" spans="1:7" x14ac:dyDescent="0.2">
      <c r="B46" s="92" t="s">
        <v>37</v>
      </c>
      <c r="C46" s="93">
        <f>C44+E44</f>
        <v>1088450</v>
      </c>
      <c r="D46" s="91"/>
      <c r="E46" s="91"/>
    </row>
    <row r="48" spans="1:7" ht="12.75" thickBot="1" x14ac:dyDescent="0.25"/>
    <row r="49" spans="4:7" x14ac:dyDescent="0.2">
      <c r="D49" s="49"/>
      <c r="E49" s="50" t="s">
        <v>10</v>
      </c>
      <c r="F49" s="51" t="s">
        <v>11</v>
      </c>
      <c r="G49" s="52" t="s">
        <v>12</v>
      </c>
    </row>
    <row r="50" spans="4:7" ht="25.5" customHeight="1" x14ac:dyDescent="0.2">
      <c r="D50" s="41" t="s">
        <v>2</v>
      </c>
      <c r="E50" s="12">
        <f>C42</f>
        <v>5025</v>
      </c>
      <c r="F50" s="13">
        <v>110</v>
      </c>
      <c r="G50" s="66">
        <f>E50*F50</f>
        <v>552750</v>
      </c>
    </row>
    <row r="51" spans="4:7" x14ac:dyDescent="0.2">
      <c r="D51" s="41" t="s">
        <v>3</v>
      </c>
      <c r="E51" s="12">
        <f>E42</f>
        <v>4870</v>
      </c>
      <c r="F51" s="13">
        <v>110</v>
      </c>
      <c r="G51" s="66">
        <f t="shared" ref="G51:G52" si="3">E51*F51</f>
        <v>535700</v>
      </c>
    </row>
    <row r="52" spans="4:7" ht="20.25" customHeight="1" x14ac:dyDescent="0.2">
      <c r="D52" s="41" t="s">
        <v>9</v>
      </c>
      <c r="E52" s="97">
        <f>F42</f>
        <v>428319</v>
      </c>
      <c r="F52" s="98">
        <v>31</v>
      </c>
      <c r="G52" s="66">
        <f t="shared" si="3"/>
        <v>13277889</v>
      </c>
    </row>
    <row r="53" spans="4:7" ht="13.5" customHeight="1" x14ac:dyDescent="0.2">
      <c r="D53" s="41"/>
      <c r="E53" s="12"/>
      <c r="F53" s="13"/>
      <c r="G53" s="53"/>
    </row>
    <row r="54" spans="4:7" ht="11.25" customHeight="1" x14ac:dyDescent="0.2">
      <c r="D54" s="54" t="s">
        <v>18</v>
      </c>
      <c r="E54" s="12">
        <v>190</v>
      </c>
      <c r="F54" s="13">
        <v>900</v>
      </c>
      <c r="G54" s="53">
        <f>F54*E54</f>
        <v>171000</v>
      </c>
    </row>
    <row r="55" spans="4:7" ht="12.75" thickBot="1" x14ac:dyDescent="0.25">
      <c r="D55" s="55"/>
      <c r="E55" s="56"/>
      <c r="F55" s="57"/>
      <c r="G55" s="58"/>
    </row>
    <row r="56" spans="4:7" ht="12.75" thickBot="1" x14ac:dyDescent="0.25">
      <c r="D56" s="59"/>
      <c r="E56" s="60"/>
      <c r="F56" s="62" t="s">
        <v>37</v>
      </c>
      <c r="G56" s="61">
        <f>SUM(G50:G55)</f>
        <v>14537339</v>
      </c>
    </row>
    <row r="57" spans="4:7" ht="12.75" customHeight="1" x14ac:dyDescent="0.2">
      <c r="E57" s="16"/>
      <c r="F57" s="17"/>
      <c r="G57" s="18"/>
    </row>
  </sheetData>
  <mergeCells count="5">
    <mergeCell ref="A8:A9"/>
    <mergeCell ref="B8:C8"/>
    <mergeCell ref="D8:E8"/>
    <mergeCell ref="F8:F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JANUARY'26</vt:lpstr>
      <vt:lpstr>February'26</vt:lpstr>
      <vt:lpstr>Mart'26</vt:lpstr>
      <vt:lpstr>April'26</vt:lpstr>
      <vt:lpstr>May'26</vt:lpstr>
      <vt:lpstr>June'26</vt:lpstr>
      <vt:lpstr>July'26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Özkan Yaman</cp:lastModifiedBy>
  <cp:lastPrinted>2025-11-07T12:54:34Z</cp:lastPrinted>
  <dcterms:created xsi:type="dcterms:W3CDTF">2019-12-02T09:28:44Z</dcterms:created>
  <dcterms:modified xsi:type="dcterms:W3CDTF">2026-08-03T09:55:33Z</dcterms:modified>
</cp:coreProperties>
</file>