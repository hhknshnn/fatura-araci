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harun/Desktop/COCO/"/>
    </mc:Choice>
  </mc:AlternateContent>
  <xr:revisionPtr revIDLastSave="0" documentId="13_ncr:1_{8FF6B2E0-D225-B14C-B611-6DA57C69A873}" xr6:coauthVersionLast="47" xr6:coauthVersionMax="47" xr10:uidLastSave="{00000000-0000-0000-0000-000000000000}"/>
  <bookViews>
    <workbookView xWindow="-240" yWindow="600" windowWidth="29040" windowHeight="15840" activeTab="1" xr2:uid="{00000000-000D-0000-FFFF-FFFF00000000}"/>
  </bookViews>
  <sheets>
    <sheet name="Giriş" sheetId="2" r:id="rId1"/>
    <sheet name="Çıkış" sheetId="1" r:id="rId2"/>
  </sheets>
  <definedNames>
    <definedName name="_xlnm._FilterDatabase" localSheetId="1" hidden="1">Çıkış!$A$1:$G$43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" l="1"/>
  <c r="D20" i="2"/>
  <c r="G63" i="1"/>
  <c r="C18" i="2" l="1"/>
  <c r="G61" i="1" l="1"/>
</calcChain>
</file>

<file path=xl/sharedStrings.xml><?xml version="1.0" encoding="utf-8"?>
<sst xmlns="http://schemas.openxmlformats.org/spreadsheetml/2006/main" count="268" uniqueCount="100">
  <si>
    <t>№</t>
  </si>
  <si>
    <t>Номер машины</t>
  </si>
  <si>
    <t>HUB Logistics</t>
  </si>
  <si>
    <t>Madame Coco</t>
  </si>
  <si>
    <t>*0000530575*</t>
  </si>
  <si>
    <t>*0000530574*</t>
  </si>
  <si>
    <t>*0000530568*</t>
  </si>
  <si>
    <t>Mega Silk Way</t>
  </si>
  <si>
    <t>*0000530572*</t>
  </si>
  <si>
    <t>*0000530573*</t>
  </si>
  <si>
    <t>*0000530571*</t>
  </si>
  <si>
    <t>*0000530566*</t>
  </si>
  <si>
    <t>*0000530564*</t>
  </si>
  <si>
    <t>*0000530567*</t>
  </si>
  <si>
    <t>*0000530565*</t>
  </si>
  <si>
    <t>*0000559700*</t>
  </si>
  <si>
    <t>*0000530560*</t>
  </si>
  <si>
    <t>*0000530559*</t>
  </si>
  <si>
    <t>*0000530562*</t>
  </si>
  <si>
    <t>*0000530557*</t>
  </si>
  <si>
    <t>*0000530558*</t>
  </si>
  <si>
    <t>*0000530555*</t>
  </si>
  <si>
    <t>*0000530554*</t>
  </si>
  <si>
    <t>*0000530553*</t>
  </si>
  <si>
    <t>*0000530550*</t>
  </si>
  <si>
    <t>*0000530549*</t>
  </si>
  <si>
    <t>*0000530552*</t>
  </si>
  <si>
    <t>*0000530547*</t>
  </si>
  <si>
    <t>*0000530545*</t>
  </si>
  <si>
    <t>*0000530546*</t>
  </si>
  <si>
    <t>*0000530542*</t>
  </si>
  <si>
    <t>*0000530544*</t>
  </si>
  <si>
    <t>*0000530569*</t>
  </si>
  <si>
    <t>*0000530540*</t>
  </si>
  <si>
    <t>*0000530541*</t>
  </si>
  <si>
    <t>*0000530538*</t>
  </si>
  <si>
    <t>*0000530548*</t>
  </si>
  <si>
    <t>*0000530539*</t>
  </si>
  <si>
    <t>*0000530531*</t>
  </si>
  <si>
    <t>*0000530529*</t>
  </si>
  <si>
    <t>*0000530530*</t>
  </si>
  <si>
    <t>*0000530534*</t>
  </si>
  <si>
    <t>*0000530532*</t>
  </si>
  <si>
    <t>*0000530536*</t>
  </si>
  <si>
    <t>*0000530535*</t>
  </si>
  <si>
    <t>*0000530528*</t>
  </si>
  <si>
    <t>*0000530533*</t>
  </si>
  <si>
    <t>*0000530527*</t>
  </si>
  <si>
    <t>*0000530520*</t>
  </si>
  <si>
    <t>*0000530522*</t>
  </si>
  <si>
    <t>*0000530521*</t>
  </si>
  <si>
    <t>*0000530526*</t>
  </si>
  <si>
    <t>*0000559695*</t>
  </si>
  <si>
    <t>*0000559698*</t>
  </si>
  <si>
    <t>*0000559696*</t>
  </si>
  <si>
    <t>*0000530518*</t>
  </si>
  <si>
    <t>*0000530519*</t>
  </si>
  <si>
    <t>*0000559693*</t>
  </si>
  <si>
    <t>*0000559697*</t>
  </si>
  <si>
    <t>*0000559689*</t>
  </si>
  <si>
    <t>*0000559687*</t>
  </si>
  <si>
    <t>*0000559688*</t>
  </si>
  <si>
    <t>*0000559691*</t>
  </si>
  <si>
    <t>*0000559690*</t>
  </si>
  <si>
    <t>Khan Shatyr Mall</t>
  </si>
  <si>
    <t>Atrau Infinity</t>
  </si>
  <si>
    <t>Mega Center</t>
  </si>
  <si>
    <t>Aktau Mall</t>
  </si>
  <si>
    <t>Shymkent Diamond</t>
  </si>
  <si>
    <t>Aport East</t>
  </si>
  <si>
    <t>Mega Park</t>
  </si>
  <si>
    <t>Sputnik</t>
  </si>
  <si>
    <t>Kontanay Mart</t>
  </si>
  <si>
    <t>Kokshetau Rio</t>
  </si>
  <si>
    <t>Store</t>
  </si>
  <si>
    <t>Gönderici</t>
  </si>
  <si>
    <t>Alıcı</t>
  </si>
  <si>
    <t>İrsaliye No</t>
  </si>
  <si>
    <t>Palet Sayısı</t>
  </si>
  <si>
    <t>Koli Sayısı</t>
  </si>
  <si>
    <t>Tarih</t>
  </si>
  <si>
    <t>Başlangıç Stoğu Sayımı</t>
  </si>
  <si>
    <t>Invoice NO</t>
  </si>
  <si>
    <t>Dosyada Invoice Numarası Yoktu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</si>
  <si>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</si>
  <si>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</si>
  <si>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</si>
  <si>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</si>
  <si>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</si>
  <si>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</si>
  <si>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</si>
  <si>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</si>
  <si>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</si>
  <si>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</si>
  <si>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</si>
  <si>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</si>
  <si>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</si>
  <si>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</si>
  <si>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Birim Maliyet</t>
  </si>
  <si>
    <t>Toplam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</si>
</sst>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3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/>
    <xf numFmtId="0" fontId="1" fillId="3" borderId="0" xfId="0" applyFont="1" applyFill="1"/>
    <xf numFmtId="0" fontId="0" fillId="3" borderId="0" xfId="0" applyFill="1"/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14" fontId="3" fillId="3" borderId="6" xfId="0" applyNumberFormat="1" applyFont="1" applyFill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0" fontId="8" fillId="0" borderId="3" xfId="0" applyFont="1" applyBorder="1" applyAlignment="1">
      <alignment horizontal="center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486A-8352-42C8-841F-7728CF4F6885}">
  <dimension ref="A1:E23"/>
  <sheetViews>
    <sheetView workbookViewId="0">
      <selection activeCell="C20" sqref="C20"/>
    </sheetView>
  </sheetViews>
  <sheetFormatPr baseColWidth="10" defaultColWidth="8.83203125" defaultRowHeight="18" x14ac:dyDescent="0.2"/>
  <cols>
    <col min="1" max="1" width="5.6640625" style="30" customWidth="1"/>
    <col min="2" max="2" width="18" customWidth="1"/>
    <col min="3" max="3" width="13" bestFit="1" customWidth="1"/>
    <col min="4" max="4" width="33.6640625" style="34" bestFit="1" customWidth="1"/>
    <col min="5" max="5" width="23.6640625" style="34" customWidth="1"/>
  </cols>
  <sheetData>
    <row r="1" spans="1:5" s="28" customFormat="1" x14ac:dyDescent="0.2">
      <c r="A1" s="27" t="s">
        <v>0</v>
      </c>
      <c r="B1" s="8" t="s">
        <v>80</v>
      </c>
      <c r="C1" s="8" t="s">
        <v>79</v>
      </c>
      <c r="D1" s="8" t="s">
        <v>82</v>
      </c>
      <c r="E1" s="8" t="s">
        <v>1</v>
      </c>
    </row>
    <row r="2" spans="1:5" x14ac:dyDescent="0.2">
      <c r="A2" s="30">
        <v>1</v>
      </c>
      <c r="B2" s="9">
        <v>46023</v>
      </c>
      <c r="C2" s="29">
        <v>13354</v>
      </c>
      <c r="D2" s="33" t="s">
        <v>81</v>
      </c>
    </row>
    <row r="3" spans="1:5" x14ac:dyDescent="0.2">
      <c r="A3" s="29">
        <v>2</v>
      </c>
      <c r="B3" s="9">
        <v>46027</v>
      </c>
      <c r="C3" s="29">
        <v>1187</v>
      </c>
      <c r="D3" s="33" t="s">
        <v>83</v>
      </c>
      <c r="E3" s="33"/>
    </row>
    <row r="4" spans="1:5" x14ac:dyDescent="0.2">
      <c r="A4" s="29">
        <v>3</v>
      </c>
      <c r="B4" s="9">
        <v>46027</v>
      </c>
      <c r="C4" s="29">
        <v>1337</v>
      </c>
      <c r="D4" s="33" t="s">
        <v>84</v>
      </c>
      <c r="E4" s="33"/>
    </row>
    <row r="5" spans="1:5" x14ac:dyDescent="0.2">
      <c r="A5" s="29">
        <v>4</v>
      </c>
      <c r="B5" s="9">
        <v>46027</v>
      </c>
      <c r="C5" s="29">
        <v>1609</v>
      </c>
      <c r="D5" s="33" t="s">
        <v>85</v>
      </c>
      <c r="E5" s="33"/>
    </row>
    <row r="6" spans="1:5" x14ac:dyDescent="0.2">
      <c r="A6" s="29">
        <v>5</v>
      </c>
      <c r="B6" s="9">
        <v>46027</v>
      </c>
      <c r="C6" s="29">
        <v>1308</v>
      </c>
      <c r="D6" s="33" t="s">
        <v>86</v>
      </c>
      <c r="E6" s="33"/>
    </row>
    <row r="7" spans="1:5" x14ac:dyDescent="0.2">
      <c r="A7" s="29">
        <v>6</v>
      </c>
      <c r="B7" s="9">
        <v>46027</v>
      </c>
      <c r="C7" s="29">
        <v>1114</v>
      </c>
      <c r="D7" s="33" t="s">
        <v>87</v>
      </c>
      <c r="E7" s="33"/>
    </row>
    <row r="8" spans="1:5" x14ac:dyDescent="0.2">
      <c r="A8" s="29">
        <v>7</v>
      </c>
      <c r="B8" s="9">
        <v>46027</v>
      </c>
      <c r="C8" s="29">
        <v>65</v>
      </c>
      <c r="D8" s="33" t="s">
        <v>88</v>
      </c>
      <c r="E8" s="33"/>
    </row>
    <row r="9" spans="1:5" x14ac:dyDescent="0.2">
      <c r="A9" s="29">
        <v>8</v>
      </c>
      <c r="B9" s="9">
        <v>46027</v>
      </c>
      <c r="C9" s="29">
        <v>1568</v>
      </c>
      <c r="D9" s="33" t="s">
        <v>89</v>
      </c>
      <c r="E9" s="33"/>
    </row>
    <row r="10" spans="1:5" x14ac:dyDescent="0.2">
      <c r="A10" s="29">
        <v>9</v>
      </c>
      <c r="B10" s="9">
        <v>46027</v>
      </c>
      <c r="C10" s="29">
        <v>1022</v>
      </c>
      <c r="D10" s="33" t="s">
        <v>90</v>
      </c>
      <c r="E10" s="33"/>
    </row>
    <row r="11" spans="1:5" x14ac:dyDescent="0.2">
      <c r="A11" s="29">
        <v>10</v>
      </c>
      <c r="B11" s="9">
        <v>46027</v>
      </c>
      <c r="C11" s="29">
        <v>943</v>
      </c>
      <c r="D11" s="33" t="s">
        <v>91</v>
      </c>
      <c r="E11" s="33"/>
    </row>
    <row r="12" spans="1:5" x14ac:dyDescent="0.2">
      <c r="A12" s="29">
        <v>11</v>
      </c>
      <c r="B12" s="9">
        <v>46027</v>
      </c>
      <c r="C12" s="29">
        <v>134</v>
      </c>
      <c r="D12" s="33" t="s">
        <v>92</v>
      </c>
      <c r="E12" s="33"/>
    </row>
    <row r="13" spans="1:5" x14ac:dyDescent="0.2">
      <c r="A13" s="29">
        <v>12</v>
      </c>
      <c r="B13" s="9">
        <v>46027</v>
      </c>
      <c r="C13" s="29">
        <v>1131</v>
      </c>
      <c r="D13" s="33" t="s">
        <v>93</v>
      </c>
      <c r="E13" s="33"/>
    </row>
    <row r="14" spans="1:5" x14ac:dyDescent="0.2">
      <c r="A14" s="29">
        <v>13</v>
      </c>
      <c r="B14" s="9">
        <v>46027</v>
      </c>
      <c r="C14" s="29">
        <v>490</v>
      </c>
      <c r="D14" s="33" t="s">
        <v>94</v>
      </c>
      <c r="E14" s="33"/>
    </row>
    <row r="15" spans="1:5" x14ac:dyDescent="0.2">
      <c r="A15" s="29">
        <v>14</v>
      </c>
      <c r="B15" s="9">
        <v>46027</v>
      </c>
      <c r="C15" s="29">
        <v>724</v>
      </c>
      <c r="D15" s="33" t="s">
        <v>95</v>
      </c>
      <c r="E15" s="33"/>
    </row>
    <row r="16" spans="1:5" x14ac:dyDescent="0.2">
      <c r="A16" s="29">
        <v>15</v>
      </c>
      <c r="B16" s="9">
        <v>46027</v>
      </c>
      <c r="C16" s="29">
        <v>1285</v>
      </c>
      <c r="D16" s="33" t="s">
        <v>96</v>
      </c>
      <c r="E16" s="33"/>
    </row>
    <row r="17" spans="1:5" x14ac:dyDescent="0.2">
      <c r="A17" s="29">
        <v>16</v>
      </c>
      <c r="B17" s="9">
        <v>46027</v>
      </c>
      <c r="C17" s="29">
        <v>1058</v>
      </c>
      <c r="D17" s="33" t="s">
        <v>97</v>
      </c>
      <c r="E17" s="33"/>
    </row>
    <row r="18" spans="1:5" x14ac:dyDescent="0.2">
      <c r="A18" s="29"/>
      <c r="B18" s="10"/>
      <c r="C18" s="10">
        <f>SUM(C2:C17)</f>
        <v>28329</v>
      </c>
      <c r="D18" s="33"/>
      <c r="E18" s="33"/>
    </row>
    <row r="19" spans="1:5" x14ac:dyDescent="0.2">
      <c r="A19" s="29"/>
      <c r="B19" s="5" t="s">
        <v>98</v>
      </c>
      <c r="C19" s="5">
        <v>110</v>
      </c>
      <c r="D19" s="5"/>
      <c r="E19" s="33"/>
    </row>
    <row r="20" spans="1:5" x14ac:dyDescent="0.2">
      <c r="A20" s="29"/>
      <c r="B20" s="5" t="s">
        <v>99</v>
      </c>
      <c r="C20" s="36">
        <f>C18*C19</f>
        <v>3116190</v>
      </c>
      <c r="D20" s="36">
        <f>D18*C19</f>
        <v>0</v>
      </c>
      <c r="E20" s="33"/>
    </row>
    <row r="21" spans="1:5" x14ac:dyDescent="0.2">
      <c r="A21" s="29"/>
      <c r="B21" s="10"/>
      <c r="C21" s="10"/>
      <c r="D21" s="33"/>
      <c r="E21" s="33"/>
    </row>
    <row r="22" spans="1:5" x14ac:dyDescent="0.2">
      <c r="A22" s="29"/>
      <c r="B22" s="10"/>
      <c r="C22" s="10"/>
      <c r="D22" s="33"/>
      <c r="E22" s="33"/>
    </row>
    <row r="23" spans="1:5" x14ac:dyDescent="0.2">
      <c r="A23" s="29"/>
      <c r="B23" s="10"/>
      <c r="C23" s="10"/>
      <c r="D23" s="33"/>
      <c r="E23" s="33"/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topLeftCell="A50" workbookViewId="0">
      <selection activeCell="D73" sqref="D73"/>
    </sheetView>
  </sheetViews>
  <sheetFormatPr baseColWidth="10" defaultColWidth="8.83203125" defaultRowHeight="16" x14ac:dyDescent="0.2"/>
  <cols>
    <col min="1" max="1" width="15.6640625" style="6" customWidth="1"/>
    <col min="2" max="2" width="15.6640625" style="7" customWidth="1"/>
    <col min="3" max="3" width="15.6640625" style="6" customWidth="1"/>
    <col min="4" max="4" width="18.6640625" style="7" customWidth="1"/>
    <col min="5" max="7" width="15.6640625" style="6" customWidth="1"/>
    <col min="8" max="8" width="36.5" style="2" customWidth="1"/>
    <col min="9" max="9" width="9.1640625" style="2"/>
    <col min="10" max="15" width="9.1640625" style="1"/>
  </cols>
  <sheetData>
    <row r="1" spans="1:7" ht="29.25" customHeight="1" x14ac:dyDescent="0.2">
      <c r="A1" s="22" t="s">
        <v>80</v>
      </c>
      <c r="B1" s="22" t="s">
        <v>75</v>
      </c>
      <c r="C1" s="22" t="s">
        <v>76</v>
      </c>
      <c r="D1" s="22" t="s">
        <v>74</v>
      </c>
      <c r="E1" s="22" t="s">
        <v>77</v>
      </c>
      <c r="F1" s="22" t="s">
        <v>78</v>
      </c>
      <c r="G1" s="22" t="s">
        <v>79</v>
      </c>
    </row>
    <row r="2" spans="1:7" x14ac:dyDescent="0.2">
      <c r="A2" s="31">
        <v>46031</v>
      </c>
      <c r="B2" s="26" t="s">
        <v>2</v>
      </c>
      <c r="C2" s="26" t="s">
        <v>3</v>
      </c>
      <c r="D2" s="26" t="s">
        <v>64</v>
      </c>
      <c r="E2" s="25" t="s">
        <v>4</v>
      </c>
      <c r="F2" s="25">
        <v>5</v>
      </c>
      <c r="G2" s="25">
        <v>157</v>
      </c>
    </row>
    <row r="3" spans="1:7" x14ac:dyDescent="0.2">
      <c r="A3" s="3">
        <v>46031</v>
      </c>
      <c r="B3" s="4" t="s">
        <v>2</v>
      </c>
      <c r="C3" s="4" t="s">
        <v>3</v>
      </c>
      <c r="D3" s="4" t="s">
        <v>65</v>
      </c>
      <c r="E3" s="5" t="s">
        <v>5</v>
      </c>
      <c r="F3" s="5">
        <v>8</v>
      </c>
      <c r="G3" s="5">
        <v>188</v>
      </c>
    </row>
    <row r="4" spans="1:7" x14ac:dyDescent="0.2">
      <c r="A4" s="3">
        <v>46031</v>
      </c>
      <c r="B4" s="4" t="s">
        <v>2</v>
      </c>
      <c r="C4" s="4" t="s">
        <v>3</v>
      </c>
      <c r="D4" s="4" t="s">
        <v>66</v>
      </c>
      <c r="E4" s="5" t="s">
        <v>6</v>
      </c>
      <c r="F4" s="5">
        <v>14</v>
      </c>
      <c r="G4" s="5">
        <v>446</v>
      </c>
    </row>
    <row r="5" spans="1:7" x14ac:dyDescent="0.2">
      <c r="A5" s="3">
        <v>46031</v>
      </c>
      <c r="B5" s="4" t="s">
        <v>2</v>
      </c>
      <c r="C5" s="4" t="s">
        <v>3</v>
      </c>
      <c r="D5" s="4" t="s">
        <v>7</v>
      </c>
      <c r="E5" s="5" t="s">
        <v>8</v>
      </c>
      <c r="F5" s="5">
        <v>15</v>
      </c>
      <c r="G5" s="5">
        <v>511</v>
      </c>
    </row>
    <row r="6" spans="1:7" ht="17" thickBot="1" x14ac:dyDescent="0.25">
      <c r="A6" s="19">
        <v>46031</v>
      </c>
      <c r="B6" s="20" t="s">
        <v>2</v>
      </c>
      <c r="C6" s="20" t="s">
        <v>3</v>
      </c>
      <c r="D6" s="20" t="s">
        <v>67</v>
      </c>
      <c r="E6" s="21" t="s">
        <v>9</v>
      </c>
      <c r="F6" s="21">
        <v>5</v>
      </c>
      <c r="G6" s="21">
        <v>139</v>
      </c>
    </row>
    <row r="7" spans="1:7" x14ac:dyDescent="0.2">
      <c r="A7" s="16">
        <v>46034</v>
      </c>
      <c r="B7" s="17" t="s">
        <v>2</v>
      </c>
      <c r="C7" s="17" t="s">
        <v>3</v>
      </c>
      <c r="D7" s="17" t="s">
        <v>68</v>
      </c>
      <c r="E7" s="18" t="s">
        <v>10</v>
      </c>
      <c r="F7" s="18">
        <v>5</v>
      </c>
      <c r="G7" s="18">
        <v>138</v>
      </c>
    </row>
    <row r="8" spans="1:7" x14ac:dyDescent="0.2">
      <c r="A8" s="3">
        <v>46034</v>
      </c>
      <c r="B8" s="4" t="s">
        <v>2</v>
      </c>
      <c r="C8" s="4" t="s">
        <v>3</v>
      </c>
      <c r="D8" s="4" t="s">
        <v>69</v>
      </c>
      <c r="E8" s="5" t="s">
        <v>11</v>
      </c>
      <c r="F8" s="5">
        <v>5</v>
      </c>
      <c r="G8" s="5">
        <v>183</v>
      </c>
    </row>
    <row r="9" spans="1:7" x14ac:dyDescent="0.2">
      <c r="A9" s="3">
        <v>46034</v>
      </c>
      <c r="B9" s="4" t="s">
        <v>2</v>
      </c>
      <c r="C9" s="4" t="s">
        <v>3</v>
      </c>
      <c r="D9" s="4" t="s">
        <v>64</v>
      </c>
      <c r="E9" s="5" t="s">
        <v>12</v>
      </c>
      <c r="F9" s="5">
        <v>5</v>
      </c>
      <c r="G9" s="5">
        <v>152</v>
      </c>
    </row>
    <row r="10" spans="1:7" x14ac:dyDescent="0.2">
      <c r="A10" s="3">
        <v>46034</v>
      </c>
      <c r="B10" s="4" t="s">
        <v>2</v>
      </c>
      <c r="C10" s="4" t="s">
        <v>3</v>
      </c>
      <c r="D10" s="4" t="s">
        <v>70</v>
      </c>
      <c r="E10" s="5" t="s">
        <v>13</v>
      </c>
      <c r="F10" s="5">
        <v>10</v>
      </c>
      <c r="G10" s="5">
        <v>350</v>
      </c>
    </row>
    <row r="11" spans="1:7" x14ac:dyDescent="0.2">
      <c r="A11" s="3">
        <v>46034</v>
      </c>
      <c r="B11" s="4" t="s">
        <v>2</v>
      </c>
      <c r="C11" s="4" t="s">
        <v>3</v>
      </c>
      <c r="D11" s="4" t="s">
        <v>71</v>
      </c>
      <c r="E11" s="5" t="s">
        <v>14</v>
      </c>
      <c r="F11" s="5">
        <v>5</v>
      </c>
      <c r="G11" s="5">
        <v>141</v>
      </c>
    </row>
    <row r="12" spans="1:7" x14ac:dyDescent="0.2">
      <c r="A12" s="3">
        <v>46035</v>
      </c>
      <c r="B12" s="4" t="s">
        <v>2</v>
      </c>
      <c r="C12" s="4" t="s">
        <v>3</v>
      </c>
      <c r="D12" s="4" t="s">
        <v>72</v>
      </c>
      <c r="E12" s="5" t="s">
        <v>15</v>
      </c>
      <c r="F12" s="5">
        <v>7</v>
      </c>
      <c r="G12" s="5">
        <v>205</v>
      </c>
    </row>
    <row r="13" spans="1:7" x14ac:dyDescent="0.2">
      <c r="A13" s="3">
        <v>46038</v>
      </c>
      <c r="B13" s="4" t="s">
        <v>2</v>
      </c>
      <c r="C13" s="4" t="s">
        <v>3</v>
      </c>
      <c r="D13" s="4" t="s">
        <v>7</v>
      </c>
      <c r="E13" s="5" t="s">
        <v>16</v>
      </c>
      <c r="F13" s="5">
        <v>3</v>
      </c>
      <c r="G13" s="5">
        <v>50</v>
      </c>
    </row>
    <row r="14" spans="1:7" x14ac:dyDescent="0.2">
      <c r="A14" s="3">
        <v>46038</v>
      </c>
      <c r="B14" s="4" t="s">
        <v>2</v>
      </c>
      <c r="C14" s="4" t="s">
        <v>3</v>
      </c>
      <c r="D14" s="4" t="s">
        <v>66</v>
      </c>
      <c r="E14" s="5" t="s">
        <v>17</v>
      </c>
      <c r="F14" s="5">
        <v>6</v>
      </c>
      <c r="G14" s="5">
        <v>160</v>
      </c>
    </row>
    <row r="15" spans="1:7" ht="17" thickBot="1" x14ac:dyDescent="0.25">
      <c r="A15" s="19">
        <v>46038</v>
      </c>
      <c r="B15" s="20" t="s">
        <v>2</v>
      </c>
      <c r="C15" s="20" t="s">
        <v>3</v>
      </c>
      <c r="D15" s="20" t="s">
        <v>64</v>
      </c>
      <c r="E15" s="21" t="s">
        <v>18</v>
      </c>
      <c r="F15" s="21">
        <v>6</v>
      </c>
      <c r="G15" s="21">
        <v>171</v>
      </c>
    </row>
    <row r="16" spans="1:7" x14ac:dyDescent="0.2">
      <c r="A16" s="16">
        <v>46041</v>
      </c>
      <c r="B16" s="17" t="s">
        <v>2</v>
      </c>
      <c r="C16" s="17" t="s">
        <v>3</v>
      </c>
      <c r="D16" s="17" t="s">
        <v>66</v>
      </c>
      <c r="E16" s="18" t="s">
        <v>20</v>
      </c>
      <c r="F16" s="18">
        <v>10</v>
      </c>
      <c r="G16" s="18">
        <v>297</v>
      </c>
    </row>
    <row r="17" spans="1:7" x14ac:dyDescent="0.2">
      <c r="A17" s="3">
        <v>46041</v>
      </c>
      <c r="B17" s="4" t="s">
        <v>2</v>
      </c>
      <c r="C17" s="4" t="s">
        <v>3</v>
      </c>
      <c r="D17" s="4" t="s">
        <v>70</v>
      </c>
      <c r="E17" s="5" t="s">
        <v>19</v>
      </c>
      <c r="F17" s="5">
        <v>9</v>
      </c>
      <c r="G17" s="5">
        <v>280</v>
      </c>
    </row>
    <row r="18" spans="1:7" x14ac:dyDescent="0.2">
      <c r="A18" s="3">
        <v>46041</v>
      </c>
      <c r="B18" s="4" t="s">
        <v>2</v>
      </c>
      <c r="C18" s="4" t="s">
        <v>3</v>
      </c>
      <c r="D18" s="4" t="s">
        <v>69</v>
      </c>
      <c r="E18" s="5" t="s">
        <v>21</v>
      </c>
      <c r="F18" s="5">
        <v>5</v>
      </c>
      <c r="G18" s="5">
        <v>113</v>
      </c>
    </row>
    <row r="19" spans="1:7" x14ac:dyDescent="0.2">
      <c r="A19" s="3">
        <v>46042</v>
      </c>
      <c r="B19" s="4" t="s">
        <v>2</v>
      </c>
      <c r="C19" s="4" t="s">
        <v>3</v>
      </c>
      <c r="D19" s="4" t="s">
        <v>64</v>
      </c>
      <c r="E19" s="5" t="s">
        <v>22</v>
      </c>
      <c r="F19" s="5">
        <v>8</v>
      </c>
      <c r="G19" s="5">
        <v>274</v>
      </c>
    </row>
    <row r="20" spans="1:7" x14ac:dyDescent="0.2">
      <c r="A20" s="3">
        <v>46042</v>
      </c>
      <c r="B20" s="4" t="s">
        <v>2</v>
      </c>
      <c r="C20" s="4" t="s">
        <v>3</v>
      </c>
      <c r="D20" s="4" t="s">
        <v>7</v>
      </c>
      <c r="E20" s="5" t="s">
        <v>23</v>
      </c>
      <c r="F20" s="5">
        <v>8</v>
      </c>
      <c r="G20" s="5">
        <v>310</v>
      </c>
    </row>
    <row r="21" spans="1:7" x14ac:dyDescent="0.2">
      <c r="A21" s="3">
        <v>46042</v>
      </c>
      <c r="B21" s="4" t="s">
        <v>2</v>
      </c>
      <c r="C21" s="4" t="s">
        <v>3</v>
      </c>
      <c r="D21" s="4" t="s">
        <v>67</v>
      </c>
      <c r="E21" s="5" t="s">
        <v>24</v>
      </c>
      <c r="F21" s="5">
        <v>6</v>
      </c>
      <c r="G21" s="5">
        <v>129</v>
      </c>
    </row>
    <row r="22" spans="1:7" x14ac:dyDescent="0.2">
      <c r="A22" s="3">
        <v>46042</v>
      </c>
      <c r="B22" s="4" t="s">
        <v>2</v>
      </c>
      <c r="C22" s="4" t="s">
        <v>3</v>
      </c>
      <c r="D22" s="4" t="s">
        <v>68</v>
      </c>
      <c r="E22" s="5" t="s">
        <v>25</v>
      </c>
      <c r="F22" s="5">
        <v>2</v>
      </c>
      <c r="G22" s="5">
        <v>77</v>
      </c>
    </row>
    <row r="23" spans="1:7" x14ac:dyDescent="0.2">
      <c r="A23" s="3">
        <v>46042</v>
      </c>
      <c r="B23" s="4" t="s">
        <v>2</v>
      </c>
      <c r="C23" s="4" t="s">
        <v>3</v>
      </c>
      <c r="D23" s="4" t="s">
        <v>71</v>
      </c>
      <c r="E23" s="5" t="s">
        <v>26</v>
      </c>
      <c r="F23" s="5">
        <v>5</v>
      </c>
      <c r="G23" s="5">
        <v>104</v>
      </c>
    </row>
    <row r="24" spans="1:7" x14ac:dyDescent="0.2">
      <c r="A24" s="3">
        <v>46043</v>
      </c>
      <c r="B24" s="4" t="s">
        <v>2</v>
      </c>
      <c r="C24" s="4" t="s">
        <v>3</v>
      </c>
      <c r="D24" s="4" t="s">
        <v>65</v>
      </c>
      <c r="E24" s="5" t="s">
        <v>27</v>
      </c>
      <c r="F24" s="5">
        <v>12</v>
      </c>
      <c r="G24" s="5">
        <v>270</v>
      </c>
    </row>
    <row r="25" spans="1:7" x14ac:dyDescent="0.2">
      <c r="A25" s="3">
        <v>46043</v>
      </c>
      <c r="B25" s="4" t="s">
        <v>2</v>
      </c>
      <c r="C25" s="4" t="s">
        <v>3</v>
      </c>
      <c r="D25" s="4" t="s">
        <v>66</v>
      </c>
      <c r="E25" s="5" t="s">
        <v>28</v>
      </c>
      <c r="F25" s="5">
        <v>10</v>
      </c>
      <c r="G25" s="5">
        <v>332</v>
      </c>
    </row>
    <row r="26" spans="1:7" x14ac:dyDescent="0.2">
      <c r="A26" s="3">
        <v>46043</v>
      </c>
      <c r="B26" s="4" t="s">
        <v>2</v>
      </c>
      <c r="C26" s="4" t="s">
        <v>3</v>
      </c>
      <c r="D26" s="4" t="s">
        <v>70</v>
      </c>
      <c r="E26" s="5" t="s">
        <v>29</v>
      </c>
      <c r="F26" s="5">
        <v>6</v>
      </c>
      <c r="G26" s="5">
        <v>215</v>
      </c>
    </row>
    <row r="27" spans="1:7" x14ac:dyDescent="0.2">
      <c r="A27" s="3">
        <v>46043</v>
      </c>
      <c r="B27" s="4" t="s">
        <v>2</v>
      </c>
      <c r="C27" s="4" t="s">
        <v>3</v>
      </c>
      <c r="D27" s="4" t="s">
        <v>71</v>
      </c>
      <c r="E27" s="5" t="s">
        <v>30</v>
      </c>
      <c r="F27" s="5">
        <v>4</v>
      </c>
      <c r="G27" s="5">
        <v>133</v>
      </c>
    </row>
    <row r="28" spans="1:7" x14ac:dyDescent="0.2">
      <c r="A28" s="3">
        <v>46043</v>
      </c>
      <c r="B28" s="4" t="s">
        <v>2</v>
      </c>
      <c r="C28" s="4" t="s">
        <v>3</v>
      </c>
      <c r="D28" s="4" t="s">
        <v>69</v>
      </c>
      <c r="E28" s="5" t="s">
        <v>31</v>
      </c>
      <c r="F28" s="5">
        <v>4</v>
      </c>
      <c r="G28" s="5">
        <v>153</v>
      </c>
    </row>
    <row r="29" spans="1:7" x14ac:dyDescent="0.2">
      <c r="A29" s="3">
        <v>46044</v>
      </c>
      <c r="B29" s="4" t="s">
        <v>2</v>
      </c>
      <c r="C29" s="4" t="s">
        <v>3</v>
      </c>
      <c r="D29" s="4" t="s">
        <v>73</v>
      </c>
      <c r="E29" s="5" t="s">
        <v>32</v>
      </c>
      <c r="F29" s="5">
        <v>8</v>
      </c>
      <c r="G29" s="5">
        <v>208</v>
      </c>
    </row>
    <row r="30" spans="1:7" x14ac:dyDescent="0.2">
      <c r="A30" s="3">
        <v>46044</v>
      </c>
      <c r="B30" s="4" t="s">
        <v>2</v>
      </c>
      <c r="C30" s="4" t="s">
        <v>3</v>
      </c>
      <c r="D30" s="4" t="s">
        <v>64</v>
      </c>
      <c r="E30" s="5" t="s">
        <v>33</v>
      </c>
      <c r="F30" s="5">
        <v>8</v>
      </c>
      <c r="G30" s="5">
        <v>248</v>
      </c>
    </row>
    <row r="31" spans="1:7" x14ac:dyDescent="0.2">
      <c r="A31" s="3">
        <v>46044</v>
      </c>
      <c r="B31" s="4" t="s">
        <v>2</v>
      </c>
      <c r="C31" s="4" t="s">
        <v>3</v>
      </c>
      <c r="D31" s="4" t="s">
        <v>7</v>
      </c>
      <c r="E31" s="5" t="s">
        <v>34</v>
      </c>
      <c r="F31" s="5">
        <v>9</v>
      </c>
      <c r="G31" s="5">
        <v>251</v>
      </c>
    </row>
    <row r="32" spans="1:7" x14ac:dyDescent="0.2">
      <c r="A32" s="3">
        <v>46044</v>
      </c>
      <c r="B32" s="4" t="s">
        <v>2</v>
      </c>
      <c r="C32" s="4" t="s">
        <v>3</v>
      </c>
      <c r="D32" s="4" t="s">
        <v>68</v>
      </c>
      <c r="E32" s="5" t="s">
        <v>35</v>
      </c>
      <c r="F32" s="5">
        <v>7</v>
      </c>
      <c r="G32" s="5">
        <v>154</v>
      </c>
    </row>
    <row r="33" spans="1:15" x14ac:dyDescent="0.2">
      <c r="A33" s="3">
        <v>46044</v>
      </c>
      <c r="B33" s="4" t="s">
        <v>2</v>
      </c>
      <c r="C33" s="4" t="s">
        <v>3</v>
      </c>
      <c r="D33" s="4" t="s">
        <v>72</v>
      </c>
      <c r="E33" s="5" t="s">
        <v>36</v>
      </c>
      <c r="F33" s="11">
        <v>6</v>
      </c>
      <c r="G33" s="11">
        <v>153</v>
      </c>
    </row>
    <row r="34" spans="1:15" x14ac:dyDescent="0.2">
      <c r="A34" s="3">
        <v>46044</v>
      </c>
      <c r="B34" s="4" t="s">
        <v>2</v>
      </c>
      <c r="C34" s="4" t="s">
        <v>3</v>
      </c>
      <c r="D34" s="4" t="s">
        <v>67</v>
      </c>
      <c r="E34" s="5" t="s">
        <v>37</v>
      </c>
      <c r="F34" s="11">
        <v>7</v>
      </c>
      <c r="G34" s="11">
        <v>149</v>
      </c>
    </row>
    <row r="35" spans="1:15" s="15" customFormat="1" x14ac:dyDescent="0.2">
      <c r="A35" s="3">
        <v>46045</v>
      </c>
      <c r="B35" s="4" t="s">
        <v>2</v>
      </c>
      <c r="C35" s="4" t="s">
        <v>3</v>
      </c>
      <c r="D35" s="4" t="s">
        <v>66</v>
      </c>
      <c r="E35" s="5" t="s">
        <v>38</v>
      </c>
      <c r="F35" s="12">
        <v>6</v>
      </c>
      <c r="G35" s="12">
        <v>214</v>
      </c>
      <c r="H35" s="13"/>
      <c r="I35" s="13"/>
      <c r="J35" s="14"/>
      <c r="K35" s="14"/>
      <c r="L35" s="14"/>
      <c r="M35" s="14"/>
      <c r="N35" s="14"/>
      <c r="O35" s="14"/>
    </row>
    <row r="36" spans="1:15" s="15" customFormat="1" x14ac:dyDescent="0.2">
      <c r="A36" s="3">
        <v>46045</v>
      </c>
      <c r="B36" s="4" t="s">
        <v>2</v>
      </c>
      <c r="C36" s="4" t="s">
        <v>3</v>
      </c>
      <c r="D36" s="4" t="s">
        <v>69</v>
      </c>
      <c r="E36" s="5" t="s">
        <v>39</v>
      </c>
      <c r="F36" s="12">
        <v>4</v>
      </c>
      <c r="G36" s="12">
        <v>93</v>
      </c>
      <c r="H36" s="13"/>
      <c r="I36" s="13"/>
      <c r="J36" s="14"/>
      <c r="K36" s="14"/>
      <c r="L36" s="14"/>
      <c r="M36" s="14"/>
      <c r="N36" s="14"/>
      <c r="O36" s="14"/>
    </row>
    <row r="37" spans="1:15" s="15" customFormat="1" x14ac:dyDescent="0.2">
      <c r="A37" s="3">
        <v>46045</v>
      </c>
      <c r="B37" s="4" t="s">
        <v>2</v>
      </c>
      <c r="C37" s="4" t="s">
        <v>3</v>
      </c>
      <c r="D37" s="4" t="s">
        <v>71</v>
      </c>
      <c r="E37" s="5" t="s">
        <v>40</v>
      </c>
      <c r="F37" s="12">
        <v>4</v>
      </c>
      <c r="G37" s="12">
        <v>119</v>
      </c>
      <c r="H37" s="13"/>
      <c r="I37" s="13"/>
      <c r="J37" s="14"/>
      <c r="K37" s="14"/>
      <c r="L37" s="14"/>
      <c r="M37" s="14"/>
      <c r="N37" s="14"/>
      <c r="O37" s="14"/>
    </row>
    <row r="38" spans="1:15" s="15" customFormat="1" x14ac:dyDescent="0.2">
      <c r="A38" s="3">
        <v>46045</v>
      </c>
      <c r="B38" s="4" t="s">
        <v>2</v>
      </c>
      <c r="C38" s="4" t="s">
        <v>3</v>
      </c>
      <c r="D38" s="4" t="s">
        <v>68</v>
      </c>
      <c r="E38" s="5" t="s">
        <v>41</v>
      </c>
      <c r="F38" s="12">
        <v>2</v>
      </c>
      <c r="G38" s="12">
        <v>65</v>
      </c>
      <c r="H38" s="13"/>
      <c r="I38" s="13"/>
      <c r="J38" s="14"/>
      <c r="K38" s="14"/>
      <c r="L38" s="14"/>
      <c r="M38" s="14"/>
      <c r="N38" s="14"/>
      <c r="O38" s="14"/>
    </row>
    <row r="39" spans="1:15" s="15" customFormat="1" x14ac:dyDescent="0.2">
      <c r="A39" s="3">
        <v>46045</v>
      </c>
      <c r="B39" s="4" t="s">
        <v>2</v>
      </c>
      <c r="C39" s="4" t="s">
        <v>3</v>
      </c>
      <c r="D39" s="4" t="s">
        <v>73</v>
      </c>
      <c r="E39" s="5" t="s">
        <v>42</v>
      </c>
      <c r="F39" s="12">
        <v>5</v>
      </c>
      <c r="G39" s="12">
        <v>112</v>
      </c>
      <c r="H39" s="13"/>
      <c r="I39" s="13"/>
      <c r="J39" s="14"/>
      <c r="K39" s="14"/>
      <c r="L39" s="14"/>
      <c r="M39" s="14"/>
      <c r="N39" s="14"/>
      <c r="O39" s="14"/>
    </row>
    <row r="40" spans="1:15" s="15" customFormat="1" x14ac:dyDescent="0.2">
      <c r="A40" s="3">
        <v>46045</v>
      </c>
      <c r="B40" s="4" t="s">
        <v>2</v>
      </c>
      <c r="C40" s="4" t="s">
        <v>3</v>
      </c>
      <c r="D40" s="4" t="s">
        <v>64</v>
      </c>
      <c r="E40" s="5" t="s">
        <v>43</v>
      </c>
      <c r="F40" s="12">
        <v>5</v>
      </c>
      <c r="G40" s="12">
        <v>189</v>
      </c>
      <c r="H40" s="13"/>
      <c r="I40" s="13"/>
      <c r="J40" s="14"/>
      <c r="K40" s="14"/>
      <c r="L40" s="14"/>
      <c r="M40" s="14"/>
      <c r="N40" s="14"/>
      <c r="O40" s="14"/>
    </row>
    <row r="41" spans="1:15" s="15" customFormat="1" x14ac:dyDescent="0.2">
      <c r="A41" s="3">
        <v>46045</v>
      </c>
      <c r="B41" s="4" t="s">
        <v>2</v>
      </c>
      <c r="C41" s="4" t="s">
        <v>3</v>
      </c>
      <c r="D41" s="4" t="s">
        <v>7</v>
      </c>
      <c r="E41" s="5" t="s">
        <v>44</v>
      </c>
      <c r="F41" s="12">
        <v>7</v>
      </c>
      <c r="G41" s="12">
        <v>217</v>
      </c>
      <c r="H41" s="13"/>
      <c r="I41" s="13"/>
      <c r="J41" s="14"/>
      <c r="K41" s="14"/>
      <c r="L41" s="14"/>
      <c r="M41" s="14"/>
      <c r="N41" s="14"/>
      <c r="O41" s="14"/>
    </row>
    <row r="42" spans="1:15" s="15" customFormat="1" x14ac:dyDescent="0.2">
      <c r="A42" s="3">
        <v>46045</v>
      </c>
      <c r="B42" s="4" t="s">
        <v>2</v>
      </c>
      <c r="C42" s="4" t="s">
        <v>3</v>
      </c>
      <c r="D42" s="4" t="s">
        <v>65</v>
      </c>
      <c r="E42" s="5" t="s">
        <v>45</v>
      </c>
      <c r="F42" s="12">
        <v>12</v>
      </c>
      <c r="G42" s="12">
        <v>276</v>
      </c>
      <c r="H42" s="13"/>
      <c r="I42" s="13"/>
      <c r="J42" s="14"/>
      <c r="K42" s="14"/>
      <c r="L42" s="14"/>
      <c r="M42" s="14"/>
      <c r="N42" s="14"/>
      <c r="O42" s="14"/>
    </row>
    <row r="43" spans="1:15" s="15" customFormat="1" ht="17" thickBot="1" x14ac:dyDescent="0.25">
      <c r="A43" s="23">
        <v>46045</v>
      </c>
      <c r="B43" s="20" t="s">
        <v>2</v>
      </c>
      <c r="C43" s="20" t="s">
        <v>3</v>
      </c>
      <c r="D43" s="20" t="s">
        <v>72</v>
      </c>
      <c r="E43" s="21" t="s">
        <v>46</v>
      </c>
      <c r="F43" s="24">
        <v>6</v>
      </c>
      <c r="G43" s="24">
        <v>202</v>
      </c>
      <c r="H43" s="13"/>
      <c r="I43" s="13"/>
      <c r="J43" s="14"/>
      <c r="K43" s="14"/>
      <c r="L43" s="14"/>
      <c r="M43" s="14"/>
      <c r="N43" s="14"/>
      <c r="O43" s="14"/>
    </row>
    <row r="44" spans="1:15" x14ac:dyDescent="0.2">
      <c r="A44" s="35">
        <v>46048</v>
      </c>
      <c r="B44" s="17" t="s">
        <v>2</v>
      </c>
      <c r="C44" s="17" t="s">
        <v>3</v>
      </c>
      <c r="D44" s="17" t="s">
        <v>71</v>
      </c>
      <c r="E44" s="18" t="s">
        <v>47</v>
      </c>
      <c r="F44" s="18">
        <v>10</v>
      </c>
      <c r="G44" s="18">
        <v>277</v>
      </c>
    </row>
    <row r="45" spans="1:15" x14ac:dyDescent="0.2">
      <c r="A45" s="32">
        <v>46050</v>
      </c>
      <c r="B45" s="4" t="s">
        <v>2</v>
      </c>
      <c r="C45" s="4" t="s">
        <v>3</v>
      </c>
      <c r="D45" s="4" t="s">
        <v>69</v>
      </c>
      <c r="E45" s="5" t="s">
        <v>48</v>
      </c>
      <c r="F45" s="5">
        <v>4</v>
      </c>
      <c r="G45" s="5">
        <v>179</v>
      </c>
    </row>
    <row r="46" spans="1:15" x14ac:dyDescent="0.2">
      <c r="A46" s="32">
        <v>46050</v>
      </c>
      <c r="B46" s="4" t="s">
        <v>2</v>
      </c>
      <c r="C46" s="4" t="s">
        <v>3</v>
      </c>
      <c r="D46" s="4" t="s">
        <v>66</v>
      </c>
      <c r="E46" s="5" t="s">
        <v>49</v>
      </c>
      <c r="F46" s="5">
        <v>11</v>
      </c>
      <c r="G46" s="5">
        <v>437</v>
      </c>
    </row>
    <row r="47" spans="1:15" x14ac:dyDescent="0.2">
      <c r="A47" s="32">
        <v>46050</v>
      </c>
      <c r="B47" s="4" t="s">
        <v>2</v>
      </c>
      <c r="C47" s="4" t="s">
        <v>3</v>
      </c>
      <c r="D47" s="4" t="s">
        <v>70</v>
      </c>
      <c r="E47" s="5" t="s">
        <v>50</v>
      </c>
      <c r="F47" s="5">
        <v>7</v>
      </c>
      <c r="G47" s="5">
        <v>277</v>
      </c>
    </row>
    <row r="48" spans="1:15" x14ac:dyDescent="0.2">
      <c r="A48" s="32">
        <v>46051</v>
      </c>
      <c r="B48" s="4" t="s">
        <v>2</v>
      </c>
      <c r="C48" s="4" t="s">
        <v>3</v>
      </c>
      <c r="D48" s="4" t="s">
        <v>71</v>
      </c>
      <c r="E48" s="5" t="s">
        <v>51</v>
      </c>
      <c r="F48" s="5">
        <v>12</v>
      </c>
      <c r="G48" s="5">
        <v>259</v>
      </c>
      <c r="I48" s="1"/>
      <c r="N48"/>
      <c r="O48"/>
    </row>
    <row r="49" spans="1:15" x14ac:dyDescent="0.2">
      <c r="A49" s="32">
        <v>46051</v>
      </c>
      <c r="B49" s="4" t="s">
        <v>2</v>
      </c>
      <c r="C49" s="4" t="s">
        <v>3</v>
      </c>
      <c r="D49" s="4" t="s">
        <v>73</v>
      </c>
      <c r="E49" s="5" t="s">
        <v>52</v>
      </c>
      <c r="F49" s="5">
        <v>6</v>
      </c>
      <c r="G49" s="5">
        <v>209</v>
      </c>
      <c r="I49" s="1"/>
      <c r="N49"/>
      <c r="O49"/>
    </row>
    <row r="50" spans="1:15" x14ac:dyDescent="0.2">
      <c r="A50" s="32">
        <v>46051</v>
      </c>
      <c r="B50" s="4" t="s">
        <v>2</v>
      </c>
      <c r="C50" s="4" t="s">
        <v>3</v>
      </c>
      <c r="D50" s="4" t="s">
        <v>67</v>
      </c>
      <c r="E50" s="5" t="s">
        <v>53</v>
      </c>
      <c r="F50" s="5">
        <v>5</v>
      </c>
      <c r="G50" s="5">
        <v>169</v>
      </c>
      <c r="I50" s="1"/>
      <c r="N50"/>
      <c r="O50"/>
    </row>
    <row r="51" spans="1:15" x14ac:dyDescent="0.2">
      <c r="A51" s="32">
        <v>46051</v>
      </c>
      <c r="B51" s="4" t="s">
        <v>2</v>
      </c>
      <c r="C51" s="4" t="s">
        <v>3</v>
      </c>
      <c r="D51" s="4" t="s">
        <v>72</v>
      </c>
      <c r="E51" s="5" t="s">
        <v>54</v>
      </c>
      <c r="F51" s="5">
        <v>5</v>
      </c>
      <c r="G51" s="5">
        <v>145</v>
      </c>
      <c r="I51" s="1"/>
      <c r="N51"/>
      <c r="O51"/>
    </row>
    <row r="52" spans="1:15" x14ac:dyDescent="0.2">
      <c r="A52" s="32">
        <v>46051</v>
      </c>
      <c r="B52" s="4" t="s">
        <v>2</v>
      </c>
      <c r="C52" s="4" t="s">
        <v>3</v>
      </c>
      <c r="D52" s="4" t="s">
        <v>64</v>
      </c>
      <c r="E52" s="5" t="s">
        <v>55</v>
      </c>
      <c r="F52" s="5">
        <v>8</v>
      </c>
      <c r="G52" s="5">
        <v>336</v>
      </c>
      <c r="I52" s="1"/>
      <c r="N52"/>
      <c r="O52"/>
    </row>
    <row r="53" spans="1:15" x14ac:dyDescent="0.2">
      <c r="A53" s="32">
        <v>46051</v>
      </c>
      <c r="B53" s="4" t="s">
        <v>2</v>
      </c>
      <c r="C53" s="4" t="s">
        <v>3</v>
      </c>
      <c r="D53" s="4" t="s">
        <v>7</v>
      </c>
      <c r="E53" s="5" t="s">
        <v>56</v>
      </c>
      <c r="F53" s="5">
        <v>8</v>
      </c>
      <c r="G53" s="5">
        <v>312</v>
      </c>
      <c r="I53" s="1"/>
      <c r="N53"/>
      <c r="O53"/>
    </row>
    <row r="54" spans="1:15" x14ac:dyDescent="0.2">
      <c r="A54" s="32">
        <v>46051</v>
      </c>
      <c r="B54" s="4" t="s">
        <v>2</v>
      </c>
      <c r="C54" s="4" t="s">
        <v>3</v>
      </c>
      <c r="D54" s="4" t="s">
        <v>65</v>
      </c>
      <c r="E54" s="5" t="s">
        <v>57</v>
      </c>
      <c r="F54" s="5">
        <v>9</v>
      </c>
      <c r="G54" s="5">
        <v>252</v>
      </c>
      <c r="I54" s="1"/>
      <c r="N54"/>
      <c r="O54"/>
    </row>
    <row r="55" spans="1:15" x14ac:dyDescent="0.2">
      <c r="A55" s="32">
        <v>46051</v>
      </c>
      <c r="B55" s="4" t="s">
        <v>2</v>
      </c>
      <c r="C55" s="4" t="s">
        <v>3</v>
      </c>
      <c r="D55" s="4" t="s">
        <v>68</v>
      </c>
      <c r="E55" s="5" t="s">
        <v>58</v>
      </c>
      <c r="F55" s="5">
        <v>4</v>
      </c>
      <c r="G55" s="5">
        <v>133</v>
      </c>
      <c r="I55" s="1"/>
      <c r="N55"/>
      <c r="O55"/>
    </row>
    <row r="56" spans="1:15" x14ac:dyDescent="0.2">
      <c r="A56" s="32">
        <v>46052</v>
      </c>
      <c r="B56" s="4" t="s">
        <v>2</v>
      </c>
      <c r="C56" s="4" t="s">
        <v>3</v>
      </c>
      <c r="D56" s="4" t="s">
        <v>66</v>
      </c>
      <c r="E56" s="5" t="s">
        <v>59</v>
      </c>
      <c r="F56" s="5">
        <v>7</v>
      </c>
      <c r="G56" s="5">
        <v>189</v>
      </c>
      <c r="I56" s="1"/>
      <c r="N56"/>
      <c r="O56"/>
    </row>
    <row r="57" spans="1:15" x14ac:dyDescent="0.2">
      <c r="A57" s="32">
        <v>46052</v>
      </c>
      <c r="B57" s="4" t="s">
        <v>2</v>
      </c>
      <c r="C57" s="4" t="s">
        <v>3</v>
      </c>
      <c r="D57" s="4" t="s">
        <v>69</v>
      </c>
      <c r="E57" s="5" t="s">
        <v>60</v>
      </c>
      <c r="F57" s="5">
        <v>1</v>
      </c>
      <c r="G57" s="5">
        <v>37</v>
      </c>
      <c r="I57" s="1"/>
      <c r="N57"/>
      <c r="O57"/>
    </row>
    <row r="58" spans="1:15" x14ac:dyDescent="0.2">
      <c r="A58" s="32">
        <v>46052</v>
      </c>
      <c r="B58" s="4" t="s">
        <v>2</v>
      </c>
      <c r="C58" s="4" t="s">
        <v>3</v>
      </c>
      <c r="D58" s="4" t="s">
        <v>70</v>
      </c>
      <c r="E58" s="5" t="s">
        <v>61</v>
      </c>
      <c r="F58" s="5">
        <v>5</v>
      </c>
      <c r="G58" s="5">
        <v>84</v>
      </c>
      <c r="I58" s="1"/>
      <c r="N58"/>
      <c r="O58"/>
    </row>
    <row r="59" spans="1:15" x14ac:dyDescent="0.2">
      <c r="A59" s="32">
        <v>46052</v>
      </c>
      <c r="B59" s="4" t="s">
        <v>2</v>
      </c>
      <c r="C59" s="4" t="s">
        <v>3</v>
      </c>
      <c r="D59" s="4" t="s">
        <v>7</v>
      </c>
      <c r="E59" s="5" t="s">
        <v>62</v>
      </c>
      <c r="F59" s="5">
        <v>5</v>
      </c>
      <c r="G59" s="5">
        <v>123</v>
      </c>
      <c r="I59" s="1"/>
      <c r="N59"/>
      <c r="O59"/>
    </row>
    <row r="60" spans="1:15" ht="17" thickBot="1" x14ac:dyDescent="0.25">
      <c r="A60" s="23">
        <v>46052</v>
      </c>
      <c r="B60" s="20" t="s">
        <v>2</v>
      </c>
      <c r="C60" s="20" t="s">
        <v>3</v>
      </c>
      <c r="D60" s="20" t="s">
        <v>64</v>
      </c>
      <c r="E60" s="21" t="s">
        <v>63</v>
      </c>
      <c r="F60" s="21">
        <v>7</v>
      </c>
      <c r="G60" s="21">
        <v>175</v>
      </c>
    </row>
    <row r="61" spans="1:15" x14ac:dyDescent="0.2">
      <c r="A61" s="25"/>
      <c r="B61" s="26"/>
      <c r="C61" s="25"/>
      <c r="D61" s="26"/>
      <c r="E61" s="25"/>
      <c r="F61" s="25"/>
      <c r="G61" s="39">
        <f>SUM(G2:G60)</f>
        <v>11921</v>
      </c>
    </row>
    <row r="62" spans="1:15" x14ac:dyDescent="0.2">
      <c r="A62" s="5"/>
      <c r="B62" s="4"/>
      <c r="C62" s="5"/>
      <c r="D62" s="4"/>
      <c r="E62" s="5" t="s">
        <v>98</v>
      </c>
      <c r="F62" s="5">
        <v>110</v>
      </c>
      <c r="G62" s="5"/>
    </row>
    <row r="63" spans="1:15" x14ac:dyDescent="0.2">
      <c r="A63" s="5"/>
      <c r="B63" s="4"/>
      <c r="C63" s="5"/>
      <c r="D63" s="4"/>
      <c r="E63" s="5" t="s">
        <v>99</v>
      </c>
      <c r="F63" s="36"/>
      <c r="G63" s="36">
        <f>G61*F62</f>
        <v>1311310</v>
      </c>
    </row>
    <row r="64" spans="1:15" x14ac:dyDescent="0.2">
      <c r="A64" s="5"/>
      <c r="B64" s="4"/>
      <c r="C64" s="5"/>
      <c r="D64" s="4"/>
      <c r="E64" s="5"/>
      <c r="F64" s="5"/>
      <c r="G64" s="36"/>
    </row>
    <row r="68" spans="6:6" x14ac:dyDescent="0.2">
      <c r="F68" s="37"/>
    </row>
    <row r="71" spans="6:6" x14ac:dyDescent="0.2">
      <c r="F71" s="38"/>
    </row>
  </sheetData>
  <autoFilter ref="A1:G43" xr:uid="{00000000-0001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Giriş</vt:lpstr>
      <vt:lpstr>Çıkış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Оператор</dc:creator>
  <cp:lastModifiedBy>harun şarapcıoğlu</cp:lastModifiedBy>
  <dcterms:created xsi:type="dcterms:W3CDTF">2015-06-05T18:17:20Z</dcterms:created>
  <dcterms:modified xsi:type="dcterms:W3CDTF">2026-02-09T21:00:11Z</dcterms:modified>
</cp:coreProperties>
</file>