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kan.yaman\Desktop\ÜLKE OPERASYON\KAZAKİSTAN\2026\6.Haziran\"/>
    </mc:Choice>
  </mc:AlternateContent>
  <xr:revisionPtr revIDLastSave="0" documentId="8_{3774F0AB-EF22-4E7E-BAE7-3FEF299C91BC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JANUARY'26" sheetId="90" r:id="rId1"/>
    <sheet name="February'26" sheetId="91" r:id="rId2"/>
    <sheet name="Mart'26" sheetId="92" r:id="rId3"/>
    <sheet name="April'26" sheetId="93" r:id="rId4"/>
    <sheet name="May'26" sheetId="94" r:id="rId5"/>
    <sheet name="June'26" sheetId="95" r:id="rId6"/>
  </sheets>
  <externalReferences>
    <externalReference r:id="rId7"/>
    <externalReference r:id="rId8"/>
  </externalReferences>
  <definedNames>
    <definedName name="kurs" localSheetId="3">'April''26'!#REF!</definedName>
    <definedName name="kurs" localSheetId="1">'February''26'!#REF!</definedName>
    <definedName name="kurs" localSheetId="0">'JANUARY''26'!#REF!</definedName>
    <definedName name="kurs" localSheetId="2">'Mart''26'!#REF!</definedName>
    <definedName name="kurs" localSheetId="4">'May''26'!#REF!</definedName>
    <definedName name="kurs">'[1]07'!$H$6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95" l="1"/>
  <c r="C44" i="95"/>
  <c r="F11" i="95"/>
  <c r="F12" i="95" s="1"/>
  <c r="F13" i="95" s="1"/>
  <c r="F14" i="95" s="1"/>
  <c r="F15" i="95" s="1"/>
  <c r="F16" i="95" s="1"/>
  <c r="F17" i="95" s="1"/>
  <c r="F18" i="95" s="1"/>
  <c r="F19" i="95" s="1"/>
  <c r="F20" i="95" s="1"/>
  <c r="F21" i="95" s="1"/>
  <c r="F22" i="95" s="1"/>
  <c r="F23" i="95" s="1"/>
  <c r="F24" i="95" s="1"/>
  <c r="F25" i="95" s="1"/>
  <c r="F26" i="95" s="1"/>
  <c r="F27" i="95" s="1"/>
  <c r="F28" i="95" s="1"/>
  <c r="F29" i="95" s="1"/>
  <c r="F30" i="95" s="1"/>
  <c r="F31" i="95" s="1"/>
  <c r="F32" i="95" s="1"/>
  <c r="F33" i="95" s="1"/>
  <c r="F34" i="95" s="1"/>
  <c r="F35" i="95" s="1"/>
  <c r="F34" i="94"/>
  <c r="F33" i="94"/>
  <c r="G54" i="95"/>
  <c r="E41" i="95"/>
  <c r="E51" i="95" s="1"/>
  <c r="G51" i="95" s="1"/>
  <c r="C41" i="95"/>
  <c r="E50" i="95" s="1"/>
  <c r="G50" i="95" s="1"/>
  <c r="G55" i="94"/>
  <c r="E42" i="94"/>
  <c r="E45" i="94" s="1"/>
  <c r="C42" i="94"/>
  <c r="F11" i="94"/>
  <c r="G41" i="93"/>
  <c r="C40" i="93"/>
  <c r="C42" i="93" s="1"/>
  <c r="C32" i="93"/>
  <c r="C13" i="93"/>
  <c r="F11" i="93"/>
  <c r="G55" i="93"/>
  <c r="E42" i="93"/>
  <c r="E41" i="92"/>
  <c r="F39" i="92"/>
  <c r="F40" i="92" s="1"/>
  <c r="F12" i="92"/>
  <c r="F13" i="92" s="1"/>
  <c r="F14" i="92" s="1"/>
  <c r="F15" i="92" s="1"/>
  <c r="F16" i="92" s="1"/>
  <c r="F17" i="92" s="1"/>
  <c r="F18" i="92" s="1"/>
  <c r="F19" i="92" s="1"/>
  <c r="F20" i="92" s="1"/>
  <c r="F21" i="92" s="1"/>
  <c r="F22" i="92" s="1"/>
  <c r="F23" i="92" s="1"/>
  <c r="F24" i="92" s="1"/>
  <c r="F25" i="92" s="1"/>
  <c r="F26" i="92" s="1"/>
  <c r="F27" i="92" s="1"/>
  <c r="F28" i="92" s="1"/>
  <c r="F29" i="92" s="1"/>
  <c r="F30" i="92" s="1"/>
  <c r="F31" i="92" s="1"/>
  <c r="F32" i="92" s="1"/>
  <c r="F33" i="92" s="1"/>
  <c r="F34" i="92" s="1"/>
  <c r="F35" i="92" s="1"/>
  <c r="F36" i="92" s="1"/>
  <c r="F37" i="92" s="1"/>
  <c r="F38" i="92" s="1"/>
  <c r="F11" i="92"/>
  <c r="C12" i="92"/>
  <c r="C42" i="92" s="1"/>
  <c r="C45" i="92" s="1"/>
  <c r="C37" i="92"/>
  <c r="G55" i="92"/>
  <c r="E42" i="92"/>
  <c r="E52" i="92" s="1"/>
  <c r="G52" i="92" s="1"/>
  <c r="G67" i="90"/>
  <c r="F11" i="90"/>
  <c r="F37" i="95" l="1"/>
  <c r="F38" i="95" s="1"/>
  <c r="F39" i="95" s="1"/>
  <c r="F40" i="95" s="1"/>
  <c r="G11" i="95"/>
  <c r="G12" i="95"/>
  <c r="E44" i="95"/>
  <c r="C45" i="94"/>
  <c r="C47" i="94" s="1"/>
  <c r="E51" i="94"/>
  <c r="G51" i="94" s="1"/>
  <c r="E52" i="94"/>
  <c r="G52" i="94" s="1"/>
  <c r="G11" i="94"/>
  <c r="F12" i="94"/>
  <c r="C45" i="93"/>
  <c r="E51" i="93"/>
  <c r="G51" i="93" s="1"/>
  <c r="E45" i="93"/>
  <c r="E52" i="93"/>
  <c r="G52" i="93" s="1"/>
  <c r="G11" i="93"/>
  <c r="F12" i="93"/>
  <c r="G40" i="92"/>
  <c r="F41" i="92"/>
  <c r="G41" i="92" s="1"/>
  <c r="G39" i="92"/>
  <c r="E45" i="92"/>
  <c r="C47" i="92" s="1"/>
  <c r="E51" i="92"/>
  <c r="G51" i="92" s="1"/>
  <c r="G12" i="92"/>
  <c r="G11" i="92"/>
  <c r="F11" i="91"/>
  <c r="G11" i="91" s="1"/>
  <c r="G55" i="91"/>
  <c r="C42" i="91"/>
  <c r="C45" i="91" s="1"/>
  <c r="E42" i="91"/>
  <c r="F12" i="90"/>
  <c r="E29" i="90"/>
  <c r="E30" i="90"/>
  <c r="E31" i="90"/>
  <c r="E32" i="90"/>
  <c r="E33" i="90"/>
  <c r="E36" i="90"/>
  <c r="E38" i="90"/>
  <c r="E39" i="90"/>
  <c r="E40" i="90"/>
  <c r="E19" i="90"/>
  <c r="E22" i="90"/>
  <c r="E23" i="90"/>
  <c r="E26" i="90"/>
  <c r="C46" i="95" l="1"/>
  <c r="G13" i="95"/>
  <c r="F13" i="94"/>
  <c r="G12" i="94"/>
  <c r="F13" i="93"/>
  <c r="G12" i="93"/>
  <c r="C47" i="93"/>
  <c r="G13" i="92"/>
  <c r="E45" i="91"/>
  <c r="C47" i="91" s="1"/>
  <c r="E52" i="91"/>
  <c r="G52" i="91" s="1"/>
  <c r="E51" i="91"/>
  <c r="G51" i="91" s="1"/>
  <c r="F12" i="91"/>
  <c r="G55" i="90"/>
  <c r="G11" i="90"/>
  <c r="C42" i="90"/>
  <c r="G14" i="95" l="1"/>
  <c r="F14" i="94"/>
  <c r="G13" i="94"/>
  <c r="F14" i="93"/>
  <c r="G13" i="93"/>
  <c r="G14" i="92"/>
  <c r="F13" i="91"/>
  <c r="G12" i="91"/>
  <c r="E51" i="90"/>
  <c r="G51" i="90" s="1"/>
  <c r="C45" i="90"/>
  <c r="E42" i="90"/>
  <c r="E45" i="90" s="1"/>
  <c r="G15" i="95" l="1"/>
  <c r="F15" i="94"/>
  <c r="G14" i="94"/>
  <c r="F15" i="93"/>
  <c r="G14" i="93"/>
  <c r="G15" i="92"/>
  <c r="G13" i="91"/>
  <c r="F14" i="91"/>
  <c r="C47" i="90"/>
  <c r="F13" i="90"/>
  <c r="G12" i="90"/>
  <c r="E52" i="90"/>
  <c r="G52" i="90" s="1"/>
  <c r="G57" i="90" s="1"/>
  <c r="G58" i="90" s="1"/>
  <c r="G16" i="95" l="1"/>
  <c r="G15" i="94"/>
  <c r="F16" i="94"/>
  <c r="F16" i="93"/>
  <c r="G15" i="93"/>
  <c r="G16" i="92"/>
  <c r="G14" i="91"/>
  <c r="F15" i="91"/>
  <c r="F14" i="90"/>
  <c r="G13" i="90"/>
  <c r="G17" i="95" l="1"/>
  <c r="F17" i="94"/>
  <c r="G16" i="94"/>
  <c r="F17" i="93"/>
  <c r="G16" i="93"/>
  <c r="G17" i="92"/>
  <c r="F16" i="91"/>
  <c r="G15" i="91"/>
  <c r="F15" i="90"/>
  <c r="G14" i="90"/>
  <c r="G18" i="95" l="1"/>
  <c r="F18" i="94"/>
  <c r="G17" i="94"/>
  <c r="F18" i="93"/>
  <c r="G17" i="93"/>
  <c r="G18" i="92"/>
  <c r="F17" i="91"/>
  <c r="G16" i="91"/>
  <c r="F16" i="90"/>
  <c r="G15" i="90"/>
  <c r="G19" i="95" l="1"/>
  <c r="F19" i="94"/>
  <c r="G18" i="94"/>
  <c r="F19" i="93"/>
  <c r="G18" i="93"/>
  <c r="G19" i="92"/>
  <c r="G17" i="91"/>
  <c r="F18" i="91"/>
  <c r="F17" i="90"/>
  <c r="G16" i="90"/>
  <c r="G20" i="95" l="1"/>
  <c r="G19" i="94"/>
  <c r="F20" i="94"/>
  <c r="F20" i="93"/>
  <c r="G19" i="93"/>
  <c r="G20" i="92"/>
  <c r="F19" i="91"/>
  <c r="G18" i="91"/>
  <c r="F18" i="90"/>
  <c r="G17" i="90"/>
  <c r="G21" i="95" l="1"/>
  <c r="F21" i="94"/>
  <c r="G20" i="94"/>
  <c r="F21" i="93"/>
  <c r="G20" i="93"/>
  <c r="G21" i="92"/>
  <c r="F20" i="91"/>
  <c r="G19" i="91"/>
  <c r="F19" i="90"/>
  <c r="G18" i="90"/>
  <c r="G22" i="95" l="1"/>
  <c r="F22" i="94"/>
  <c r="G21" i="94"/>
  <c r="F22" i="93"/>
  <c r="G21" i="93"/>
  <c r="G22" i="92"/>
  <c r="F21" i="91"/>
  <c r="G20" i="91"/>
  <c r="F20" i="90"/>
  <c r="G19" i="90"/>
  <c r="G23" i="95" l="1"/>
  <c r="F23" i="94"/>
  <c r="G22" i="94"/>
  <c r="F23" i="93"/>
  <c r="G22" i="93"/>
  <c r="G23" i="92"/>
  <c r="F22" i="91"/>
  <c r="G21" i="91"/>
  <c r="F21" i="90"/>
  <c r="G20" i="90"/>
  <c r="G24" i="95" l="1"/>
  <c r="G23" i="94"/>
  <c r="F24" i="94"/>
  <c r="F24" i="93"/>
  <c r="G23" i="93"/>
  <c r="G24" i="92"/>
  <c r="F23" i="91"/>
  <c r="G22" i="91"/>
  <c r="F22" i="90"/>
  <c r="G21" i="90"/>
  <c r="G25" i="95" l="1"/>
  <c r="F25" i="94"/>
  <c r="G24" i="94"/>
  <c r="F25" i="93"/>
  <c r="G24" i="93"/>
  <c r="G25" i="92"/>
  <c r="F24" i="91"/>
  <c r="G23" i="91"/>
  <c r="F23" i="90"/>
  <c r="G22" i="90"/>
  <c r="G26" i="95" l="1"/>
  <c r="F26" i="94"/>
  <c r="G25" i="94"/>
  <c r="F26" i="93"/>
  <c r="G25" i="93"/>
  <c r="G26" i="92"/>
  <c r="F25" i="91"/>
  <c r="G24" i="91"/>
  <c r="F24" i="90"/>
  <c r="G23" i="90"/>
  <c r="G27" i="95" l="1"/>
  <c r="F27" i="94"/>
  <c r="G26" i="94"/>
  <c r="F27" i="93"/>
  <c r="G26" i="93"/>
  <c r="G27" i="92"/>
  <c r="F26" i="91"/>
  <c r="G25" i="91"/>
  <c r="F25" i="90"/>
  <c r="G24" i="90"/>
  <c r="G28" i="95" l="1"/>
  <c r="G27" i="94"/>
  <c r="F28" i="94"/>
  <c r="F28" i="93"/>
  <c r="G27" i="93"/>
  <c r="G28" i="92"/>
  <c r="F27" i="91"/>
  <c r="G26" i="91"/>
  <c r="F26" i="90"/>
  <c r="G25" i="90"/>
  <c r="G29" i="95" l="1"/>
  <c r="F29" i="94"/>
  <c r="G28" i="94"/>
  <c r="F29" i="93"/>
  <c r="G28" i="93"/>
  <c r="G29" i="92"/>
  <c r="G27" i="91"/>
  <c r="F28" i="91"/>
  <c r="F27" i="90"/>
  <c r="G26" i="90"/>
  <c r="G30" i="95" l="1"/>
  <c r="F30" i="94"/>
  <c r="G29" i="94"/>
  <c r="F30" i="93"/>
  <c r="G29" i="93"/>
  <c r="G30" i="92"/>
  <c r="G28" i="91"/>
  <c r="F29" i="91"/>
  <c r="F28" i="90"/>
  <c r="G27" i="90"/>
  <c r="G31" i="95" l="1"/>
  <c r="F31" i="94"/>
  <c r="G30" i="94"/>
  <c r="F31" i="93"/>
  <c r="G30" i="93"/>
  <c r="G31" i="92"/>
  <c r="F30" i="91"/>
  <c r="G29" i="91"/>
  <c r="F29" i="90"/>
  <c r="G28" i="90"/>
  <c r="G32" i="95" l="1"/>
  <c r="G31" i="94"/>
  <c r="F32" i="94"/>
  <c r="F32" i="93"/>
  <c r="G31" i="93"/>
  <c r="G32" i="92"/>
  <c r="F31" i="91"/>
  <c r="G30" i="91"/>
  <c r="F30" i="90"/>
  <c r="G29" i="90"/>
  <c r="G33" i="95" l="1"/>
  <c r="G32" i="94"/>
  <c r="F33" i="93"/>
  <c r="G32" i="93"/>
  <c r="G33" i="92"/>
  <c r="F32" i="91"/>
  <c r="G31" i="91"/>
  <c r="F31" i="90"/>
  <c r="G30" i="90"/>
  <c r="G34" i="95" l="1"/>
  <c r="G33" i="94"/>
  <c r="F34" i="93"/>
  <c r="G33" i="93"/>
  <c r="G34" i="92"/>
  <c r="F33" i="91"/>
  <c r="G32" i="91"/>
  <c r="F32" i="90"/>
  <c r="G31" i="90"/>
  <c r="G35" i="95" l="1"/>
  <c r="F35" i="94"/>
  <c r="G34" i="94"/>
  <c r="F35" i="93"/>
  <c r="G34" i="93"/>
  <c r="G35" i="92"/>
  <c r="F34" i="91"/>
  <c r="G33" i="91"/>
  <c r="F33" i="90"/>
  <c r="G32" i="90"/>
  <c r="G36" i="95" l="1"/>
  <c r="F36" i="94"/>
  <c r="G35" i="94"/>
  <c r="F36" i="93"/>
  <c r="G35" i="93"/>
  <c r="G36" i="92"/>
  <c r="F35" i="91"/>
  <c r="G34" i="91"/>
  <c r="F34" i="90"/>
  <c r="G33" i="90"/>
  <c r="G37" i="95" l="1"/>
  <c r="F37" i="94"/>
  <c r="G36" i="94"/>
  <c r="F37" i="93"/>
  <c r="G36" i="93"/>
  <c r="G37" i="92"/>
  <c r="F36" i="91"/>
  <c r="G35" i="91"/>
  <c r="F35" i="90"/>
  <c r="G34" i="90"/>
  <c r="G38" i="95" l="1"/>
  <c r="F38" i="94"/>
  <c r="G37" i="94"/>
  <c r="F38" i="93"/>
  <c r="G37" i="93"/>
  <c r="G38" i="92"/>
  <c r="G42" i="92" s="1"/>
  <c r="F42" i="92"/>
  <c r="E53" i="92" s="1"/>
  <c r="G53" i="92" s="1"/>
  <c r="G57" i="92" s="1"/>
  <c r="G36" i="91"/>
  <c r="F37" i="91"/>
  <c r="F36" i="90"/>
  <c r="G35" i="90"/>
  <c r="G39" i="95" l="1"/>
  <c r="F39" i="94"/>
  <c r="G38" i="94"/>
  <c r="F39" i="93"/>
  <c r="G38" i="93"/>
  <c r="G37" i="91"/>
  <c r="F38" i="91"/>
  <c r="F37" i="90"/>
  <c r="G36" i="90"/>
  <c r="G40" i="95" l="1"/>
  <c r="F40" i="94"/>
  <c r="F41" i="94" s="1"/>
  <c r="G41" i="94" s="1"/>
  <c r="G39" i="94"/>
  <c r="G39" i="93"/>
  <c r="F40" i="93"/>
  <c r="G38" i="91"/>
  <c r="F38" i="90"/>
  <c r="G37" i="90"/>
  <c r="G41" i="95" l="1"/>
  <c r="F41" i="95"/>
  <c r="E52" i="95" s="1"/>
  <c r="G52" i="95" s="1"/>
  <c r="G56" i="95" s="1"/>
  <c r="G40" i="94"/>
  <c r="G42" i="94" s="1"/>
  <c r="F42" i="94"/>
  <c r="E53" i="94" s="1"/>
  <c r="G53" i="94" s="1"/>
  <c r="G57" i="94" s="1"/>
  <c r="G40" i="93"/>
  <c r="G39" i="91"/>
  <c r="F39" i="90"/>
  <c r="F40" i="90" s="1"/>
  <c r="G38" i="90"/>
  <c r="G42" i="93" l="1"/>
  <c r="F42" i="93"/>
  <c r="E53" i="93" s="1"/>
  <c r="G53" i="93" s="1"/>
  <c r="G57" i="93" s="1"/>
  <c r="G40" i="91"/>
  <c r="G42" i="91" s="1"/>
  <c r="F42" i="91"/>
  <c r="E53" i="91" s="1"/>
  <c r="G53" i="91" s="1"/>
  <c r="G57" i="91" s="1"/>
  <c r="F42" i="90"/>
  <c r="E53" i="90" s="1"/>
  <c r="G39" i="90"/>
  <c r="G40" i="90" l="1"/>
  <c r="G42" i="9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tc={60243D7B-124B-FA4C-A72B-E2C73A917954}</author>
  </authors>
  <commentList>
    <comment ref="C12" authorId="0" shapeId="0" xr:uid="{60243D7B-124B-FA4C-A72B-E2C73A917954}">
      <text>
        <r>
          <rPr>
            <sz val="11"/>
            <color theme="1"/>
            <rFont val="Arial"/>
            <family val="2"/>
            <charset val="238"/>
          </rPr>
  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278 mağazadan gelen mobilya</t>
        </r>
      </text>
    </comment>
  </commentList>
</comments>
</file>

<file path=xl/sharedStrings.xml><?xml version="1.0" encoding="utf-8"?>
<sst xmlns="http://schemas.openxmlformats.org/spreadsheetml/2006/main" count="181" uniqueCount="52">
  <si>
    <t>STORAGE BOX</t>
  </si>
  <si>
    <t>No of boxes</t>
  </si>
  <si>
    <t>INBOUND</t>
  </si>
  <si>
    <t>OUTBOUND</t>
  </si>
  <si>
    <t xml:space="preserve">No of boxes </t>
  </si>
  <si>
    <t>Day in month</t>
  </si>
  <si>
    <t>Invoice Numbers</t>
  </si>
  <si>
    <t>Starting Stock</t>
  </si>
  <si>
    <t>Order No</t>
  </si>
  <si>
    <t>STORAGE</t>
  </si>
  <si>
    <t>QTTY</t>
  </si>
  <si>
    <t>UNIT PRICE</t>
  </si>
  <si>
    <t>AMOUNT</t>
  </si>
  <si>
    <t>TOTAL</t>
  </si>
  <si>
    <t>INVOICE PERIOD</t>
  </si>
  <si>
    <t>Start</t>
  </si>
  <si>
    <t>End</t>
  </si>
  <si>
    <t>Daily Storage Cost</t>
  </si>
  <si>
    <t>Shrinkage (Pallet)</t>
  </si>
  <si>
    <t>IHR778</t>
  </si>
  <si>
    <t>IHR776</t>
  </si>
  <si>
    <t>IHR783</t>
  </si>
  <si>
    <t>ANT283</t>
  </si>
  <si>
    <t>ANT277</t>
  </si>
  <si>
    <t>IHR805</t>
  </si>
  <si>
    <t>IHR803</t>
  </si>
  <si>
    <t>IHR821</t>
  </si>
  <si>
    <t>ANT298</t>
  </si>
  <si>
    <t>ANT307</t>
  </si>
  <si>
    <t>IHR845</t>
  </si>
  <si>
    <t>ANT309</t>
  </si>
  <si>
    <t>IHR844</t>
  </si>
  <si>
    <t>IHR865</t>
  </si>
  <si>
    <t>Без номера</t>
  </si>
  <si>
    <t>Нач. ост.</t>
  </si>
  <si>
    <t>INBOUND AMOUNT</t>
  </si>
  <si>
    <t>OUTBOUND AMOUNT</t>
  </si>
  <si>
    <t>TOTAL AMOUNT (Excluding VAT)</t>
  </si>
  <si>
    <t>Mağaza Malzemeleri ve Mobilyaları</t>
  </si>
  <si>
    <t>VAT</t>
  </si>
  <si>
    <t>IHR2026000000095</t>
  </si>
  <si>
    <t>IHR2026000000088 - ANT2026000000039</t>
  </si>
  <si>
    <t>IHR2026000000080</t>
  </si>
  <si>
    <t>IHR2026000000104</t>
  </si>
  <si>
    <t>31.04.2026</t>
  </si>
  <si>
    <t>ANT2026000000047+IHR2026000000106</t>
  </si>
  <si>
    <t>IHR2026000000134 - ANT2026000000055+IHR2026000000124</t>
  </si>
  <si>
    <t>IHR2026000000142</t>
  </si>
  <si>
    <t>IHR2026000000148 - ANT2026000000063</t>
  </si>
  <si>
    <t>IHR2026000000189</t>
  </si>
  <si>
    <t>IHR2026000000165</t>
  </si>
  <si>
    <t>IHR2026000000163-ANT2026000000073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</si>
</sst>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dd/mm/yyyy;@"/>
    <numFmt numFmtId="165" formatCode="_-* #,##0.00\ _R_S_D_-;\-* #,##0.00\ _R_S_D_-;_-* &quot;-&quot;??\ _R_S_D_-;_-@_-"/>
    <numFmt numFmtId="166" formatCode="_-* #,##0_-;\-* #,##0_-;_-* &quot;-&quot;??_-;_-@_-"/>
    <numFmt numFmtId="167" formatCode="_-* #,##0.00\ [$₸-43F]_-;\-* #,##0.00\ [$₸-43F]_-;_-* &quot;-&quot;??\ [$₸-43F]_-;_-@_-"/>
    <numFmt numFmtId="168" formatCode="_-* #,##0\ [$₸-43F]_-;\-* #,##0\ [$₸-43F]_-;_-* &quot;-&quot;??\ [$₸-43F]_-;_-@_-"/>
  </numFmts>
  <fonts count="19" x14ac:knownFonts="1">
    <font>
      <sz val="11"/>
      <color theme="1"/>
      <name val="Arial"/>
      <family val="2"/>
      <charset val="238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38"/>
    </font>
    <font>
      <sz val="11"/>
      <color rgb="FF9C5700"/>
      <name val="Calibri"/>
      <family val="2"/>
      <charset val="204"/>
      <scheme val="minor"/>
    </font>
    <font>
      <sz val="11"/>
      <color theme="1"/>
      <name val="Calibri"/>
      <family val="2"/>
      <charset val="162"/>
      <scheme val="minor"/>
    </font>
    <font>
      <b/>
      <sz val="9"/>
      <color indexed="8"/>
      <name val="Arial"/>
      <family val="2"/>
      <charset val="204"/>
    </font>
    <font>
      <sz val="9"/>
      <color theme="1"/>
      <name val="Arial"/>
      <family val="2"/>
      <charset val="238"/>
    </font>
    <font>
      <b/>
      <sz val="9"/>
      <color theme="1"/>
      <name val="Calibri"/>
      <family val="2"/>
      <charset val="238"/>
      <scheme val="minor"/>
    </font>
    <font>
      <b/>
      <sz val="9"/>
      <color indexed="8"/>
      <name val="Arial"/>
      <family val="2"/>
      <charset val="162"/>
    </font>
    <font>
      <b/>
      <sz val="9"/>
      <color theme="1"/>
      <name val="Arial"/>
      <family val="2"/>
      <charset val="162"/>
    </font>
    <font>
      <sz val="9"/>
      <color indexed="8"/>
      <name val="Arial"/>
      <family val="2"/>
      <charset val="204"/>
    </font>
    <font>
      <b/>
      <sz val="9"/>
      <color indexed="8"/>
      <name val="Arial"/>
      <family val="2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charset val="204"/>
    </font>
    <font>
      <sz val="9"/>
      <color indexed="55"/>
      <name val="Arial"/>
      <family val="2"/>
      <charset val="238"/>
    </font>
    <font>
      <b/>
      <sz val="9"/>
      <color indexed="8"/>
      <name val="Calibri"/>
      <family val="2"/>
      <charset val="162"/>
    </font>
    <font>
      <sz val="9"/>
      <color theme="1"/>
      <name val="Calibri"/>
      <family val="2"/>
    </font>
    <font>
      <b/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1" fontId="3" fillId="0" borderId="0" applyFont="0" applyFill="0" applyBorder="0" applyAlignment="0" applyProtection="0"/>
    <xf numFmtId="0" fontId="2" fillId="0" borderId="0"/>
    <xf numFmtId="0" fontId="4" fillId="4" borderId="0" applyNumberFormat="0" applyBorder="0" applyAlignment="0" applyProtection="0"/>
    <xf numFmtId="0" fontId="1" fillId="0" borderId="0"/>
    <xf numFmtId="0" fontId="5" fillId="0" borderId="0"/>
    <xf numFmtId="43" fontId="3" fillId="0" borderId="0" applyFont="0" applyFill="0" applyBorder="0" applyAlignment="0" applyProtection="0"/>
  </cellStyleXfs>
  <cellXfs count="111">
    <xf numFmtId="0" fontId="0" fillId="0" borderId="0" xfId="0"/>
    <xf numFmtId="0" fontId="6" fillId="0" borderId="0" xfId="0" applyFont="1" applyAlignment="1">
      <alignment horizontal="center"/>
    </xf>
    <xf numFmtId="0" fontId="7" fillId="0" borderId="0" xfId="0" applyFont="1"/>
    <xf numFmtId="166" fontId="7" fillId="0" borderId="0" xfId="6" applyNumberFormat="1" applyFont="1" applyAlignment="1">
      <alignment horizontal="left" indent="3"/>
    </xf>
    <xf numFmtId="167" fontId="7" fillId="0" borderId="0" xfId="0" applyNumberFormat="1" applyFont="1"/>
    <xf numFmtId="0" fontId="7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0" xfId="0" applyFont="1"/>
    <xf numFmtId="166" fontId="11" fillId="2" borderId="11" xfId="6" applyNumberFormat="1" applyFont="1" applyFill="1" applyBorder="1" applyAlignment="1">
      <alignment horizontal="left" indent="3"/>
    </xf>
    <xf numFmtId="167" fontId="7" fillId="0" borderId="7" xfId="6" applyNumberFormat="1" applyFont="1" applyBorder="1"/>
    <xf numFmtId="166" fontId="7" fillId="0" borderId="7" xfId="6" applyNumberFormat="1" applyFont="1" applyBorder="1"/>
    <xf numFmtId="166" fontId="7" fillId="0" borderId="7" xfId="6" applyNumberFormat="1" applyFont="1" applyBorder="1" applyAlignment="1">
      <alignment horizontal="left" indent="3"/>
    </xf>
    <xf numFmtId="41" fontId="7" fillId="0" borderId="0" xfId="1" applyFont="1"/>
    <xf numFmtId="165" fontId="7" fillId="0" borderId="0" xfId="0" applyNumberFormat="1" applyFont="1"/>
    <xf numFmtId="2" fontId="15" fillId="0" borderId="0" xfId="0" applyNumberFormat="1" applyFont="1"/>
    <xf numFmtId="166" fontId="15" fillId="0" borderId="0" xfId="6" applyNumberFormat="1" applyFont="1" applyAlignment="1">
      <alignment horizontal="left" indent="3"/>
    </xf>
    <xf numFmtId="167" fontId="15" fillId="0" borderId="0" xfId="0" applyNumberFormat="1" applyFont="1"/>
    <xf numFmtId="0" fontId="9" fillId="2" borderId="15" xfId="0" applyFont="1" applyFill="1" applyBorder="1" applyAlignment="1">
      <alignment wrapText="1"/>
    </xf>
    <xf numFmtId="0" fontId="9" fillId="2" borderId="16" xfId="0" applyFont="1" applyFill="1" applyBorder="1" applyAlignment="1">
      <alignment wrapText="1"/>
    </xf>
    <xf numFmtId="0" fontId="10" fillId="2" borderId="17" xfId="0" applyFont="1" applyFill="1" applyBorder="1" applyAlignment="1">
      <alignment horizontal="left" wrapText="1"/>
    </xf>
    <xf numFmtId="0" fontId="9" fillId="2" borderId="18" xfId="0" applyFont="1" applyFill="1" applyBorder="1" applyAlignment="1">
      <alignment wrapText="1"/>
    </xf>
    <xf numFmtId="166" fontId="11" fillId="2" borderId="13" xfId="6" applyNumberFormat="1" applyFont="1" applyFill="1" applyBorder="1" applyAlignment="1">
      <alignment horizontal="left" indent="3"/>
    </xf>
    <xf numFmtId="167" fontId="7" fillId="0" borderId="14" xfId="6" applyNumberFormat="1" applyFont="1" applyBorder="1"/>
    <xf numFmtId="166" fontId="9" fillId="5" borderId="17" xfId="6" applyNumberFormat="1" applyFont="1" applyFill="1" applyBorder="1" applyAlignment="1">
      <alignment horizontal="left" indent="3"/>
    </xf>
    <xf numFmtId="167" fontId="10" fillId="5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2" xfId="0" applyFont="1" applyBorder="1" applyAlignment="1">
      <alignment horizontal="right"/>
    </xf>
    <xf numFmtId="0" fontId="7" fillId="0" borderId="10" xfId="0" applyFont="1" applyBorder="1" applyAlignment="1">
      <alignment horizontal="left"/>
    </xf>
    <xf numFmtId="164" fontId="6" fillId="0" borderId="9" xfId="0" applyNumberFormat="1" applyFont="1" applyBorder="1" applyAlignment="1">
      <alignment horizontal="left"/>
    </xf>
    <xf numFmtId="164" fontId="6" fillId="0" borderId="12" xfId="0" applyNumberFormat="1" applyFont="1" applyBorder="1" applyAlignment="1">
      <alignment horizontal="left"/>
    </xf>
    <xf numFmtId="2" fontId="11" fillId="0" borderId="20" xfId="0" applyNumberFormat="1" applyFont="1" applyBorder="1"/>
    <xf numFmtId="0" fontId="7" fillId="0" borderId="2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3" fillId="0" borderId="24" xfId="0" applyFont="1" applyBorder="1"/>
    <xf numFmtId="2" fontId="11" fillId="0" borderId="21" xfId="0" applyNumberFormat="1" applyFont="1" applyBorder="1"/>
    <xf numFmtId="0" fontId="13" fillId="3" borderId="20" xfId="0" applyFont="1" applyFill="1" applyBorder="1"/>
    <xf numFmtId="0" fontId="13" fillId="0" borderId="20" xfId="0" applyFont="1" applyBorder="1"/>
    <xf numFmtId="0" fontId="7" fillId="0" borderId="20" xfId="0" applyFont="1" applyBorder="1" applyAlignment="1">
      <alignment horizontal="left"/>
    </xf>
    <xf numFmtId="0" fontId="13" fillId="0" borderId="20" xfId="4" applyFont="1" applyBorder="1"/>
    <xf numFmtId="0" fontId="7" fillId="0" borderId="20" xfId="0" applyFont="1" applyBorder="1"/>
    <xf numFmtId="2" fontId="9" fillId="5" borderId="2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2" fontId="9" fillId="5" borderId="19" xfId="0" applyNumberFormat="1" applyFont="1" applyFill="1" applyBorder="1" applyAlignment="1">
      <alignment vertical="center"/>
    </xf>
    <xf numFmtId="0" fontId="13" fillId="0" borderId="25" xfId="0" applyFont="1" applyBorder="1"/>
    <xf numFmtId="2" fontId="11" fillId="0" borderId="25" xfId="0" applyNumberFormat="1" applyFont="1" applyBorder="1"/>
    <xf numFmtId="0" fontId="7" fillId="0" borderId="8" xfId="0" applyFont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10" fillId="2" borderId="4" xfId="0" applyFont="1" applyFill="1" applyBorder="1"/>
    <xf numFmtId="0" fontId="10" fillId="2" borderId="5" xfId="0" applyFont="1" applyFill="1" applyBorder="1" applyAlignment="1">
      <alignment horizontal="right"/>
    </xf>
    <xf numFmtId="166" fontId="10" fillId="2" borderId="5" xfId="6" applyNumberFormat="1" applyFont="1" applyFill="1" applyBorder="1" applyAlignment="1">
      <alignment horizontal="left" indent="3"/>
    </xf>
    <xf numFmtId="167" fontId="10" fillId="2" borderId="6" xfId="0" applyNumberFormat="1" applyFont="1" applyFill="1" applyBorder="1" applyAlignment="1">
      <alignment horizontal="right"/>
    </xf>
    <xf numFmtId="167" fontId="7" fillId="0" borderId="21" xfId="0" applyNumberFormat="1" applyFont="1" applyBorder="1"/>
    <xf numFmtId="0" fontId="7" fillId="0" borderId="20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66" fontId="7" fillId="0" borderId="27" xfId="6" applyNumberFormat="1" applyFont="1" applyBorder="1"/>
    <xf numFmtId="166" fontId="7" fillId="0" borderId="27" xfId="6" applyNumberFormat="1" applyFont="1" applyBorder="1" applyAlignment="1">
      <alignment horizontal="left" indent="3"/>
    </xf>
    <xf numFmtId="167" fontId="7" fillId="0" borderId="23" xfId="0" applyNumberFormat="1" applyFont="1" applyBorder="1"/>
    <xf numFmtId="0" fontId="7" fillId="0" borderId="2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7" fontId="12" fillId="0" borderId="3" xfId="0" applyNumberFormat="1" applyFont="1" applyBorder="1" applyAlignment="1">
      <alignment vertical="center"/>
    </xf>
    <xf numFmtId="166" fontId="12" fillId="0" borderId="1" xfId="6" applyNumberFormat="1" applyFont="1" applyBorder="1" applyAlignment="1">
      <alignment horizontal="center" vertical="center"/>
    </xf>
    <xf numFmtId="14" fontId="17" fillId="0" borderId="14" xfId="0" applyNumberFormat="1" applyFont="1" applyBorder="1" applyAlignment="1">
      <alignment horizontal="center"/>
    </xf>
    <xf numFmtId="1" fontId="11" fillId="0" borderId="8" xfId="0" applyNumberFormat="1" applyFont="1" applyBorder="1" applyAlignment="1">
      <alignment horizontal="center" vertical="center"/>
    </xf>
    <xf numFmtId="1" fontId="11" fillId="0" borderId="21" xfId="0" applyNumberFormat="1" applyFont="1" applyBorder="1" applyAlignment="1">
      <alignment horizontal="center" vertical="center"/>
    </xf>
    <xf numFmtId="168" fontId="7" fillId="0" borderId="21" xfId="0" applyNumberFormat="1" applyFont="1" applyBorder="1"/>
    <xf numFmtId="0" fontId="7" fillId="6" borderId="20" xfId="0" applyFont="1" applyFill="1" applyBorder="1"/>
    <xf numFmtId="166" fontId="7" fillId="6" borderId="7" xfId="6" applyNumberFormat="1" applyFont="1" applyFill="1" applyBorder="1"/>
    <xf numFmtId="166" fontId="7" fillId="6" borderId="7" xfId="6" applyNumberFormat="1" applyFont="1" applyFill="1" applyBorder="1" applyAlignment="1">
      <alignment horizontal="left" indent="3"/>
    </xf>
    <xf numFmtId="168" fontId="7" fillId="6" borderId="21" xfId="0" applyNumberFormat="1" applyFont="1" applyFill="1" applyBorder="1"/>
    <xf numFmtId="0" fontId="14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67" fontId="7" fillId="0" borderId="0" xfId="6" applyNumberFormat="1" applyFont="1" applyFill="1" applyBorder="1"/>
    <xf numFmtId="0" fontId="16" fillId="0" borderId="0" xfId="0" applyFont="1" applyAlignment="1">
      <alignment horizontal="center"/>
    </xf>
    <xf numFmtId="14" fontId="17" fillId="0" borderId="28" xfId="0" applyNumberFormat="1" applyFont="1" applyBorder="1" applyAlignment="1">
      <alignment horizontal="center"/>
    </xf>
    <xf numFmtId="0" fontId="13" fillId="0" borderId="29" xfId="0" applyFont="1" applyBorder="1"/>
    <xf numFmtId="2" fontId="11" fillId="0" borderId="30" xfId="0" applyNumberFormat="1" applyFont="1" applyBorder="1"/>
    <xf numFmtId="2" fontId="11" fillId="0" borderId="29" xfId="0" applyNumberFormat="1" applyFont="1" applyBorder="1"/>
    <xf numFmtId="0" fontId="7" fillId="0" borderId="32" xfId="0" applyFont="1" applyBorder="1" applyAlignment="1">
      <alignment horizontal="center"/>
    </xf>
    <xf numFmtId="166" fontId="11" fillId="2" borderId="31" xfId="6" applyNumberFormat="1" applyFont="1" applyFill="1" applyBorder="1" applyAlignment="1">
      <alignment horizontal="left" indent="3"/>
    </xf>
    <xf numFmtId="167" fontId="7" fillId="0" borderId="33" xfId="6" applyNumberFormat="1" applyFont="1" applyBorder="1"/>
    <xf numFmtId="0" fontId="14" fillId="0" borderId="15" xfId="0" applyFont="1" applyBorder="1" applyAlignment="1">
      <alignment horizontal="center"/>
    </xf>
    <xf numFmtId="0" fontId="16" fillId="2" borderId="17" xfId="0" applyFont="1" applyFill="1" applyBorder="1" applyAlignment="1">
      <alignment horizontal="center"/>
    </xf>
    <xf numFmtId="1" fontId="6" fillId="2" borderId="16" xfId="0" applyNumberFormat="1" applyFont="1" applyFill="1" applyBorder="1" applyAlignment="1">
      <alignment horizontal="center"/>
    </xf>
    <xf numFmtId="1" fontId="6" fillId="2" borderId="15" xfId="0" applyNumberFormat="1" applyFont="1" applyFill="1" applyBorder="1" applyAlignment="1">
      <alignment horizontal="center"/>
    </xf>
    <xf numFmtId="1" fontId="6" fillId="2" borderId="18" xfId="0" applyNumberFormat="1" applyFont="1" applyFill="1" applyBorder="1" applyAlignment="1">
      <alignment horizontal="center"/>
    </xf>
    <xf numFmtId="1" fontId="6" fillId="2" borderId="19" xfId="0" applyNumberFormat="1" applyFont="1" applyFill="1" applyBorder="1" applyAlignment="1">
      <alignment horizontal="center"/>
    </xf>
    <xf numFmtId="167" fontId="7" fillId="2" borderId="18" xfId="6" applyNumberFormat="1" applyFont="1" applyFill="1" applyBorder="1"/>
    <xf numFmtId="43" fontId="7" fillId="0" borderId="7" xfId="6" applyFont="1" applyBorder="1"/>
    <xf numFmtId="43" fontId="7" fillId="0" borderId="0" xfId="6" applyFont="1"/>
    <xf numFmtId="166" fontId="7" fillId="0" borderId="0" xfId="6" applyNumberFormat="1" applyFont="1"/>
    <xf numFmtId="43" fontId="18" fillId="0" borderId="7" xfId="6" applyFont="1" applyBorder="1"/>
    <xf numFmtId="166" fontId="18" fillId="0" borderId="7" xfId="6" applyNumberFormat="1" applyFont="1" applyBorder="1"/>
    <xf numFmtId="167" fontId="7" fillId="6" borderId="0" xfId="0" applyNumberFormat="1" applyFont="1" applyFill="1"/>
    <xf numFmtId="1" fontId="11" fillId="0" borderId="21" xfId="0" applyNumberFormat="1" applyFont="1" applyBorder="1" applyAlignment="1">
      <alignment horizontal="center"/>
    </xf>
    <xf numFmtId="1" fontId="11" fillId="0" borderId="30" xfId="0" applyNumberFormat="1" applyFont="1" applyBorder="1" applyAlignment="1">
      <alignment horizontal="center"/>
    </xf>
    <xf numFmtId="166" fontId="7" fillId="0" borderId="7" xfId="6" applyNumberFormat="1" applyFont="1" applyFill="1" applyBorder="1"/>
    <xf numFmtId="166" fontId="7" fillId="0" borderId="7" xfId="6" applyNumberFormat="1" applyFont="1" applyFill="1" applyBorder="1" applyAlignment="1">
      <alignment horizontal="left" indent="3"/>
    </xf>
    <xf numFmtId="0" fontId="7" fillId="0" borderId="0" xfId="0" applyFont="1" applyAlignment="1">
      <alignment horizontal="center" vertical="center"/>
    </xf>
    <xf numFmtId="2" fontId="11" fillId="0" borderId="21" xfId="0" applyNumberFormat="1" applyFont="1" applyBorder="1" applyAlignment="1">
      <alignment horizontal="center" vertical="center"/>
    </xf>
    <xf numFmtId="0" fontId="9" fillId="2" borderId="9" xfId="0" applyFont="1" applyFill="1" applyBorder="1" applyAlignment="1">
      <alignment horizontal="center" wrapText="1"/>
    </xf>
    <xf numFmtId="0" fontId="9" fillId="2" borderId="12" xfId="0" applyFont="1" applyFill="1" applyBorder="1" applyAlignment="1">
      <alignment horizontal="center" wrapText="1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166" fontId="9" fillId="2" borderId="9" xfId="6" applyNumberFormat="1" applyFont="1" applyFill="1" applyBorder="1" applyAlignment="1">
      <alignment horizontal="center" vertical="center" wrapText="1"/>
    </xf>
    <xf numFmtId="166" fontId="9" fillId="2" borderId="12" xfId="6" applyNumberFormat="1" applyFont="1" applyFill="1" applyBorder="1" applyAlignment="1">
      <alignment horizontal="center" vertical="center" wrapText="1"/>
    </xf>
    <xf numFmtId="167" fontId="10" fillId="2" borderId="9" xfId="0" applyNumberFormat="1" applyFont="1" applyFill="1" applyBorder="1" applyAlignment="1">
      <alignment horizontal="left" vertical="center" wrapText="1"/>
    </xf>
    <xf numFmtId="167" fontId="10" fillId="2" borderId="12" xfId="0" applyNumberFormat="1" applyFont="1" applyFill="1" applyBorder="1" applyAlignment="1">
      <alignment horizontal="left" vertical="center" wrapText="1"/>
    </xf>
    <xf numFmtId="166" fontId="7" fillId="0" borderId="21" xfId="6" applyNumberFormat="1" applyFont="1" applyBorder="1"/>
  </cellXfs>
  <cellStyles count="7">
    <cellStyle name="Binlik Ayracı [0]" xfId="1" builtinId="6"/>
    <cellStyle name="Neutral 2" xfId="3" xr:uid="{BD365A22-152B-4E16-B311-3EA9F2E3AB3E}"/>
    <cellStyle name="Normal" xfId="0" builtinId="0"/>
    <cellStyle name="Normal 2" xfId="2" xr:uid="{3315B671-0125-45A0-9626-6D43D38991F1}"/>
    <cellStyle name="Normal 2 2" xfId="5" xr:uid="{F2C2F254-E34F-4E90-AF0D-1ADC508F5698}"/>
    <cellStyle name="Normal 3" xfId="4" xr:uid="{76C9C569-46A5-45EF-822D-D20989109654}"/>
    <cellStyle name="Virgül" xfId="6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axter\Nalozi%20za%20fakturisanje\GrundfosIn&#273;.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arun/Desktop/COCO/Ocak%20Ay&#305;%20Faturas&#305;.xlsx" TargetMode="External"/><Relationship Id="rId1" Type="http://schemas.openxmlformats.org/officeDocument/2006/relationships/externalLinkPath" Target="/Users/harun/Desktop/COCO/Ocak%20Ay&#305;%20Faturas&#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 2015"/>
      <sheetName val="MART2015 ispravka"/>
      <sheetName val="MART2015"/>
      <sheetName val="OKTOBAR2014"/>
      <sheetName val="SEPTEMBAR2014"/>
      <sheetName val="AVGUST2014"/>
      <sheetName val="JUL2014"/>
      <sheetName val="JUN2014"/>
      <sheetName val="JUN2013"/>
      <sheetName val="MAJ2013"/>
      <sheetName val="februar2013"/>
      <sheetName val="Januar2013"/>
      <sheetName val="DECEMBAR2012"/>
      <sheetName val="NOVEMBAR2012"/>
      <sheetName val="OKTOBAR2012"/>
      <sheetName val="SEPTEMB12"/>
      <sheetName val="AVGUST12"/>
      <sheetName val="JUL2012"/>
      <sheetName val="JUN2012"/>
      <sheetName val="MAJ2012"/>
      <sheetName val="APRIL2012"/>
      <sheetName val="MART2012"/>
      <sheetName val="FEB2012"/>
      <sheetName val="JAN2012"/>
      <sheetName val="DEC11"/>
      <sheetName val="NOV11"/>
      <sheetName val="OKB2011"/>
      <sheetName val="SEPT11"/>
      <sheetName val="AVGUST11"/>
      <sheetName val="JUL11"/>
      <sheetName val="JUN11"/>
      <sheetName val="MAJ11"/>
      <sheetName val="APRIL11"/>
      <sheetName val="MART11"/>
      <sheetName val="FEB11"/>
      <sheetName val="JAN11"/>
      <sheetName val="DEC10"/>
      <sheetName val="NOV10"/>
      <sheetName val="oktob10"/>
      <sheetName val="sept10"/>
      <sheetName val="07"/>
      <sheetName val="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6">
          <cell r="H6">
            <v>105.11109999999999</v>
          </cell>
        </row>
      </sheetData>
      <sheetData sheetId="4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Çıkış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arun şarapcıoğlu" id="{64454364-2AD7-E548-89AE-434D71B5660E}" userId="c30817086ea9f711" providerId="Windows Live"/>
</personList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4-03T07:59:33.15" personId="{64454364-2AD7-E548-89AE-434D71B5660E}" id="{60243D7B-124B-FA4C-A72B-E2C73A917954}">
    <text>278 mağazadan gelen mobilya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BC349-8EB4-4266-8F6F-7CD17573534F}">
  <dimension ref="A1:H67"/>
  <sheetViews>
    <sheetView showGridLines="0" topLeftCell="A38" zoomScale="130" zoomScaleNormal="130" zoomScaleSheetLayoutView="100" workbookViewId="0">
      <selection activeCell="G64" sqref="G64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46023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46053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13599</v>
      </c>
      <c r="G10" s="26"/>
    </row>
    <row r="11" spans="1:7" ht="13.5" customHeight="1" x14ac:dyDescent="0.2">
      <c r="A11" s="63">
        <v>46023</v>
      </c>
      <c r="B11" s="45" t="s">
        <v>34</v>
      </c>
      <c r="C11" s="64">
        <v>13354</v>
      </c>
      <c r="D11" s="46"/>
      <c r="E11" s="47"/>
      <c r="F11" s="23">
        <f>F10</f>
        <v>13599</v>
      </c>
      <c r="G11" s="24">
        <f t="shared" ref="G11:G40" si="0">F11*$F$53</f>
        <v>421569</v>
      </c>
    </row>
    <row r="12" spans="1:7" ht="14.25" customHeight="1" x14ac:dyDescent="0.2">
      <c r="A12" s="63">
        <v>46024</v>
      </c>
      <c r="B12" s="35" t="s">
        <v>33</v>
      </c>
      <c r="C12" s="65">
        <v>1187</v>
      </c>
      <c r="D12" s="32"/>
      <c r="E12" s="47"/>
      <c r="F12" s="10">
        <f t="shared" ref="F12:F39" si="1">F11+C12-E12</f>
        <v>14786</v>
      </c>
      <c r="G12" s="11">
        <f t="shared" si="0"/>
        <v>458366</v>
      </c>
    </row>
    <row r="13" spans="1:7" ht="13.5" customHeight="1" x14ac:dyDescent="0.2">
      <c r="A13" s="63">
        <v>46025</v>
      </c>
      <c r="B13" s="37" t="s">
        <v>19</v>
      </c>
      <c r="C13" s="65">
        <v>1337</v>
      </c>
      <c r="D13" s="32"/>
      <c r="E13" s="47"/>
      <c r="F13" s="10">
        <f t="shared" si="1"/>
        <v>16123</v>
      </c>
      <c r="G13" s="11">
        <f t="shared" si="0"/>
        <v>499813</v>
      </c>
    </row>
    <row r="14" spans="1:7" x14ac:dyDescent="0.2">
      <c r="A14" s="63">
        <v>46026</v>
      </c>
      <c r="B14" s="38" t="s">
        <v>20</v>
      </c>
      <c r="C14" s="65">
        <v>1609</v>
      </c>
      <c r="D14" s="32"/>
      <c r="E14" s="47"/>
      <c r="F14" s="10">
        <f t="shared" si="1"/>
        <v>17732</v>
      </c>
      <c r="G14" s="11">
        <f t="shared" si="0"/>
        <v>549692</v>
      </c>
    </row>
    <row r="15" spans="1:7" x14ac:dyDescent="0.2">
      <c r="A15" s="63">
        <v>46027</v>
      </c>
      <c r="B15" s="37" t="s">
        <v>21</v>
      </c>
      <c r="C15" s="65">
        <v>1308</v>
      </c>
      <c r="D15" s="32"/>
      <c r="E15" s="47"/>
      <c r="F15" s="10">
        <f t="shared" si="1"/>
        <v>19040</v>
      </c>
      <c r="G15" s="11">
        <f t="shared" si="0"/>
        <v>590240</v>
      </c>
    </row>
    <row r="16" spans="1:7" x14ac:dyDescent="0.2">
      <c r="A16" s="63">
        <v>46028</v>
      </c>
      <c r="B16" s="38" t="s">
        <v>22</v>
      </c>
      <c r="C16" s="65">
        <v>1114</v>
      </c>
      <c r="D16" s="32"/>
      <c r="E16" s="47"/>
      <c r="F16" s="10">
        <f t="shared" si="1"/>
        <v>20154</v>
      </c>
      <c r="G16" s="11">
        <f t="shared" si="0"/>
        <v>624774</v>
      </c>
    </row>
    <row r="17" spans="1:7" x14ac:dyDescent="0.2">
      <c r="A17" s="63">
        <v>46029</v>
      </c>
      <c r="B17" s="39" t="s">
        <v>23</v>
      </c>
      <c r="C17" s="65">
        <v>65</v>
      </c>
      <c r="D17" s="32"/>
      <c r="E17" s="47"/>
      <c r="F17" s="10">
        <f t="shared" si="1"/>
        <v>20219</v>
      </c>
      <c r="G17" s="11">
        <f t="shared" si="0"/>
        <v>626789</v>
      </c>
    </row>
    <row r="18" spans="1:7" x14ac:dyDescent="0.2">
      <c r="A18" s="63">
        <v>46030</v>
      </c>
      <c r="B18" s="38" t="s">
        <v>24</v>
      </c>
      <c r="C18" s="65">
        <v>1568</v>
      </c>
      <c r="D18" s="32"/>
      <c r="E18" s="47"/>
      <c r="F18" s="10">
        <f t="shared" si="1"/>
        <v>21787</v>
      </c>
      <c r="G18" s="11">
        <f t="shared" si="0"/>
        <v>675397</v>
      </c>
    </row>
    <row r="19" spans="1:7" ht="13.5" customHeight="1" x14ac:dyDescent="0.2">
      <c r="A19" s="63">
        <v>46031</v>
      </c>
      <c r="B19" s="38" t="s">
        <v>25</v>
      </c>
      <c r="C19" s="65">
        <v>1022</v>
      </c>
      <c r="D19" s="33"/>
      <c r="E19" s="47">
        <f>VLOOKUP(A19,[2]Çıkış!$A:$H,8,FALSE)</f>
        <v>1441</v>
      </c>
      <c r="F19" s="10">
        <f t="shared" si="1"/>
        <v>21368</v>
      </c>
      <c r="G19" s="11">
        <f t="shared" si="0"/>
        <v>662408</v>
      </c>
    </row>
    <row r="20" spans="1:7" x14ac:dyDescent="0.2">
      <c r="A20" s="63">
        <v>46032</v>
      </c>
      <c r="B20" s="37" t="s">
        <v>26</v>
      </c>
      <c r="C20" s="65">
        <v>943</v>
      </c>
      <c r="D20" s="33"/>
      <c r="E20" s="47"/>
      <c r="F20" s="10">
        <f t="shared" si="1"/>
        <v>22311</v>
      </c>
      <c r="G20" s="11">
        <f t="shared" si="0"/>
        <v>691641</v>
      </c>
    </row>
    <row r="21" spans="1:7" x14ac:dyDescent="0.2">
      <c r="A21" s="63">
        <v>46033</v>
      </c>
      <c r="B21" s="40" t="s">
        <v>27</v>
      </c>
      <c r="C21" s="65">
        <v>134</v>
      </c>
      <c r="D21" s="33"/>
      <c r="E21" s="47"/>
      <c r="F21" s="10">
        <f t="shared" si="1"/>
        <v>22445</v>
      </c>
      <c r="G21" s="11">
        <f t="shared" si="0"/>
        <v>695795</v>
      </c>
    </row>
    <row r="22" spans="1:7" x14ac:dyDescent="0.2">
      <c r="A22" s="63">
        <v>46034</v>
      </c>
      <c r="B22" s="39" t="s">
        <v>28</v>
      </c>
      <c r="C22" s="65">
        <v>1131</v>
      </c>
      <c r="D22" s="33"/>
      <c r="E22" s="47">
        <f>VLOOKUP(A22,[2]Çıkış!$A:$H,8,FALSE)</f>
        <v>964</v>
      </c>
      <c r="F22" s="10">
        <f t="shared" si="1"/>
        <v>22612</v>
      </c>
      <c r="G22" s="11">
        <f t="shared" si="0"/>
        <v>700972</v>
      </c>
    </row>
    <row r="23" spans="1:7" x14ac:dyDescent="0.2">
      <c r="A23" s="63">
        <v>46035</v>
      </c>
      <c r="B23" s="38" t="s">
        <v>29</v>
      </c>
      <c r="C23" s="65">
        <v>490</v>
      </c>
      <c r="D23" s="33"/>
      <c r="E23" s="47">
        <f>VLOOKUP(A23,[2]Çıkış!$A:$H,8,FALSE)</f>
        <v>205</v>
      </c>
      <c r="F23" s="10">
        <f t="shared" si="1"/>
        <v>22897</v>
      </c>
      <c r="G23" s="11">
        <f t="shared" si="0"/>
        <v>709807</v>
      </c>
    </row>
    <row r="24" spans="1:7" x14ac:dyDescent="0.2">
      <c r="A24" s="63">
        <v>46036</v>
      </c>
      <c r="B24" s="38" t="s">
        <v>30</v>
      </c>
      <c r="C24" s="65">
        <v>724</v>
      </c>
      <c r="D24" s="33"/>
      <c r="E24" s="47"/>
      <c r="F24" s="10">
        <f t="shared" si="1"/>
        <v>23621</v>
      </c>
      <c r="G24" s="11">
        <f t="shared" si="0"/>
        <v>732251</v>
      </c>
    </row>
    <row r="25" spans="1:7" x14ac:dyDescent="0.2">
      <c r="A25" s="63">
        <v>46037</v>
      </c>
      <c r="B25" s="38" t="s">
        <v>31</v>
      </c>
      <c r="C25" s="65">
        <v>1285</v>
      </c>
      <c r="D25" s="33"/>
      <c r="E25" s="47"/>
      <c r="F25" s="10">
        <f t="shared" si="1"/>
        <v>24906</v>
      </c>
      <c r="G25" s="11">
        <f t="shared" si="0"/>
        <v>772086</v>
      </c>
    </row>
    <row r="26" spans="1:7" ht="13.5" customHeight="1" x14ac:dyDescent="0.2">
      <c r="A26" s="63">
        <v>46038</v>
      </c>
      <c r="B26" s="38" t="s">
        <v>32</v>
      </c>
      <c r="C26" s="65">
        <v>1058</v>
      </c>
      <c r="D26" s="33"/>
      <c r="E26" s="47">
        <f>VLOOKUP(A26,[2]Çıkış!$A:$H,8,FALSE)</f>
        <v>381</v>
      </c>
      <c r="F26" s="10">
        <f t="shared" si="1"/>
        <v>25583</v>
      </c>
      <c r="G26" s="11">
        <f t="shared" si="0"/>
        <v>793073</v>
      </c>
    </row>
    <row r="27" spans="1:7" x14ac:dyDescent="0.2">
      <c r="A27" s="63">
        <v>46039</v>
      </c>
      <c r="B27" s="38"/>
      <c r="C27" s="36"/>
      <c r="D27" s="33"/>
      <c r="E27" s="47"/>
      <c r="F27" s="10">
        <f t="shared" si="1"/>
        <v>25583</v>
      </c>
      <c r="G27" s="11">
        <f t="shared" si="0"/>
        <v>793073</v>
      </c>
    </row>
    <row r="28" spans="1:7" x14ac:dyDescent="0.2">
      <c r="A28" s="63">
        <v>46040</v>
      </c>
      <c r="B28" s="38"/>
      <c r="C28" s="36"/>
      <c r="D28" s="33"/>
      <c r="E28" s="47"/>
      <c r="F28" s="10">
        <f t="shared" si="1"/>
        <v>25583</v>
      </c>
      <c r="G28" s="11">
        <f t="shared" si="0"/>
        <v>793073</v>
      </c>
    </row>
    <row r="29" spans="1:7" x14ac:dyDescent="0.2">
      <c r="A29" s="63">
        <v>46041</v>
      </c>
      <c r="B29" s="38"/>
      <c r="C29" s="36"/>
      <c r="D29" s="34"/>
      <c r="E29" s="47">
        <f>VLOOKUP(A29,[2]Çıkış!$A:$H,8,FALSE)</f>
        <v>690</v>
      </c>
      <c r="F29" s="10">
        <f t="shared" si="1"/>
        <v>24893</v>
      </c>
      <c r="G29" s="11">
        <f t="shared" si="0"/>
        <v>771683</v>
      </c>
    </row>
    <row r="30" spans="1:7" x14ac:dyDescent="0.2">
      <c r="A30" s="63">
        <v>46042</v>
      </c>
      <c r="B30" s="38"/>
      <c r="C30" s="36"/>
      <c r="D30" s="33"/>
      <c r="E30" s="47">
        <f>VLOOKUP(A30,[2]Çıkış!$A:$H,8,FALSE)</f>
        <v>894</v>
      </c>
      <c r="F30" s="10">
        <f t="shared" si="1"/>
        <v>23999</v>
      </c>
      <c r="G30" s="11">
        <f t="shared" si="0"/>
        <v>743969</v>
      </c>
    </row>
    <row r="31" spans="1:7" x14ac:dyDescent="0.2">
      <c r="A31" s="63">
        <v>46043</v>
      </c>
      <c r="B31" s="37"/>
      <c r="C31" s="36"/>
      <c r="D31" s="33"/>
      <c r="E31" s="47">
        <f>VLOOKUP(A31,[2]Çıkış!$A:$H,8,FALSE)</f>
        <v>1103</v>
      </c>
      <c r="F31" s="10">
        <f t="shared" si="1"/>
        <v>22896</v>
      </c>
      <c r="G31" s="11">
        <f t="shared" si="0"/>
        <v>709776</v>
      </c>
    </row>
    <row r="32" spans="1:7" x14ac:dyDescent="0.2">
      <c r="A32" s="63">
        <v>46044</v>
      </c>
      <c r="B32" s="38"/>
      <c r="C32" s="36"/>
      <c r="D32" s="33"/>
      <c r="E32" s="47">
        <f>VLOOKUP(A32,[2]Çıkış!$A:$H,8,FALSE)</f>
        <v>1163</v>
      </c>
      <c r="F32" s="10">
        <f t="shared" si="1"/>
        <v>21733</v>
      </c>
      <c r="G32" s="11">
        <f t="shared" si="0"/>
        <v>673723</v>
      </c>
    </row>
    <row r="33" spans="1:8" x14ac:dyDescent="0.2">
      <c r="A33" s="63">
        <v>46045</v>
      </c>
      <c r="B33" s="38"/>
      <c r="C33" s="36"/>
      <c r="D33" s="33"/>
      <c r="E33" s="47">
        <f>VLOOKUP(A33,[2]Çıkış!$A:$H,8,FALSE)</f>
        <v>1487</v>
      </c>
      <c r="F33" s="10">
        <f t="shared" si="1"/>
        <v>20246</v>
      </c>
      <c r="G33" s="11">
        <f t="shared" si="0"/>
        <v>627626</v>
      </c>
    </row>
    <row r="34" spans="1:8" x14ac:dyDescent="0.2">
      <c r="A34" s="63">
        <v>46046</v>
      </c>
      <c r="B34" s="38"/>
      <c r="C34" s="36"/>
      <c r="D34" s="33"/>
      <c r="E34" s="47"/>
      <c r="F34" s="10">
        <f t="shared" si="1"/>
        <v>20246</v>
      </c>
      <c r="G34" s="11">
        <f t="shared" si="0"/>
        <v>627626</v>
      </c>
    </row>
    <row r="35" spans="1:8" x14ac:dyDescent="0.2">
      <c r="A35" s="63">
        <v>46047</v>
      </c>
      <c r="B35" s="41"/>
      <c r="C35" s="36"/>
      <c r="D35" s="33"/>
      <c r="E35" s="47"/>
      <c r="F35" s="10">
        <f t="shared" si="1"/>
        <v>20246</v>
      </c>
      <c r="G35" s="11">
        <f t="shared" si="0"/>
        <v>627626</v>
      </c>
    </row>
    <row r="36" spans="1:8" ht="13.5" customHeight="1" x14ac:dyDescent="0.2">
      <c r="A36" s="63">
        <v>46048</v>
      </c>
      <c r="B36" s="38"/>
      <c r="C36" s="36"/>
      <c r="D36" s="32"/>
      <c r="E36" s="47">
        <f>VLOOKUP(A36,[2]Çıkış!$A:$H,8,FALSE)</f>
        <v>277</v>
      </c>
      <c r="F36" s="10">
        <f t="shared" si="1"/>
        <v>19969</v>
      </c>
      <c r="G36" s="11">
        <f t="shared" si="0"/>
        <v>619039</v>
      </c>
    </row>
    <row r="37" spans="1:8" x14ac:dyDescent="0.2">
      <c r="A37" s="63">
        <v>46049</v>
      </c>
      <c r="B37" s="38"/>
      <c r="C37" s="36"/>
      <c r="D37" s="32"/>
      <c r="E37" s="47"/>
      <c r="F37" s="10">
        <f t="shared" si="1"/>
        <v>19969</v>
      </c>
      <c r="G37" s="11">
        <f t="shared" si="0"/>
        <v>619039</v>
      </c>
    </row>
    <row r="38" spans="1:8" x14ac:dyDescent="0.2">
      <c r="A38" s="63">
        <v>46050</v>
      </c>
      <c r="B38" s="41"/>
      <c r="C38" s="36"/>
      <c r="D38" s="32"/>
      <c r="E38" s="47">
        <f>VLOOKUP(A38,[2]Çıkış!$A:$H,8,FALSE)</f>
        <v>893</v>
      </c>
      <c r="F38" s="10">
        <f t="shared" si="1"/>
        <v>19076</v>
      </c>
      <c r="G38" s="11">
        <f t="shared" si="0"/>
        <v>591356</v>
      </c>
    </row>
    <row r="39" spans="1:8" x14ac:dyDescent="0.2">
      <c r="A39" s="63">
        <v>46051</v>
      </c>
      <c r="B39" s="38"/>
      <c r="C39" s="36"/>
      <c r="D39" s="32"/>
      <c r="E39" s="47">
        <f>VLOOKUP(A39,[2]Çıkış!$A:$H,8,FALSE)</f>
        <v>1815</v>
      </c>
      <c r="F39" s="10">
        <f t="shared" si="1"/>
        <v>17261</v>
      </c>
      <c r="G39" s="11">
        <f t="shared" si="0"/>
        <v>535091</v>
      </c>
    </row>
    <row r="40" spans="1:8" x14ac:dyDescent="0.2">
      <c r="A40" s="63">
        <v>46052</v>
      </c>
      <c r="B40" s="38"/>
      <c r="C40" s="36"/>
      <c r="D40" s="32"/>
      <c r="E40" s="47">
        <f>VLOOKUP(A40,[2]Çıkış!$A:$H,8,FALSE)</f>
        <v>608</v>
      </c>
      <c r="F40" s="10">
        <f>F39+C40-E40</f>
        <v>16653</v>
      </c>
      <c r="G40" s="11">
        <f t="shared" si="0"/>
        <v>516243</v>
      </c>
    </row>
    <row r="41" spans="1:8" ht="12.75" thickBot="1" x14ac:dyDescent="0.25">
      <c r="A41" s="75">
        <v>46053</v>
      </c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28329</v>
      </c>
      <c r="D42" s="85"/>
      <c r="E42" s="86">
        <f>SUM(E10:E41)</f>
        <v>11921</v>
      </c>
      <c r="F42" s="87">
        <f>SUM(F11:F41)</f>
        <v>627536</v>
      </c>
      <c r="G42" s="88">
        <f>SUM(G11:G41)</f>
        <v>19453616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3116190</v>
      </c>
      <c r="D45" s="12" t="s">
        <v>36</v>
      </c>
      <c r="E45" s="12">
        <f>E42*F52</f>
        <v>1311310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4427500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28329</v>
      </c>
      <c r="F51" s="13">
        <v>110</v>
      </c>
      <c r="G51" s="66">
        <f>E51*F51</f>
        <v>3116190</v>
      </c>
    </row>
    <row r="52" spans="4:8" x14ac:dyDescent="0.2">
      <c r="D52" s="41" t="s">
        <v>3</v>
      </c>
      <c r="E52" s="12">
        <f>E42</f>
        <v>11921</v>
      </c>
      <c r="F52" s="13">
        <v>110</v>
      </c>
      <c r="G52" s="66">
        <f t="shared" ref="G52" si="2">E52*F52</f>
        <v>1311310</v>
      </c>
      <c r="H52" s="14"/>
    </row>
    <row r="53" spans="4:8" ht="20.25" customHeight="1" x14ac:dyDescent="0.2">
      <c r="D53" s="67" t="s">
        <v>9</v>
      </c>
      <c r="E53" s="68">
        <f>F42</f>
        <v>627536</v>
      </c>
      <c r="F53" s="69">
        <v>31</v>
      </c>
      <c r="G53" s="70">
        <v>15000000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0</v>
      </c>
      <c r="F55" s="13">
        <v>900</v>
      </c>
      <c r="G55" s="53">
        <f>F55*E55</f>
        <v>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19427500</v>
      </c>
    </row>
    <row r="58" spans="4:8" ht="12.75" customHeight="1" x14ac:dyDescent="0.2">
      <c r="E58" s="16"/>
      <c r="F58" s="17" t="s">
        <v>39</v>
      </c>
      <c r="G58" s="18">
        <f>G57*1.16</f>
        <v>22535900</v>
      </c>
    </row>
    <row r="59" spans="4:8" x14ac:dyDescent="0.2">
      <c r="G59" s="94">
        <v>5135900</v>
      </c>
    </row>
    <row r="60" spans="4:8" x14ac:dyDescent="0.2">
      <c r="G60" s="94">
        <v>7400000</v>
      </c>
    </row>
    <row r="61" spans="4:8" x14ac:dyDescent="0.2">
      <c r="G61" s="94">
        <v>2500000</v>
      </c>
    </row>
    <row r="62" spans="4:8" x14ac:dyDescent="0.2">
      <c r="G62" s="94">
        <v>5000000</v>
      </c>
    </row>
    <row r="63" spans="4:8" x14ac:dyDescent="0.2">
      <c r="G63" s="94">
        <v>2500000</v>
      </c>
    </row>
    <row r="64" spans="4:8" x14ac:dyDescent="0.2">
      <c r="G64" s="4">
        <v>5912967</v>
      </c>
    </row>
    <row r="67" spans="7:7" x14ac:dyDescent="0.2">
      <c r="G67" s="4">
        <f>SUM(G59:G64)</f>
        <v>28448867</v>
      </c>
    </row>
  </sheetData>
  <mergeCells count="5">
    <mergeCell ref="B8:C8"/>
    <mergeCell ref="D8:E8"/>
    <mergeCell ref="A8:A9"/>
    <mergeCell ref="G8:G9"/>
    <mergeCell ref="F8:F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07D1F-5FC4-8549-91E3-5A4E440CE53B}">
  <dimension ref="A1:H58"/>
  <sheetViews>
    <sheetView showGridLines="0" topLeftCell="A33" zoomScale="130" zoomScaleNormal="130" zoomScaleSheetLayoutView="100" workbookViewId="0">
      <selection activeCell="B12" sqref="B12"/>
    </sheetView>
  </sheetViews>
  <sheetFormatPr defaultColWidth="9" defaultRowHeight="12" x14ac:dyDescent="0.2"/>
  <cols>
    <col min="1" max="1" width="10.5" style="5" bestFit="1" customWidth="1"/>
    <col min="2" max="2" width="25.87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8" width="14.5" style="2" bestFit="1" customWidth="1"/>
    <col min="9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46054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46081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16653</v>
      </c>
      <c r="G10" s="26"/>
    </row>
    <row r="11" spans="1:7" ht="13.5" customHeight="1" x14ac:dyDescent="0.2">
      <c r="A11" s="63">
        <v>46054</v>
      </c>
      <c r="B11" s="45"/>
      <c r="C11" s="64"/>
      <c r="D11" s="46"/>
      <c r="E11" s="47"/>
      <c r="F11" s="23">
        <f>F10</f>
        <v>16653</v>
      </c>
      <c r="G11" s="24">
        <f t="shared" ref="G11:G40" si="0">F11*$F$53</f>
        <v>516243</v>
      </c>
    </row>
    <row r="12" spans="1:7" ht="14.25" customHeight="1" x14ac:dyDescent="0.2">
      <c r="A12" s="63">
        <v>46055</v>
      </c>
      <c r="B12" s="35" t="s">
        <v>38</v>
      </c>
      <c r="C12" s="65">
        <v>565</v>
      </c>
      <c r="D12" s="32"/>
      <c r="E12" s="47"/>
      <c r="F12" s="10">
        <f>F11+C12-E12</f>
        <v>17218</v>
      </c>
      <c r="G12" s="11">
        <f t="shared" si="0"/>
        <v>533758</v>
      </c>
    </row>
    <row r="13" spans="1:7" ht="13.5" customHeight="1" x14ac:dyDescent="0.2">
      <c r="A13" s="63">
        <v>46056</v>
      </c>
      <c r="B13" s="37"/>
      <c r="C13" s="65">
        <v>1381</v>
      </c>
      <c r="D13" s="32"/>
      <c r="E13" s="47"/>
      <c r="F13" s="10">
        <f t="shared" ref="F13:F38" si="1">F12+C13-E13</f>
        <v>18599</v>
      </c>
      <c r="G13" s="11">
        <f t="shared" si="0"/>
        <v>576569</v>
      </c>
    </row>
    <row r="14" spans="1:7" x14ac:dyDescent="0.2">
      <c r="A14" s="63">
        <v>46057</v>
      </c>
      <c r="B14" s="38"/>
      <c r="C14" s="65">
        <v>1225</v>
      </c>
      <c r="D14" s="32"/>
      <c r="E14" s="47">
        <v>443</v>
      </c>
      <c r="F14" s="10">
        <f t="shared" si="1"/>
        <v>19381</v>
      </c>
      <c r="G14" s="11">
        <f t="shared" si="0"/>
        <v>600811</v>
      </c>
    </row>
    <row r="15" spans="1:7" x14ac:dyDescent="0.2">
      <c r="A15" s="63">
        <v>46058</v>
      </c>
      <c r="B15" s="37"/>
      <c r="C15" s="65"/>
      <c r="D15" s="32"/>
      <c r="E15" s="47">
        <v>1316</v>
      </c>
      <c r="F15" s="10">
        <f t="shared" si="1"/>
        <v>18065</v>
      </c>
      <c r="G15" s="11">
        <f t="shared" si="0"/>
        <v>560015</v>
      </c>
    </row>
    <row r="16" spans="1:7" x14ac:dyDescent="0.2">
      <c r="A16" s="63">
        <v>46059</v>
      </c>
      <c r="B16" s="38"/>
      <c r="C16" s="65"/>
      <c r="D16" s="32"/>
      <c r="E16" s="47">
        <v>1149</v>
      </c>
      <c r="F16" s="10">
        <f t="shared" si="1"/>
        <v>16916</v>
      </c>
      <c r="G16" s="11">
        <f t="shared" si="0"/>
        <v>524396</v>
      </c>
    </row>
    <row r="17" spans="1:7" x14ac:dyDescent="0.2">
      <c r="A17" s="63">
        <v>46060</v>
      </c>
      <c r="B17" s="39"/>
      <c r="C17" s="65"/>
      <c r="D17" s="32"/>
      <c r="E17" s="47"/>
      <c r="F17" s="10">
        <f t="shared" si="1"/>
        <v>16916</v>
      </c>
      <c r="G17" s="11">
        <f t="shared" si="0"/>
        <v>524396</v>
      </c>
    </row>
    <row r="18" spans="1:7" x14ac:dyDescent="0.2">
      <c r="A18" s="63">
        <v>46061</v>
      </c>
      <c r="B18" s="38"/>
      <c r="C18" s="65"/>
      <c r="D18" s="32"/>
      <c r="E18" s="47"/>
      <c r="F18" s="10">
        <f t="shared" si="1"/>
        <v>16916</v>
      </c>
      <c r="G18" s="11">
        <f t="shared" si="0"/>
        <v>524396</v>
      </c>
    </row>
    <row r="19" spans="1:7" ht="13.5" customHeight="1" x14ac:dyDescent="0.2">
      <c r="A19" s="63">
        <v>46062</v>
      </c>
      <c r="B19" s="38"/>
      <c r="C19" s="65"/>
      <c r="D19" s="33"/>
      <c r="E19" s="47"/>
      <c r="F19" s="10">
        <f t="shared" si="1"/>
        <v>16916</v>
      </c>
      <c r="G19" s="11">
        <f t="shared" si="0"/>
        <v>524396</v>
      </c>
    </row>
    <row r="20" spans="1:7" x14ac:dyDescent="0.2">
      <c r="A20" s="63">
        <v>46063</v>
      </c>
      <c r="B20" s="37"/>
      <c r="C20" s="65">
        <v>1168</v>
      </c>
      <c r="D20" s="33"/>
      <c r="E20" s="47"/>
      <c r="F20" s="10">
        <f t="shared" si="1"/>
        <v>18084</v>
      </c>
      <c r="G20" s="11">
        <f t="shared" si="0"/>
        <v>560604</v>
      </c>
    </row>
    <row r="21" spans="1:7" x14ac:dyDescent="0.2">
      <c r="A21" s="63">
        <v>46064</v>
      </c>
      <c r="B21" s="40"/>
      <c r="C21" s="65"/>
      <c r="D21" s="33"/>
      <c r="E21" s="47">
        <v>744</v>
      </c>
      <c r="F21" s="10">
        <f t="shared" si="1"/>
        <v>17340</v>
      </c>
      <c r="G21" s="11">
        <f t="shared" si="0"/>
        <v>537540</v>
      </c>
    </row>
    <row r="22" spans="1:7" x14ac:dyDescent="0.2">
      <c r="A22" s="63">
        <v>46065</v>
      </c>
      <c r="B22" s="39"/>
      <c r="C22" s="65"/>
      <c r="D22" s="33"/>
      <c r="E22" s="47">
        <v>608</v>
      </c>
      <c r="F22" s="10">
        <f t="shared" si="1"/>
        <v>16732</v>
      </c>
      <c r="G22" s="11">
        <f t="shared" si="0"/>
        <v>518692</v>
      </c>
    </row>
    <row r="23" spans="1:7" x14ac:dyDescent="0.2">
      <c r="A23" s="63">
        <v>46066</v>
      </c>
      <c r="B23" s="38"/>
      <c r="C23" s="65"/>
      <c r="D23" s="33"/>
      <c r="E23" s="47"/>
      <c r="F23" s="10">
        <f t="shared" si="1"/>
        <v>16732</v>
      </c>
      <c r="G23" s="11">
        <f t="shared" si="0"/>
        <v>518692</v>
      </c>
    </row>
    <row r="24" spans="1:7" x14ac:dyDescent="0.2">
      <c r="A24" s="63">
        <v>46067</v>
      </c>
      <c r="B24" s="38"/>
      <c r="C24" s="65"/>
      <c r="D24" s="33"/>
      <c r="E24" s="47"/>
      <c r="F24" s="10">
        <f t="shared" si="1"/>
        <v>16732</v>
      </c>
      <c r="G24" s="11">
        <f t="shared" si="0"/>
        <v>518692</v>
      </c>
    </row>
    <row r="25" spans="1:7" x14ac:dyDescent="0.2">
      <c r="A25" s="63">
        <v>46068</v>
      </c>
      <c r="B25" s="38"/>
      <c r="C25" s="65"/>
      <c r="D25" s="33"/>
      <c r="E25" s="47"/>
      <c r="F25" s="10">
        <f t="shared" si="1"/>
        <v>16732</v>
      </c>
      <c r="G25" s="11">
        <f t="shared" si="0"/>
        <v>518692</v>
      </c>
    </row>
    <row r="26" spans="1:7" ht="13.5" customHeight="1" x14ac:dyDescent="0.2">
      <c r="A26" s="63">
        <v>46069</v>
      </c>
      <c r="B26" s="38"/>
      <c r="C26" s="65"/>
      <c r="D26" s="33"/>
      <c r="E26" s="47">
        <v>470</v>
      </c>
      <c r="F26" s="10">
        <f t="shared" si="1"/>
        <v>16262</v>
      </c>
      <c r="G26" s="11">
        <f t="shared" si="0"/>
        <v>504122</v>
      </c>
    </row>
    <row r="27" spans="1:7" x14ac:dyDescent="0.2">
      <c r="A27" s="63">
        <v>46070</v>
      </c>
      <c r="B27" s="38"/>
      <c r="C27" s="36"/>
      <c r="D27" s="33"/>
      <c r="E27" s="47">
        <v>480</v>
      </c>
      <c r="F27" s="10">
        <f t="shared" si="1"/>
        <v>15782</v>
      </c>
      <c r="G27" s="11">
        <f t="shared" si="0"/>
        <v>489242</v>
      </c>
    </row>
    <row r="28" spans="1:7" x14ac:dyDescent="0.2">
      <c r="A28" s="63">
        <v>46071</v>
      </c>
      <c r="B28" s="38"/>
      <c r="C28" s="36"/>
      <c r="D28" s="33"/>
      <c r="E28" s="47"/>
      <c r="F28" s="10">
        <f t="shared" si="1"/>
        <v>15782</v>
      </c>
      <c r="G28" s="11">
        <f t="shared" si="0"/>
        <v>489242</v>
      </c>
    </row>
    <row r="29" spans="1:7" x14ac:dyDescent="0.2">
      <c r="A29" s="63">
        <v>46072</v>
      </c>
      <c r="B29" s="38"/>
      <c r="C29" s="65">
        <v>1999</v>
      </c>
      <c r="D29" s="34"/>
      <c r="E29" s="47">
        <v>642</v>
      </c>
      <c r="F29" s="10">
        <f t="shared" si="1"/>
        <v>17139</v>
      </c>
      <c r="G29" s="11">
        <f t="shared" si="0"/>
        <v>531309</v>
      </c>
    </row>
    <row r="30" spans="1:7" x14ac:dyDescent="0.2">
      <c r="A30" s="63">
        <v>46073</v>
      </c>
      <c r="B30" s="38"/>
      <c r="C30" s="36"/>
      <c r="D30" s="33"/>
      <c r="E30" s="47">
        <v>474</v>
      </c>
      <c r="F30" s="10">
        <f t="shared" si="1"/>
        <v>16665</v>
      </c>
      <c r="G30" s="11">
        <f t="shared" si="0"/>
        <v>516615</v>
      </c>
    </row>
    <row r="31" spans="1:7" x14ac:dyDescent="0.2">
      <c r="A31" s="63">
        <v>46074</v>
      </c>
      <c r="B31" s="37"/>
      <c r="C31" s="36"/>
      <c r="D31" s="33"/>
      <c r="E31" s="47"/>
      <c r="F31" s="10">
        <f t="shared" si="1"/>
        <v>16665</v>
      </c>
      <c r="G31" s="11">
        <f t="shared" si="0"/>
        <v>516615</v>
      </c>
    </row>
    <row r="32" spans="1:7" x14ac:dyDescent="0.2">
      <c r="A32" s="63">
        <v>46075</v>
      </c>
      <c r="B32" s="38"/>
      <c r="C32" s="36"/>
      <c r="D32" s="33"/>
      <c r="E32" s="47"/>
      <c r="F32" s="10">
        <f t="shared" si="1"/>
        <v>16665</v>
      </c>
      <c r="G32" s="11">
        <f t="shared" si="0"/>
        <v>516615</v>
      </c>
    </row>
    <row r="33" spans="1:8" x14ac:dyDescent="0.2">
      <c r="A33" s="63">
        <v>46076</v>
      </c>
      <c r="B33" s="38"/>
      <c r="C33" s="36"/>
      <c r="D33" s="33"/>
      <c r="E33" s="47"/>
      <c r="F33" s="10">
        <f t="shared" si="1"/>
        <v>16665</v>
      </c>
      <c r="G33" s="11">
        <f t="shared" si="0"/>
        <v>516615</v>
      </c>
    </row>
    <row r="34" spans="1:8" x14ac:dyDescent="0.2">
      <c r="A34" s="63">
        <v>46077</v>
      </c>
      <c r="B34" s="38"/>
      <c r="C34" s="36"/>
      <c r="D34" s="33"/>
      <c r="E34" s="47"/>
      <c r="F34" s="10">
        <f t="shared" si="1"/>
        <v>16665</v>
      </c>
      <c r="G34" s="11">
        <f t="shared" si="0"/>
        <v>516615</v>
      </c>
    </row>
    <row r="35" spans="1:8" x14ac:dyDescent="0.2">
      <c r="A35" s="63">
        <v>46078</v>
      </c>
      <c r="B35" s="41"/>
      <c r="C35" s="36"/>
      <c r="D35" s="33"/>
      <c r="E35" s="47"/>
      <c r="F35" s="10">
        <f t="shared" si="1"/>
        <v>16665</v>
      </c>
      <c r="G35" s="11">
        <f t="shared" si="0"/>
        <v>516615</v>
      </c>
    </row>
    <row r="36" spans="1:8" ht="13.5" customHeight="1" x14ac:dyDescent="0.2">
      <c r="A36" s="63">
        <v>46079</v>
      </c>
      <c r="B36" s="38"/>
      <c r="C36" s="36"/>
      <c r="D36" s="32"/>
      <c r="E36" s="47"/>
      <c r="F36" s="10">
        <f t="shared" si="1"/>
        <v>16665</v>
      </c>
      <c r="G36" s="11">
        <f t="shared" si="0"/>
        <v>516615</v>
      </c>
    </row>
    <row r="37" spans="1:8" x14ac:dyDescent="0.2">
      <c r="A37" s="63">
        <v>46080</v>
      </c>
      <c r="B37" s="38"/>
      <c r="C37" s="36"/>
      <c r="D37" s="32"/>
      <c r="E37" s="47"/>
      <c r="F37" s="10">
        <f t="shared" si="1"/>
        <v>16665</v>
      </c>
      <c r="G37" s="11">
        <f t="shared" si="0"/>
        <v>516615</v>
      </c>
    </row>
    <row r="38" spans="1:8" x14ac:dyDescent="0.2">
      <c r="A38" s="63">
        <v>46081</v>
      </c>
      <c r="B38" s="41"/>
      <c r="C38" s="36"/>
      <c r="D38" s="32"/>
      <c r="E38" s="47"/>
      <c r="F38" s="10">
        <f t="shared" si="1"/>
        <v>16665</v>
      </c>
      <c r="G38" s="11">
        <f t="shared" si="0"/>
        <v>516615</v>
      </c>
    </row>
    <row r="39" spans="1:8" x14ac:dyDescent="0.2">
      <c r="A39" s="63"/>
      <c r="B39" s="38"/>
      <c r="C39" s="36"/>
      <c r="D39" s="32"/>
      <c r="E39" s="47"/>
      <c r="F39" s="10"/>
      <c r="G39" s="11">
        <f t="shared" si="0"/>
        <v>0</v>
      </c>
    </row>
    <row r="40" spans="1:8" x14ac:dyDescent="0.2">
      <c r="A40" s="63"/>
      <c r="B40" s="38"/>
      <c r="C40" s="36"/>
      <c r="D40" s="32"/>
      <c r="E40" s="47"/>
      <c r="F40" s="10"/>
      <c r="G40" s="11">
        <f t="shared" si="0"/>
        <v>0</v>
      </c>
    </row>
    <row r="41" spans="1:8" ht="12.75" thickBot="1" x14ac:dyDescent="0.25">
      <c r="A41" s="63"/>
      <c r="B41" s="76"/>
      <c r="C41" s="77"/>
      <c r="D41" s="78"/>
      <c r="E41" s="79"/>
      <c r="F41" s="80"/>
      <c r="G41" s="81"/>
    </row>
    <row r="42" spans="1:8" ht="12.75" thickBot="1" x14ac:dyDescent="0.25">
      <c r="A42" s="82"/>
      <c r="B42" s="83" t="s">
        <v>13</v>
      </c>
      <c r="C42" s="84">
        <f>SUM(C11:C41)</f>
        <v>6338</v>
      </c>
      <c r="D42" s="85"/>
      <c r="E42" s="86">
        <f>SUM(E10:E41)</f>
        <v>6326</v>
      </c>
      <c r="F42" s="87">
        <f>SUM(F11:F41)</f>
        <v>474882</v>
      </c>
      <c r="G42" s="88">
        <f>SUM(G11:G41)</f>
        <v>14721342</v>
      </c>
    </row>
    <row r="43" spans="1:8" x14ac:dyDescent="0.2">
      <c r="A43" s="71"/>
      <c r="B43" s="74"/>
      <c r="C43" s="72"/>
      <c r="D43" s="72"/>
      <c r="E43" s="72"/>
      <c r="F43" s="72"/>
      <c r="G43" s="73"/>
    </row>
    <row r="44" spans="1:8" x14ac:dyDescent="0.2">
      <c r="A44" s="71"/>
      <c r="B44" s="74"/>
      <c r="C44" s="72"/>
      <c r="D44" s="72"/>
      <c r="E44" s="72"/>
      <c r="F44" s="72"/>
      <c r="G44" s="73"/>
    </row>
    <row r="45" spans="1:8" ht="12" customHeight="1" x14ac:dyDescent="0.2">
      <c r="B45" s="89" t="s">
        <v>35</v>
      </c>
      <c r="C45" s="12">
        <f>C42*F51</f>
        <v>697180</v>
      </c>
      <c r="D45" s="12" t="s">
        <v>36</v>
      </c>
      <c r="E45" s="12">
        <f>E42*F52</f>
        <v>695860</v>
      </c>
    </row>
    <row r="46" spans="1:8" x14ac:dyDescent="0.2">
      <c r="B46" s="90"/>
      <c r="C46" s="91"/>
      <c r="D46" s="91"/>
      <c r="E46" s="91"/>
    </row>
    <row r="47" spans="1:8" x14ac:dyDescent="0.2">
      <c r="B47" s="92" t="s">
        <v>37</v>
      </c>
      <c r="C47" s="93">
        <f>C45+E45</f>
        <v>1393040</v>
      </c>
      <c r="D47" s="91"/>
      <c r="E47" s="91"/>
    </row>
    <row r="48" spans="1:8" x14ac:dyDescent="0.2">
      <c r="H48" s="14"/>
    </row>
    <row r="49" spans="4:8" ht="12.75" thickBot="1" x14ac:dyDescent="0.25"/>
    <row r="50" spans="4:8" x14ac:dyDescent="0.2">
      <c r="D50" s="49"/>
      <c r="E50" s="50" t="s">
        <v>10</v>
      </c>
      <c r="F50" s="51" t="s">
        <v>11</v>
      </c>
      <c r="G50" s="52" t="s">
        <v>12</v>
      </c>
    </row>
    <row r="51" spans="4:8" ht="25.5" customHeight="1" x14ac:dyDescent="0.2">
      <c r="D51" s="41" t="s">
        <v>2</v>
      </c>
      <c r="E51" s="12">
        <f>C42</f>
        <v>6338</v>
      </c>
      <c r="F51" s="13">
        <v>110</v>
      </c>
      <c r="G51" s="66">
        <f>E51*F51</f>
        <v>697180</v>
      </c>
    </row>
    <row r="52" spans="4:8" x14ac:dyDescent="0.2">
      <c r="D52" s="41" t="s">
        <v>3</v>
      </c>
      <c r="E52" s="12">
        <f>E42</f>
        <v>6326</v>
      </c>
      <c r="F52" s="13">
        <v>110</v>
      </c>
      <c r="G52" s="66">
        <f t="shared" ref="G52:G53" si="2">E52*F52</f>
        <v>695860</v>
      </c>
      <c r="H52" s="14"/>
    </row>
    <row r="53" spans="4:8" ht="20.25" customHeight="1" x14ac:dyDescent="0.2">
      <c r="D53" s="67" t="s">
        <v>9</v>
      </c>
      <c r="E53" s="68">
        <f>F42</f>
        <v>474882</v>
      </c>
      <c r="F53" s="69">
        <v>31</v>
      </c>
      <c r="G53" s="70">
        <f t="shared" si="2"/>
        <v>14721342</v>
      </c>
      <c r="H53" s="15"/>
    </row>
    <row r="54" spans="4:8" ht="13.5" customHeight="1" x14ac:dyDescent="0.2">
      <c r="D54" s="41"/>
      <c r="E54" s="12"/>
      <c r="F54" s="13"/>
      <c r="G54" s="53"/>
    </row>
    <row r="55" spans="4:8" ht="11.25" customHeight="1" x14ac:dyDescent="0.2">
      <c r="D55" s="54" t="s">
        <v>18</v>
      </c>
      <c r="E55" s="12">
        <v>211</v>
      </c>
      <c r="F55" s="13">
        <v>900</v>
      </c>
      <c r="G55" s="53">
        <f>F55*E55</f>
        <v>189900</v>
      </c>
    </row>
    <row r="56" spans="4:8" ht="12.75" thickBot="1" x14ac:dyDescent="0.25">
      <c r="D56" s="55"/>
      <c r="E56" s="56"/>
      <c r="F56" s="57"/>
      <c r="G56" s="58"/>
    </row>
    <row r="57" spans="4:8" ht="12.75" thickBot="1" x14ac:dyDescent="0.25">
      <c r="D57" s="59"/>
      <c r="E57" s="60"/>
      <c r="F57" s="62" t="s">
        <v>37</v>
      </c>
      <c r="G57" s="61">
        <f>SUM(G51:G56)</f>
        <v>16304282</v>
      </c>
    </row>
    <row r="58" spans="4:8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DEEC-0EF0-6442-BBAA-DFF2C4327CB6}">
  <dimension ref="A1:G58"/>
  <sheetViews>
    <sheetView showGridLines="0" topLeftCell="A31" zoomScale="130" zoomScaleNormal="130" zoomScaleSheetLayoutView="100" workbookViewId="0">
      <selection activeCell="I55" sqref="I55"/>
    </sheetView>
  </sheetViews>
  <sheetFormatPr defaultColWidth="9" defaultRowHeight="12" x14ac:dyDescent="0.2"/>
  <cols>
    <col min="1" max="1" width="10.5" style="5" bestFit="1" customWidth="1"/>
    <col min="2" max="2" width="26.5" style="2" bestFit="1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46112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16665</v>
      </c>
      <c r="G10" s="26"/>
    </row>
    <row r="11" spans="1:7" ht="13.5" customHeight="1" x14ac:dyDescent="0.2">
      <c r="A11" s="63">
        <v>46082</v>
      </c>
      <c r="B11" s="35"/>
      <c r="C11" s="65"/>
      <c r="D11" s="46"/>
      <c r="E11" s="47"/>
      <c r="F11" s="23">
        <f>F10+C11-E11</f>
        <v>16665</v>
      </c>
      <c r="G11" s="24">
        <f t="shared" ref="G11:G41" si="0">F11*$F$53</f>
        <v>516615</v>
      </c>
    </row>
    <row r="12" spans="1:7" ht="14.25" customHeight="1" x14ac:dyDescent="0.2">
      <c r="A12" s="63">
        <v>46083</v>
      </c>
      <c r="B12" s="38"/>
      <c r="C12" s="5">
        <f>1375+278</f>
        <v>1653</v>
      </c>
      <c r="D12" s="32"/>
      <c r="E12" s="47">
        <v>851</v>
      </c>
      <c r="F12" s="23">
        <f>F11+C12-E12</f>
        <v>17467</v>
      </c>
      <c r="G12" s="11">
        <f t="shared" si="0"/>
        <v>541477</v>
      </c>
    </row>
    <row r="13" spans="1:7" ht="13.5" customHeight="1" x14ac:dyDescent="0.2">
      <c r="A13" s="63">
        <v>46084</v>
      </c>
      <c r="B13" s="35" t="s">
        <v>38</v>
      </c>
      <c r="C13" s="65">
        <v>54</v>
      </c>
      <c r="D13" s="32"/>
      <c r="E13" s="47">
        <v>502</v>
      </c>
      <c r="F13" s="23">
        <f t="shared" ref="F13:F41" si="1">F12+C13-E13</f>
        <v>17019</v>
      </c>
      <c r="G13" s="11">
        <f t="shared" si="0"/>
        <v>527589</v>
      </c>
    </row>
    <row r="14" spans="1:7" x14ac:dyDescent="0.2">
      <c r="A14" s="63">
        <v>46085</v>
      </c>
      <c r="B14" s="38"/>
      <c r="C14" s="65"/>
      <c r="D14" s="32"/>
      <c r="E14" s="47">
        <v>342</v>
      </c>
      <c r="F14" s="23">
        <f t="shared" si="1"/>
        <v>16677</v>
      </c>
      <c r="G14" s="11">
        <f t="shared" si="0"/>
        <v>516987</v>
      </c>
    </row>
    <row r="15" spans="1:7" x14ac:dyDescent="0.2">
      <c r="A15" s="63">
        <v>46086</v>
      </c>
      <c r="B15" s="37"/>
      <c r="C15" s="65">
        <v>1428</v>
      </c>
      <c r="D15" s="32"/>
      <c r="E15" s="47">
        <v>435</v>
      </c>
      <c r="F15" s="23">
        <f t="shared" si="1"/>
        <v>17670</v>
      </c>
      <c r="G15" s="11">
        <f t="shared" si="0"/>
        <v>547770</v>
      </c>
    </row>
    <row r="16" spans="1:7" x14ac:dyDescent="0.2">
      <c r="A16" s="63">
        <v>46087</v>
      </c>
      <c r="B16" s="38"/>
      <c r="C16" s="65"/>
      <c r="D16" s="32"/>
      <c r="E16" s="47"/>
      <c r="F16" s="23">
        <f t="shared" si="1"/>
        <v>17670</v>
      </c>
      <c r="G16" s="11">
        <f t="shared" si="0"/>
        <v>547770</v>
      </c>
    </row>
    <row r="17" spans="1:7" x14ac:dyDescent="0.2">
      <c r="A17" s="63">
        <v>46088</v>
      </c>
      <c r="B17" s="39"/>
      <c r="C17" s="65"/>
      <c r="D17" s="32"/>
      <c r="E17" s="47"/>
      <c r="F17" s="23">
        <f t="shared" si="1"/>
        <v>17670</v>
      </c>
      <c r="G17" s="11">
        <f t="shared" si="0"/>
        <v>547770</v>
      </c>
    </row>
    <row r="18" spans="1:7" x14ac:dyDescent="0.2">
      <c r="A18" s="63">
        <v>46089</v>
      </c>
      <c r="B18" s="38"/>
      <c r="C18" s="65"/>
      <c r="D18" s="32"/>
      <c r="E18" s="47"/>
      <c r="F18" s="23">
        <f t="shared" si="1"/>
        <v>17670</v>
      </c>
      <c r="G18" s="11">
        <f t="shared" si="0"/>
        <v>547770</v>
      </c>
    </row>
    <row r="19" spans="1:7" ht="13.5" customHeight="1" x14ac:dyDescent="0.2">
      <c r="A19" s="63">
        <v>46090</v>
      </c>
      <c r="B19" s="38"/>
      <c r="C19" s="65"/>
      <c r="D19" s="33"/>
      <c r="E19" s="47"/>
      <c r="F19" s="23">
        <f t="shared" si="1"/>
        <v>17670</v>
      </c>
      <c r="G19" s="11">
        <f t="shared" si="0"/>
        <v>547770</v>
      </c>
    </row>
    <row r="20" spans="1:7" x14ac:dyDescent="0.2">
      <c r="A20" s="63">
        <v>46091</v>
      </c>
      <c r="B20" s="37"/>
      <c r="C20" s="65"/>
      <c r="D20" s="33"/>
      <c r="E20" s="47">
        <v>1142</v>
      </c>
      <c r="F20" s="23">
        <f t="shared" si="1"/>
        <v>16528</v>
      </c>
      <c r="G20" s="11">
        <f t="shared" si="0"/>
        <v>512368</v>
      </c>
    </row>
    <row r="21" spans="1:7" x14ac:dyDescent="0.2">
      <c r="A21" s="63">
        <v>46092</v>
      </c>
      <c r="B21" s="40"/>
      <c r="C21" s="65"/>
      <c r="D21" s="33"/>
      <c r="E21" s="47">
        <v>723</v>
      </c>
      <c r="F21" s="23">
        <f t="shared" si="1"/>
        <v>15805</v>
      </c>
      <c r="G21" s="11">
        <f t="shared" si="0"/>
        <v>489955</v>
      </c>
    </row>
    <row r="22" spans="1:7" x14ac:dyDescent="0.2">
      <c r="A22" s="63">
        <v>46093</v>
      </c>
      <c r="B22" s="39"/>
      <c r="C22" s="65"/>
      <c r="D22" s="33"/>
      <c r="E22" s="47">
        <v>666</v>
      </c>
      <c r="F22" s="23">
        <f t="shared" si="1"/>
        <v>15139</v>
      </c>
      <c r="G22" s="11">
        <f t="shared" si="0"/>
        <v>469309</v>
      </c>
    </row>
    <row r="23" spans="1:7" x14ac:dyDescent="0.2">
      <c r="A23" s="63">
        <v>46094</v>
      </c>
      <c r="B23" s="38"/>
      <c r="C23" s="65">
        <v>1656</v>
      </c>
      <c r="D23" s="33"/>
      <c r="E23" s="47">
        <v>158</v>
      </c>
      <c r="F23" s="23">
        <f t="shared" si="1"/>
        <v>16637</v>
      </c>
      <c r="G23" s="11">
        <f t="shared" si="0"/>
        <v>515747</v>
      </c>
    </row>
    <row r="24" spans="1:7" x14ac:dyDescent="0.2">
      <c r="A24" s="63">
        <v>46095</v>
      </c>
      <c r="B24" s="38"/>
      <c r="C24" s="65"/>
      <c r="D24" s="33"/>
      <c r="E24" s="47"/>
      <c r="F24" s="23">
        <f t="shared" si="1"/>
        <v>16637</v>
      </c>
      <c r="G24" s="11">
        <f t="shared" si="0"/>
        <v>515747</v>
      </c>
    </row>
    <row r="25" spans="1:7" x14ac:dyDescent="0.2">
      <c r="A25" s="63">
        <v>46096</v>
      </c>
      <c r="B25" s="38"/>
      <c r="C25" s="65"/>
      <c r="D25" s="33"/>
      <c r="E25" s="47"/>
      <c r="F25" s="23">
        <f t="shared" si="1"/>
        <v>16637</v>
      </c>
      <c r="G25" s="11">
        <f t="shared" si="0"/>
        <v>515747</v>
      </c>
    </row>
    <row r="26" spans="1:7" ht="13.5" customHeight="1" x14ac:dyDescent="0.2">
      <c r="A26" s="63">
        <v>46097</v>
      </c>
      <c r="B26" s="38"/>
      <c r="C26" s="65"/>
      <c r="D26" s="33"/>
      <c r="E26" s="47"/>
      <c r="F26" s="23">
        <f t="shared" si="1"/>
        <v>16637</v>
      </c>
      <c r="G26" s="11">
        <f t="shared" si="0"/>
        <v>515747</v>
      </c>
    </row>
    <row r="27" spans="1:7" x14ac:dyDescent="0.2">
      <c r="A27" s="63">
        <v>46098</v>
      </c>
      <c r="B27" s="38"/>
      <c r="C27" s="36"/>
      <c r="D27" s="33"/>
      <c r="E27" s="47">
        <v>985</v>
      </c>
      <c r="F27" s="23">
        <f t="shared" si="1"/>
        <v>15652</v>
      </c>
      <c r="G27" s="11">
        <f t="shared" si="0"/>
        <v>485212</v>
      </c>
    </row>
    <row r="28" spans="1:7" x14ac:dyDescent="0.2">
      <c r="A28" s="63">
        <v>46099</v>
      </c>
      <c r="B28" s="38"/>
      <c r="C28" s="36"/>
      <c r="D28" s="33"/>
      <c r="E28" s="47">
        <v>849</v>
      </c>
      <c r="F28" s="23">
        <f t="shared" si="1"/>
        <v>14803</v>
      </c>
      <c r="G28" s="11">
        <f t="shared" si="0"/>
        <v>458893</v>
      </c>
    </row>
    <row r="29" spans="1:7" x14ac:dyDescent="0.2">
      <c r="A29" s="63">
        <v>46100</v>
      </c>
      <c r="B29" s="38"/>
      <c r="C29" s="65">
        <v>1609</v>
      </c>
      <c r="D29" s="34"/>
      <c r="E29" s="47">
        <v>384</v>
      </c>
      <c r="F29" s="23">
        <f t="shared" si="1"/>
        <v>16028</v>
      </c>
      <c r="G29" s="11">
        <f t="shared" si="0"/>
        <v>496868</v>
      </c>
    </row>
    <row r="30" spans="1:7" x14ac:dyDescent="0.2">
      <c r="A30" s="63">
        <v>46101</v>
      </c>
      <c r="B30" s="38"/>
      <c r="C30" s="36"/>
      <c r="D30" s="33"/>
      <c r="E30" s="47">
        <v>218</v>
      </c>
      <c r="F30" s="23">
        <f t="shared" si="1"/>
        <v>15810</v>
      </c>
      <c r="G30" s="11">
        <f t="shared" si="0"/>
        <v>490110</v>
      </c>
    </row>
    <row r="31" spans="1:7" x14ac:dyDescent="0.2">
      <c r="A31" s="63">
        <v>46102</v>
      </c>
      <c r="B31" s="37"/>
      <c r="C31" s="36"/>
      <c r="D31" s="33"/>
      <c r="E31" s="47"/>
      <c r="F31" s="23">
        <f t="shared" si="1"/>
        <v>15810</v>
      </c>
      <c r="G31" s="11">
        <f t="shared" si="0"/>
        <v>490110</v>
      </c>
    </row>
    <row r="32" spans="1:7" x14ac:dyDescent="0.2">
      <c r="A32" s="63">
        <v>46103</v>
      </c>
      <c r="B32" s="38"/>
      <c r="C32" s="36"/>
      <c r="D32" s="33"/>
      <c r="E32" s="47"/>
      <c r="F32" s="23">
        <f t="shared" si="1"/>
        <v>15810</v>
      </c>
      <c r="G32" s="11">
        <f t="shared" si="0"/>
        <v>490110</v>
      </c>
    </row>
    <row r="33" spans="1:7" x14ac:dyDescent="0.2">
      <c r="A33" s="63">
        <v>46104</v>
      </c>
      <c r="B33" s="38"/>
      <c r="C33" s="36"/>
      <c r="D33" s="33"/>
      <c r="E33" s="47"/>
      <c r="F33" s="23">
        <f t="shared" si="1"/>
        <v>15810</v>
      </c>
      <c r="G33" s="11">
        <f t="shared" si="0"/>
        <v>490110</v>
      </c>
    </row>
    <row r="34" spans="1:7" x14ac:dyDescent="0.2">
      <c r="A34" s="63">
        <v>46105</v>
      </c>
      <c r="B34" s="38"/>
      <c r="C34" s="36"/>
      <c r="D34" s="33"/>
      <c r="E34" s="47"/>
      <c r="F34" s="23">
        <f t="shared" si="1"/>
        <v>15810</v>
      </c>
      <c r="G34" s="11">
        <f t="shared" si="0"/>
        <v>490110</v>
      </c>
    </row>
    <row r="35" spans="1:7" x14ac:dyDescent="0.2">
      <c r="A35" s="63">
        <v>46106</v>
      </c>
      <c r="B35" s="41"/>
      <c r="C35" s="36"/>
      <c r="D35" s="33"/>
      <c r="E35" s="47"/>
      <c r="F35" s="23">
        <f t="shared" si="1"/>
        <v>15810</v>
      </c>
      <c r="G35" s="11">
        <f t="shared" si="0"/>
        <v>490110</v>
      </c>
    </row>
    <row r="36" spans="1:7" ht="13.5" customHeight="1" x14ac:dyDescent="0.2">
      <c r="A36" s="63">
        <v>46107</v>
      </c>
      <c r="B36" s="38"/>
      <c r="C36" s="36"/>
      <c r="D36" s="32"/>
      <c r="E36" s="47">
        <v>1230</v>
      </c>
      <c r="F36" s="23">
        <f t="shared" si="1"/>
        <v>14580</v>
      </c>
      <c r="G36" s="11">
        <f t="shared" si="0"/>
        <v>451980</v>
      </c>
    </row>
    <row r="37" spans="1:7" x14ac:dyDescent="0.2">
      <c r="A37" s="63">
        <v>46108</v>
      </c>
      <c r="B37" s="38"/>
      <c r="C37" s="95">
        <f>1478+1332</f>
        <v>2810</v>
      </c>
      <c r="D37" s="32"/>
      <c r="E37" s="47">
        <v>1033</v>
      </c>
      <c r="F37" s="23">
        <f t="shared" si="1"/>
        <v>16357</v>
      </c>
      <c r="G37" s="11">
        <f t="shared" si="0"/>
        <v>507067</v>
      </c>
    </row>
    <row r="38" spans="1:7" x14ac:dyDescent="0.2">
      <c r="A38" s="63">
        <v>46109</v>
      </c>
      <c r="B38" s="41"/>
      <c r="C38" s="36"/>
      <c r="D38" s="32"/>
      <c r="E38" s="47"/>
      <c r="F38" s="23">
        <f t="shared" si="1"/>
        <v>16357</v>
      </c>
      <c r="G38" s="11">
        <f t="shared" si="0"/>
        <v>507067</v>
      </c>
    </row>
    <row r="39" spans="1:7" x14ac:dyDescent="0.2">
      <c r="A39" s="63">
        <v>46110</v>
      </c>
      <c r="B39" s="38"/>
      <c r="C39" s="36"/>
      <c r="D39" s="32"/>
      <c r="E39" s="47"/>
      <c r="F39" s="23">
        <f t="shared" si="1"/>
        <v>16357</v>
      </c>
      <c r="G39" s="11">
        <f t="shared" si="0"/>
        <v>507067</v>
      </c>
    </row>
    <row r="40" spans="1:7" x14ac:dyDescent="0.2">
      <c r="A40" s="63">
        <v>46111</v>
      </c>
      <c r="B40" s="38"/>
      <c r="C40" s="36"/>
      <c r="D40" s="32"/>
      <c r="E40" s="47">
        <v>1003</v>
      </c>
      <c r="F40" s="23">
        <f t="shared" si="1"/>
        <v>15354</v>
      </c>
      <c r="G40" s="11">
        <f t="shared" si="0"/>
        <v>475974</v>
      </c>
    </row>
    <row r="41" spans="1:7" ht="12.75" thickBot="1" x14ac:dyDescent="0.25">
      <c r="A41" s="63">
        <v>46112</v>
      </c>
      <c r="B41" s="76"/>
      <c r="C41" s="96">
        <v>216</v>
      </c>
      <c r="D41" s="78"/>
      <c r="E41" s="79">
        <f>537+216</f>
        <v>753</v>
      </c>
      <c r="F41" s="23">
        <f t="shared" si="1"/>
        <v>14817</v>
      </c>
      <c r="G41" s="11">
        <f t="shared" si="0"/>
        <v>459327</v>
      </c>
    </row>
    <row r="42" spans="1:7" ht="12.75" thickBot="1" x14ac:dyDescent="0.25">
      <c r="A42" s="82"/>
      <c r="B42" s="83" t="s">
        <v>13</v>
      </c>
      <c r="C42" s="84">
        <f>SUM(C11:C41)</f>
        <v>9426</v>
      </c>
      <c r="D42" s="85"/>
      <c r="E42" s="86">
        <f>SUM(E10:E41)</f>
        <v>11274</v>
      </c>
      <c r="F42" s="87">
        <f>SUM(F11:F41)</f>
        <v>505363</v>
      </c>
      <c r="G42" s="88">
        <f>SUM(G11:G41)</f>
        <v>15666253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1036860</v>
      </c>
      <c r="D45" s="12" t="s">
        <v>36</v>
      </c>
      <c r="E45" s="12">
        <f>E42*F52</f>
        <v>1240140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2277000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9426</v>
      </c>
      <c r="F51" s="13">
        <v>110</v>
      </c>
      <c r="G51" s="66">
        <f>E51*F51</f>
        <v>1036860</v>
      </c>
    </row>
    <row r="52" spans="4:7" x14ac:dyDescent="0.2">
      <c r="D52" s="41" t="s">
        <v>3</v>
      </c>
      <c r="E52" s="12">
        <f>E42</f>
        <v>11274</v>
      </c>
      <c r="F52" s="13">
        <v>110</v>
      </c>
      <c r="G52" s="66">
        <f t="shared" ref="G52:G53" si="2">E52*F52</f>
        <v>1240140</v>
      </c>
    </row>
    <row r="53" spans="4:7" ht="20.25" customHeight="1" x14ac:dyDescent="0.2">
      <c r="D53" s="41" t="s">
        <v>9</v>
      </c>
      <c r="E53" s="97">
        <f>F42</f>
        <v>505363</v>
      </c>
      <c r="F53" s="98">
        <v>31</v>
      </c>
      <c r="G53" s="66">
        <f t="shared" si="2"/>
        <v>15666253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347</v>
      </c>
      <c r="F55" s="13">
        <v>900</v>
      </c>
      <c r="G55" s="53">
        <f>F55*E55</f>
        <v>312300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18255553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EAB-CF67-044C-92AA-CD778D9245AD}">
  <dimension ref="A1:G58"/>
  <sheetViews>
    <sheetView showGridLines="0" topLeftCell="A35" zoomScale="130" zoomScaleNormal="130" zoomScaleSheetLayoutView="100" workbookViewId="0">
      <selection activeCell="E55" sqref="E55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46082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46112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14817</v>
      </c>
      <c r="G10" s="26"/>
    </row>
    <row r="11" spans="1:7" ht="13.5" customHeight="1" x14ac:dyDescent="0.2">
      <c r="A11" s="63">
        <v>46113</v>
      </c>
      <c r="B11" s="35"/>
      <c r="C11" s="65"/>
      <c r="D11" s="46"/>
      <c r="E11" s="47"/>
      <c r="F11" s="23">
        <f>F10+C11-E11</f>
        <v>14817</v>
      </c>
      <c r="G11" s="24">
        <f t="shared" ref="G11:G41" si="0">F11*$F$53</f>
        <v>459327</v>
      </c>
    </row>
    <row r="12" spans="1:7" ht="14.25" customHeight="1" x14ac:dyDescent="0.2">
      <c r="A12" s="63">
        <v>46114</v>
      </c>
      <c r="B12" s="38" t="s">
        <v>40</v>
      </c>
      <c r="C12" s="99">
        <v>1365</v>
      </c>
      <c r="D12" s="32"/>
      <c r="E12" s="47"/>
      <c r="F12" s="23">
        <f>F11+C12-E12</f>
        <v>16182</v>
      </c>
      <c r="G12" s="11">
        <f t="shared" si="0"/>
        <v>501642</v>
      </c>
    </row>
    <row r="13" spans="1:7" ht="13.5" customHeight="1" x14ac:dyDescent="0.2">
      <c r="A13" s="63">
        <v>46115</v>
      </c>
      <c r="B13" s="35" t="s">
        <v>41</v>
      </c>
      <c r="C13" s="65">
        <f>333+760</f>
        <v>1093</v>
      </c>
      <c r="D13" s="32"/>
      <c r="E13" s="47">
        <v>1064</v>
      </c>
      <c r="F13" s="23">
        <f t="shared" ref="F13:F40" si="1">F12+C13-E13</f>
        <v>16211</v>
      </c>
      <c r="G13" s="11">
        <f t="shared" si="0"/>
        <v>502541</v>
      </c>
    </row>
    <row r="14" spans="1:7" x14ac:dyDescent="0.2">
      <c r="A14" s="63">
        <v>46116</v>
      </c>
      <c r="B14" s="38"/>
      <c r="C14" s="65"/>
      <c r="D14" s="32"/>
      <c r="E14" s="47"/>
      <c r="F14" s="23">
        <f t="shared" si="1"/>
        <v>16211</v>
      </c>
      <c r="G14" s="11">
        <f t="shared" si="0"/>
        <v>502541</v>
      </c>
    </row>
    <row r="15" spans="1:7" x14ac:dyDescent="0.2">
      <c r="A15" s="63">
        <v>46117</v>
      </c>
      <c r="B15" s="37"/>
      <c r="C15" s="65"/>
      <c r="D15" s="32"/>
      <c r="E15" s="47"/>
      <c r="F15" s="23">
        <f t="shared" si="1"/>
        <v>16211</v>
      </c>
      <c r="G15" s="11">
        <f t="shared" si="0"/>
        <v>502541</v>
      </c>
    </row>
    <row r="16" spans="1:7" x14ac:dyDescent="0.2">
      <c r="A16" s="63">
        <v>46118</v>
      </c>
      <c r="B16" s="38" t="s">
        <v>42</v>
      </c>
      <c r="C16" s="65">
        <v>1422</v>
      </c>
      <c r="D16" s="32"/>
      <c r="E16" s="47">
        <v>409</v>
      </c>
      <c r="F16" s="23">
        <f t="shared" si="1"/>
        <v>17224</v>
      </c>
      <c r="G16" s="11">
        <f t="shared" si="0"/>
        <v>533944</v>
      </c>
    </row>
    <row r="17" spans="1:7" x14ac:dyDescent="0.2">
      <c r="A17" s="63">
        <v>46119</v>
      </c>
      <c r="B17" s="39"/>
      <c r="C17" s="65"/>
      <c r="D17" s="32"/>
      <c r="E17" s="47"/>
      <c r="F17" s="23">
        <f t="shared" si="1"/>
        <v>17224</v>
      </c>
      <c r="G17" s="11">
        <f t="shared" si="0"/>
        <v>533944</v>
      </c>
    </row>
    <row r="18" spans="1:7" x14ac:dyDescent="0.2">
      <c r="A18" s="63">
        <v>46120</v>
      </c>
      <c r="B18" s="38"/>
      <c r="C18" s="65"/>
      <c r="D18" s="32"/>
      <c r="E18" s="47"/>
      <c r="F18" s="23">
        <f t="shared" si="1"/>
        <v>17224</v>
      </c>
      <c r="G18" s="11">
        <f t="shared" si="0"/>
        <v>533944</v>
      </c>
    </row>
    <row r="19" spans="1:7" ht="13.5" customHeight="1" x14ac:dyDescent="0.2">
      <c r="A19" s="63">
        <v>46121</v>
      </c>
      <c r="B19" s="38"/>
      <c r="C19" s="65"/>
      <c r="D19" s="33"/>
      <c r="E19" s="47"/>
      <c r="F19" s="23">
        <f t="shared" si="1"/>
        <v>17224</v>
      </c>
      <c r="G19" s="11">
        <f t="shared" si="0"/>
        <v>533944</v>
      </c>
    </row>
    <row r="20" spans="1:7" x14ac:dyDescent="0.2">
      <c r="A20" s="63">
        <v>46122</v>
      </c>
      <c r="B20" s="37"/>
      <c r="C20" s="65"/>
      <c r="D20" s="33"/>
      <c r="E20" s="47"/>
      <c r="F20" s="23">
        <f t="shared" si="1"/>
        <v>17224</v>
      </c>
      <c r="G20" s="11">
        <f t="shared" si="0"/>
        <v>533944</v>
      </c>
    </row>
    <row r="21" spans="1:7" x14ac:dyDescent="0.2">
      <c r="A21" s="63">
        <v>46123</v>
      </c>
      <c r="B21" s="40"/>
      <c r="C21" s="65"/>
      <c r="D21" s="33"/>
      <c r="E21" s="47"/>
      <c r="F21" s="23">
        <f t="shared" si="1"/>
        <v>17224</v>
      </c>
      <c r="G21" s="11">
        <f t="shared" si="0"/>
        <v>533944</v>
      </c>
    </row>
    <row r="22" spans="1:7" x14ac:dyDescent="0.2">
      <c r="A22" s="63">
        <v>46124</v>
      </c>
      <c r="B22" s="39"/>
      <c r="C22" s="65"/>
      <c r="D22" s="33"/>
      <c r="E22" s="47"/>
      <c r="F22" s="23">
        <f t="shared" si="1"/>
        <v>17224</v>
      </c>
      <c r="G22" s="11">
        <f t="shared" si="0"/>
        <v>533944</v>
      </c>
    </row>
    <row r="23" spans="1:7" x14ac:dyDescent="0.2">
      <c r="A23" s="63">
        <v>46125</v>
      </c>
      <c r="B23" s="38" t="s">
        <v>43</v>
      </c>
      <c r="C23" s="65">
        <v>1283</v>
      </c>
      <c r="D23" s="33"/>
      <c r="E23" s="47"/>
      <c r="F23" s="23">
        <f t="shared" si="1"/>
        <v>18507</v>
      </c>
      <c r="G23" s="11">
        <f t="shared" si="0"/>
        <v>573717</v>
      </c>
    </row>
    <row r="24" spans="1:7" x14ac:dyDescent="0.2">
      <c r="A24" s="63">
        <v>46126</v>
      </c>
      <c r="B24" s="38"/>
      <c r="C24" s="65"/>
      <c r="D24" s="33"/>
      <c r="E24" s="47">
        <v>806</v>
      </c>
      <c r="F24" s="23">
        <f t="shared" si="1"/>
        <v>17701</v>
      </c>
      <c r="G24" s="11">
        <f t="shared" si="0"/>
        <v>548731</v>
      </c>
    </row>
    <row r="25" spans="1:7" x14ac:dyDescent="0.2">
      <c r="A25" s="63">
        <v>46127</v>
      </c>
      <c r="B25" s="38"/>
      <c r="C25" s="65"/>
      <c r="D25" s="33"/>
      <c r="E25" s="47">
        <v>561</v>
      </c>
      <c r="F25" s="23">
        <f t="shared" si="1"/>
        <v>17140</v>
      </c>
      <c r="G25" s="11">
        <f t="shared" si="0"/>
        <v>531340</v>
      </c>
    </row>
    <row r="26" spans="1:7" ht="13.5" customHeight="1" x14ac:dyDescent="0.2">
      <c r="A26" s="63">
        <v>46128</v>
      </c>
      <c r="B26" s="38"/>
      <c r="C26" s="65"/>
      <c r="D26" s="33"/>
      <c r="E26" s="47"/>
      <c r="F26" s="23">
        <f t="shared" si="1"/>
        <v>17140</v>
      </c>
      <c r="G26" s="11">
        <f t="shared" si="0"/>
        <v>531340</v>
      </c>
    </row>
    <row r="27" spans="1:7" x14ac:dyDescent="0.2">
      <c r="A27" s="63">
        <v>46129</v>
      </c>
      <c r="B27" s="38"/>
      <c r="C27" s="100"/>
      <c r="D27" s="33"/>
      <c r="E27" s="47"/>
      <c r="F27" s="23">
        <f t="shared" si="1"/>
        <v>17140</v>
      </c>
      <c r="G27" s="11">
        <f t="shared" si="0"/>
        <v>531340</v>
      </c>
    </row>
    <row r="28" spans="1:7" x14ac:dyDescent="0.2">
      <c r="A28" s="63">
        <v>46130</v>
      </c>
      <c r="B28" s="38"/>
      <c r="C28" s="100"/>
      <c r="D28" s="33"/>
      <c r="E28" s="47"/>
      <c r="F28" s="23">
        <f t="shared" si="1"/>
        <v>17140</v>
      </c>
      <c r="G28" s="11">
        <f t="shared" si="0"/>
        <v>531340</v>
      </c>
    </row>
    <row r="29" spans="1:7" x14ac:dyDescent="0.2">
      <c r="A29" s="63">
        <v>46131</v>
      </c>
      <c r="B29" s="38"/>
      <c r="C29" s="65"/>
      <c r="D29" s="34"/>
      <c r="E29" s="47"/>
      <c r="F29" s="23">
        <f t="shared" si="1"/>
        <v>17140</v>
      </c>
      <c r="G29" s="11">
        <f t="shared" si="0"/>
        <v>531340</v>
      </c>
    </row>
    <row r="30" spans="1:7" x14ac:dyDescent="0.2">
      <c r="A30" s="63">
        <v>46132</v>
      </c>
      <c r="B30" s="38"/>
      <c r="C30" s="100"/>
      <c r="D30" s="33"/>
      <c r="E30" s="47"/>
      <c r="F30" s="23">
        <f t="shared" si="1"/>
        <v>17140</v>
      </c>
      <c r="G30" s="11">
        <f t="shared" si="0"/>
        <v>531340</v>
      </c>
    </row>
    <row r="31" spans="1:7" x14ac:dyDescent="0.2">
      <c r="A31" s="63">
        <v>46133</v>
      </c>
      <c r="B31" s="37"/>
      <c r="C31" s="100"/>
      <c r="D31" s="33"/>
      <c r="E31" s="47"/>
      <c r="F31" s="23">
        <f t="shared" si="1"/>
        <v>17140</v>
      </c>
      <c r="G31" s="11">
        <f t="shared" si="0"/>
        <v>531340</v>
      </c>
    </row>
    <row r="32" spans="1:7" x14ac:dyDescent="0.2">
      <c r="A32" s="63">
        <v>46134</v>
      </c>
      <c r="B32" s="38" t="s">
        <v>45</v>
      </c>
      <c r="C32" s="65">
        <f>985+1425</f>
        <v>2410</v>
      </c>
      <c r="D32" s="33"/>
      <c r="E32" s="47"/>
      <c r="F32" s="23">
        <f t="shared" si="1"/>
        <v>19550</v>
      </c>
      <c r="G32" s="11">
        <f t="shared" si="0"/>
        <v>606050</v>
      </c>
    </row>
    <row r="33" spans="1:7" x14ac:dyDescent="0.2">
      <c r="A33" s="63">
        <v>46135</v>
      </c>
      <c r="B33" s="38"/>
      <c r="C33" s="36"/>
      <c r="D33" s="33"/>
      <c r="E33" s="47"/>
      <c r="F33" s="23">
        <f t="shared" si="1"/>
        <v>19550</v>
      </c>
      <c r="G33" s="11">
        <f t="shared" si="0"/>
        <v>606050</v>
      </c>
    </row>
    <row r="34" spans="1:7" x14ac:dyDescent="0.2">
      <c r="A34" s="63">
        <v>46136</v>
      </c>
      <c r="B34" s="38"/>
      <c r="C34" s="36"/>
      <c r="D34" s="33"/>
      <c r="E34" s="47"/>
      <c r="F34" s="23">
        <f t="shared" si="1"/>
        <v>19550</v>
      </c>
      <c r="G34" s="11">
        <f t="shared" si="0"/>
        <v>606050</v>
      </c>
    </row>
    <row r="35" spans="1:7" x14ac:dyDescent="0.2">
      <c r="A35" s="63">
        <v>46137</v>
      </c>
      <c r="B35" s="41"/>
      <c r="C35" s="36"/>
      <c r="D35" s="33"/>
      <c r="E35" s="47"/>
      <c r="F35" s="23">
        <f t="shared" si="1"/>
        <v>19550</v>
      </c>
      <c r="G35" s="11">
        <f t="shared" si="0"/>
        <v>606050</v>
      </c>
    </row>
    <row r="36" spans="1:7" ht="13.5" customHeight="1" x14ac:dyDescent="0.2">
      <c r="A36" s="63">
        <v>46138</v>
      </c>
      <c r="B36" s="38"/>
      <c r="C36" s="36"/>
      <c r="D36" s="32"/>
      <c r="E36" s="47"/>
      <c r="F36" s="23">
        <f t="shared" si="1"/>
        <v>19550</v>
      </c>
      <c r="G36" s="11">
        <f t="shared" si="0"/>
        <v>606050</v>
      </c>
    </row>
    <row r="37" spans="1:7" x14ac:dyDescent="0.2">
      <c r="A37" s="63">
        <v>46139</v>
      </c>
      <c r="B37" s="38"/>
      <c r="C37" s="95"/>
      <c r="D37" s="32"/>
      <c r="E37" s="47"/>
      <c r="F37" s="23">
        <f t="shared" si="1"/>
        <v>19550</v>
      </c>
      <c r="G37" s="11">
        <f t="shared" si="0"/>
        <v>606050</v>
      </c>
    </row>
    <row r="38" spans="1:7" x14ac:dyDescent="0.2">
      <c r="A38" s="63">
        <v>46140</v>
      </c>
      <c r="B38" s="41"/>
      <c r="C38" s="36"/>
      <c r="D38" s="32"/>
      <c r="E38" s="47"/>
      <c r="F38" s="23">
        <f t="shared" si="1"/>
        <v>19550</v>
      </c>
      <c r="G38" s="11">
        <f t="shared" si="0"/>
        <v>606050</v>
      </c>
    </row>
    <row r="39" spans="1:7" x14ac:dyDescent="0.2">
      <c r="A39" s="63">
        <v>46141</v>
      </c>
      <c r="B39" s="38"/>
      <c r="C39" s="36"/>
      <c r="D39" s="32"/>
      <c r="E39" s="47">
        <v>296</v>
      </c>
      <c r="F39" s="23">
        <f t="shared" si="1"/>
        <v>19254</v>
      </c>
      <c r="G39" s="11">
        <f t="shared" si="0"/>
        <v>596874</v>
      </c>
    </row>
    <row r="40" spans="1:7" x14ac:dyDescent="0.2">
      <c r="A40" s="63">
        <v>46142</v>
      </c>
      <c r="B40" s="38" t="s">
        <v>46</v>
      </c>
      <c r="C40" s="95">
        <f>280+811+1177</f>
        <v>2268</v>
      </c>
      <c r="D40" s="32"/>
      <c r="E40" s="47">
        <v>1612</v>
      </c>
      <c r="F40" s="23">
        <f t="shared" si="1"/>
        <v>19910</v>
      </c>
      <c r="G40" s="11">
        <f t="shared" si="0"/>
        <v>617210</v>
      </c>
    </row>
    <row r="41" spans="1:7" ht="12.75" thickBot="1" x14ac:dyDescent="0.25">
      <c r="A41" s="63" t="s">
        <v>44</v>
      </c>
      <c r="B41" s="76"/>
      <c r="C41" s="96"/>
      <c r="D41" s="78"/>
      <c r="E41" s="79"/>
      <c r="F41" s="23"/>
      <c r="G41" s="11">
        <f t="shared" si="0"/>
        <v>0</v>
      </c>
    </row>
    <row r="42" spans="1:7" ht="12.75" thickBot="1" x14ac:dyDescent="0.25">
      <c r="A42" s="82"/>
      <c r="B42" s="83" t="s">
        <v>13</v>
      </c>
      <c r="C42" s="84">
        <f>SUM(C11:C41)</f>
        <v>9841</v>
      </c>
      <c r="D42" s="85"/>
      <c r="E42" s="86">
        <f>SUM(E10:E41)</f>
        <v>4748</v>
      </c>
      <c r="F42" s="87">
        <f>SUM(F11:F41)</f>
        <v>532402</v>
      </c>
      <c r="G42" s="88">
        <f>SUM(G11:G41)</f>
        <v>16504462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1082510</v>
      </c>
      <c r="D45" s="12" t="s">
        <v>36</v>
      </c>
      <c r="E45" s="12">
        <f>E42*F52</f>
        <v>522280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1604790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9841</v>
      </c>
      <c r="F51" s="13">
        <v>110</v>
      </c>
      <c r="G51" s="66">
        <f>E51*F51</f>
        <v>1082510</v>
      </c>
    </row>
    <row r="52" spans="4:7" x14ac:dyDescent="0.2">
      <c r="D52" s="41" t="s">
        <v>3</v>
      </c>
      <c r="E52" s="12">
        <f>E42</f>
        <v>4748</v>
      </c>
      <c r="F52" s="13">
        <v>110</v>
      </c>
      <c r="G52" s="66">
        <f t="shared" ref="G52:G53" si="2">E52*F52</f>
        <v>522280</v>
      </c>
    </row>
    <row r="53" spans="4:7" ht="20.25" customHeight="1" x14ac:dyDescent="0.2">
      <c r="D53" s="41" t="s">
        <v>9</v>
      </c>
      <c r="E53" s="97">
        <f>F42</f>
        <v>532402</v>
      </c>
      <c r="F53" s="98">
        <v>31</v>
      </c>
      <c r="G53" s="66">
        <f t="shared" si="2"/>
        <v>16504462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190</v>
      </c>
      <c r="F55" s="13">
        <v>900</v>
      </c>
      <c r="G55" s="53">
        <f>F55*E55</f>
        <v>171000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18280252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EF873-C969-4143-A928-A18DD6AC7D36}">
  <dimension ref="A1:G58"/>
  <sheetViews>
    <sheetView showGridLines="0" topLeftCell="A28" zoomScale="110" zoomScaleNormal="110" zoomScaleSheetLayoutView="100" workbookViewId="0">
      <selection activeCell="E55" sqref="E55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46143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46173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19910</v>
      </c>
      <c r="G10" s="26"/>
    </row>
    <row r="11" spans="1:7" ht="13.5" customHeight="1" x14ac:dyDescent="0.2">
      <c r="A11" s="63">
        <v>46143</v>
      </c>
      <c r="B11" s="35"/>
      <c r="C11" s="65"/>
      <c r="D11" s="46"/>
      <c r="E11" s="47"/>
      <c r="F11" s="23">
        <f>F10+C11-E11</f>
        <v>19910</v>
      </c>
      <c r="G11" s="24">
        <f t="shared" ref="G11:G41" si="0">F11*$F$53</f>
        <v>617210</v>
      </c>
    </row>
    <row r="12" spans="1:7" ht="14.25" customHeight="1" x14ac:dyDescent="0.2">
      <c r="A12" s="63">
        <v>46144</v>
      </c>
      <c r="B12" s="38"/>
      <c r="C12" s="99"/>
      <c r="D12" s="32"/>
      <c r="E12" s="47"/>
      <c r="F12" s="23">
        <f>F11+C12-E12</f>
        <v>19910</v>
      </c>
      <c r="G12" s="11">
        <f t="shared" si="0"/>
        <v>617210</v>
      </c>
    </row>
    <row r="13" spans="1:7" ht="13.5" customHeight="1" x14ac:dyDescent="0.2">
      <c r="A13" s="63">
        <v>46145</v>
      </c>
      <c r="B13" s="35"/>
      <c r="C13" s="65"/>
      <c r="D13" s="32"/>
      <c r="E13" s="47"/>
      <c r="F13" s="23">
        <f t="shared" ref="F13:F41" si="1">F12+C13-E13</f>
        <v>19910</v>
      </c>
      <c r="G13" s="11">
        <f t="shared" si="0"/>
        <v>617210</v>
      </c>
    </row>
    <row r="14" spans="1:7" x14ac:dyDescent="0.2">
      <c r="A14" s="63">
        <v>46146</v>
      </c>
      <c r="B14" s="38"/>
      <c r="C14" s="65"/>
      <c r="D14" s="32"/>
      <c r="E14" s="47">
        <v>476</v>
      </c>
      <c r="F14" s="23">
        <f t="shared" si="1"/>
        <v>19434</v>
      </c>
      <c r="G14" s="11">
        <f t="shared" si="0"/>
        <v>602454</v>
      </c>
    </row>
    <row r="15" spans="1:7" x14ac:dyDescent="0.2">
      <c r="A15" s="63">
        <v>46147</v>
      </c>
      <c r="B15" s="37"/>
      <c r="C15" s="65"/>
      <c r="D15" s="32"/>
      <c r="E15" s="47"/>
      <c r="F15" s="23">
        <f t="shared" si="1"/>
        <v>19434</v>
      </c>
      <c r="G15" s="11">
        <f t="shared" si="0"/>
        <v>602454</v>
      </c>
    </row>
    <row r="16" spans="1:7" x14ac:dyDescent="0.2">
      <c r="A16" s="63">
        <v>46148</v>
      </c>
      <c r="B16" s="38"/>
      <c r="C16" s="65"/>
      <c r="D16" s="32"/>
      <c r="E16" s="47">
        <v>531</v>
      </c>
      <c r="F16" s="23">
        <f t="shared" si="1"/>
        <v>18903</v>
      </c>
      <c r="G16" s="11">
        <f t="shared" si="0"/>
        <v>585993</v>
      </c>
    </row>
    <row r="17" spans="1:7" x14ac:dyDescent="0.2">
      <c r="A17" s="63">
        <v>46149</v>
      </c>
      <c r="B17" s="39"/>
      <c r="C17" s="65"/>
      <c r="D17" s="32"/>
      <c r="E17" s="47"/>
      <c r="F17" s="23">
        <f t="shared" si="1"/>
        <v>18903</v>
      </c>
      <c r="G17" s="11">
        <f t="shared" si="0"/>
        <v>585993</v>
      </c>
    </row>
    <row r="18" spans="1:7" x14ac:dyDescent="0.2">
      <c r="A18" s="63">
        <v>46150</v>
      </c>
      <c r="B18" s="38"/>
      <c r="C18" s="65"/>
      <c r="D18" s="32"/>
      <c r="E18" s="47"/>
      <c r="F18" s="23">
        <f t="shared" si="1"/>
        <v>18903</v>
      </c>
      <c r="G18" s="11">
        <f t="shared" si="0"/>
        <v>585993</v>
      </c>
    </row>
    <row r="19" spans="1:7" ht="13.5" customHeight="1" x14ac:dyDescent="0.2">
      <c r="A19" s="63">
        <v>46151</v>
      </c>
      <c r="B19" s="38"/>
      <c r="C19" s="65"/>
      <c r="D19" s="33"/>
      <c r="E19" s="47"/>
      <c r="F19" s="23">
        <f t="shared" si="1"/>
        <v>18903</v>
      </c>
      <c r="G19" s="11">
        <f t="shared" si="0"/>
        <v>585993</v>
      </c>
    </row>
    <row r="20" spans="1:7" x14ac:dyDescent="0.2">
      <c r="A20" s="63">
        <v>46152</v>
      </c>
      <c r="B20" s="37"/>
      <c r="C20" s="65"/>
      <c r="D20" s="33"/>
      <c r="E20" s="47"/>
      <c r="F20" s="23">
        <f t="shared" si="1"/>
        <v>18903</v>
      </c>
      <c r="G20" s="11">
        <f t="shared" si="0"/>
        <v>585993</v>
      </c>
    </row>
    <row r="21" spans="1:7" x14ac:dyDescent="0.2">
      <c r="A21" s="63">
        <v>46153</v>
      </c>
      <c r="B21" s="40"/>
      <c r="C21" s="65"/>
      <c r="D21" s="33"/>
      <c r="E21" s="47"/>
      <c r="F21" s="23">
        <f t="shared" si="1"/>
        <v>18903</v>
      </c>
      <c r="G21" s="11">
        <f t="shared" si="0"/>
        <v>585993</v>
      </c>
    </row>
    <row r="22" spans="1:7" x14ac:dyDescent="0.2">
      <c r="A22" s="63">
        <v>46154</v>
      </c>
      <c r="B22" s="39"/>
      <c r="C22" s="65"/>
      <c r="D22" s="33"/>
      <c r="E22" s="47"/>
      <c r="F22" s="23">
        <f t="shared" si="1"/>
        <v>18903</v>
      </c>
      <c r="G22" s="11">
        <f t="shared" si="0"/>
        <v>585993</v>
      </c>
    </row>
    <row r="23" spans="1:7" x14ac:dyDescent="0.2">
      <c r="A23" s="63">
        <v>46155</v>
      </c>
      <c r="B23" s="38"/>
      <c r="C23" s="65"/>
      <c r="D23" s="33"/>
      <c r="E23" s="47"/>
      <c r="F23" s="23">
        <f t="shared" si="1"/>
        <v>18903</v>
      </c>
      <c r="G23" s="11">
        <f t="shared" si="0"/>
        <v>585993</v>
      </c>
    </row>
    <row r="24" spans="1:7" x14ac:dyDescent="0.2">
      <c r="A24" s="63">
        <v>46156</v>
      </c>
      <c r="B24" s="38"/>
      <c r="C24" s="65"/>
      <c r="D24" s="33"/>
      <c r="E24" s="47">
        <v>769</v>
      </c>
      <c r="F24" s="23">
        <f t="shared" si="1"/>
        <v>18134</v>
      </c>
      <c r="G24" s="11">
        <f t="shared" si="0"/>
        <v>562154</v>
      </c>
    </row>
    <row r="25" spans="1:7" x14ac:dyDescent="0.2">
      <c r="A25" s="63">
        <v>46157</v>
      </c>
      <c r="B25" s="38" t="s">
        <v>47</v>
      </c>
      <c r="C25" s="65">
        <v>1176</v>
      </c>
      <c r="D25" s="33"/>
      <c r="E25" s="47">
        <v>684</v>
      </c>
      <c r="F25" s="23">
        <f t="shared" si="1"/>
        <v>18626</v>
      </c>
      <c r="G25" s="11">
        <f t="shared" si="0"/>
        <v>577406</v>
      </c>
    </row>
    <row r="26" spans="1:7" ht="13.5" customHeight="1" x14ac:dyDescent="0.2">
      <c r="A26" s="63">
        <v>46158</v>
      </c>
      <c r="B26" s="38"/>
      <c r="C26" s="65"/>
      <c r="D26" s="33"/>
      <c r="E26" s="47"/>
      <c r="F26" s="23">
        <f t="shared" si="1"/>
        <v>18626</v>
      </c>
      <c r="G26" s="11">
        <f t="shared" si="0"/>
        <v>577406</v>
      </c>
    </row>
    <row r="27" spans="1:7" x14ac:dyDescent="0.2">
      <c r="A27" s="63">
        <v>46159</v>
      </c>
      <c r="B27" s="38"/>
      <c r="C27" s="100"/>
      <c r="D27" s="33"/>
      <c r="E27" s="47"/>
      <c r="F27" s="23">
        <f t="shared" si="1"/>
        <v>18626</v>
      </c>
      <c r="G27" s="11">
        <f t="shared" si="0"/>
        <v>577406</v>
      </c>
    </row>
    <row r="28" spans="1:7" x14ac:dyDescent="0.2">
      <c r="A28" s="63">
        <v>46160</v>
      </c>
      <c r="B28" s="38"/>
      <c r="C28" s="100"/>
      <c r="D28" s="33"/>
      <c r="E28" s="47"/>
      <c r="F28" s="23">
        <f t="shared" si="1"/>
        <v>18626</v>
      </c>
      <c r="G28" s="11">
        <f t="shared" si="0"/>
        <v>577406</v>
      </c>
    </row>
    <row r="29" spans="1:7" x14ac:dyDescent="0.2">
      <c r="A29" s="63">
        <v>46161</v>
      </c>
      <c r="B29" s="38" t="s">
        <v>48</v>
      </c>
      <c r="C29" s="65">
        <v>1207</v>
      </c>
      <c r="D29" s="34"/>
      <c r="E29" s="47"/>
      <c r="F29" s="23">
        <f t="shared" si="1"/>
        <v>19833</v>
      </c>
      <c r="G29" s="11">
        <f t="shared" si="0"/>
        <v>614823</v>
      </c>
    </row>
    <row r="30" spans="1:7" x14ac:dyDescent="0.2">
      <c r="A30" s="63">
        <v>46162</v>
      </c>
      <c r="B30" s="38"/>
      <c r="C30" s="100"/>
      <c r="D30" s="33"/>
      <c r="E30" s="47"/>
      <c r="F30" s="23">
        <f t="shared" si="1"/>
        <v>19833</v>
      </c>
      <c r="G30" s="11">
        <f t="shared" si="0"/>
        <v>614823</v>
      </c>
    </row>
    <row r="31" spans="1:7" x14ac:dyDescent="0.2">
      <c r="A31" s="63">
        <v>46163</v>
      </c>
      <c r="B31" s="37"/>
      <c r="C31" s="100"/>
      <c r="D31" s="33"/>
      <c r="E31" s="47"/>
      <c r="F31" s="23">
        <f t="shared" si="1"/>
        <v>19833</v>
      </c>
      <c r="G31" s="11">
        <f t="shared" si="0"/>
        <v>614823</v>
      </c>
    </row>
    <row r="32" spans="1:7" x14ac:dyDescent="0.2">
      <c r="A32" s="63">
        <v>46164</v>
      </c>
      <c r="B32" s="38"/>
      <c r="C32" s="65"/>
      <c r="D32" s="33"/>
      <c r="E32" s="47"/>
      <c r="F32" s="23">
        <f t="shared" si="1"/>
        <v>19833</v>
      </c>
      <c r="G32" s="11">
        <f t="shared" si="0"/>
        <v>614823</v>
      </c>
    </row>
    <row r="33" spans="1:7" x14ac:dyDescent="0.2">
      <c r="A33" s="63">
        <v>46165</v>
      </c>
      <c r="B33" s="38"/>
      <c r="C33" s="36"/>
      <c r="D33" s="33"/>
      <c r="E33" s="47"/>
      <c r="F33" s="23">
        <f>F32+C33-E33</f>
        <v>19833</v>
      </c>
      <c r="G33" s="11">
        <f t="shared" si="0"/>
        <v>614823</v>
      </c>
    </row>
    <row r="34" spans="1:7" x14ac:dyDescent="0.2">
      <c r="A34" s="63">
        <v>46166</v>
      </c>
      <c r="B34" s="38"/>
      <c r="C34" s="36"/>
      <c r="D34" s="33"/>
      <c r="E34" s="47"/>
      <c r="F34" s="23">
        <f>F33+C34-E34</f>
        <v>19833</v>
      </c>
      <c r="G34" s="11">
        <f t="shared" si="0"/>
        <v>614823</v>
      </c>
    </row>
    <row r="35" spans="1:7" x14ac:dyDescent="0.2">
      <c r="A35" s="63">
        <v>46167</v>
      </c>
      <c r="B35" s="41"/>
      <c r="C35" s="36"/>
      <c r="D35" s="33"/>
      <c r="E35" s="47">
        <v>711</v>
      </c>
      <c r="F35" s="23">
        <f t="shared" si="1"/>
        <v>19122</v>
      </c>
      <c r="G35" s="11">
        <f t="shared" si="0"/>
        <v>592782</v>
      </c>
    </row>
    <row r="36" spans="1:7" ht="13.5" customHeight="1" x14ac:dyDescent="0.2">
      <c r="A36" s="63">
        <v>46168</v>
      </c>
      <c r="B36" s="38"/>
      <c r="C36" s="36"/>
      <c r="D36" s="32"/>
      <c r="E36" s="47">
        <v>1191</v>
      </c>
      <c r="F36" s="23">
        <f t="shared" si="1"/>
        <v>17931</v>
      </c>
      <c r="G36" s="11">
        <f t="shared" si="0"/>
        <v>555861</v>
      </c>
    </row>
    <row r="37" spans="1:7" x14ac:dyDescent="0.2">
      <c r="A37" s="63">
        <v>46169</v>
      </c>
      <c r="B37" s="38"/>
      <c r="C37" s="95"/>
      <c r="D37" s="32"/>
      <c r="E37" s="47"/>
      <c r="F37" s="23">
        <f t="shared" si="1"/>
        <v>17931</v>
      </c>
      <c r="G37" s="11">
        <f t="shared" si="0"/>
        <v>555861</v>
      </c>
    </row>
    <row r="38" spans="1:7" x14ac:dyDescent="0.2">
      <c r="A38" s="63">
        <v>46170</v>
      </c>
      <c r="B38" s="41"/>
      <c r="C38" s="36"/>
      <c r="D38" s="32"/>
      <c r="E38" s="47">
        <v>551</v>
      </c>
      <c r="F38" s="23">
        <f t="shared" si="1"/>
        <v>17380</v>
      </c>
      <c r="G38" s="11">
        <f t="shared" si="0"/>
        <v>538780</v>
      </c>
    </row>
    <row r="39" spans="1:7" x14ac:dyDescent="0.2">
      <c r="A39" s="63">
        <v>46171</v>
      </c>
      <c r="B39" s="38"/>
      <c r="C39" s="36"/>
      <c r="D39" s="32"/>
      <c r="E39" s="47">
        <v>421</v>
      </c>
      <c r="F39" s="23">
        <f>F38+C39-E39</f>
        <v>16959</v>
      </c>
      <c r="G39" s="11">
        <f t="shared" si="0"/>
        <v>525729</v>
      </c>
    </row>
    <row r="40" spans="1:7" x14ac:dyDescent="0.2">
      <c r="A40" s="63">
        <v>46172</v>
      </c>
      <c r="B40" s="38"/>
      <c r="C40" s="95"/>
      <c r="D40" s="32"/>
      <c r="E40" s="47"/>
      <c r="F40" s="23">
        <f>F39+C40-E40</f>
        <v>16959</v>
      </c>
      <c r="G40" s="11">
        <f t="shared" si="0"/>
        <v>525729</v>
      </c>
    </row>
    <row r="41" spans="1:7" ht="12.75" thickBot="1" x14ac:dyDescent="0.25">
      <c r="A41" s="63">
        <v>46173</v>
      </c>
      <c r="B41" s="76"/>
      <c r="C41" s="96"/>
      <c r="D41" s="78"/>
      <c r="E41" s="79"/>
      <c r="F41" s="23">
        <f t="shared" si="1"/>
        <v>16959</v>
      </c>
      <c r="G41" s="11">
        <f t="shared" si="0"/>
        <v>525729</v>
      </c>
    </row>
    <row r="42" spans="1:7" ht="12.75" thickBot="1" x14ac:dyDescent="0.25">
      <c r="A42" s="82"/>
      <c r="B42" s="83" t="s">
        <v>13</v>
      </c>
      <c r="C42" s="84">
        <f>SUM(C11:C41)</f>
        <v>2383</v>
      </c>
      <c r="D42" s="85"/>
      <c r="E42" s="86">
        <f>SUM(E10:E41)</f>
        <v>5334</v>
      </c>
      <c r="F42" s="87">
        <f>SUM(F11:F41)</f>
        <v>584699</v>
      </c>
      <c r="G42" s="88">
        <f>SUM(G11:G41)</f>
        <v>18125669</v>
      </c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x14ac:dyDescent="0.2">
      <c r="A44" s="71"/>
      <c r="B44" s="74"/>
      <c r="C44" s="72"/>
      <c r="D44" s="72"/>
      <c r="E44" s="72"/>
      <c r="F44" s="72"/>
      <c r="G44" s="73"/>
    </row>
    <row r="45" spans="1:7" ht="12" customHeight="1" x14ac:dyDescent="0.2">
      <c r="B45" s="89" t="s">
        <v>35</v>
      </c>
      <c r="C45" s="12">
        <f>C42*F51</f>
        <v>262130</v>
      </c>
      <c r="D45" s="12" t="s">
        <v>36</v>
      </c>
      <c r="E45" s="12">
        <f>E42*F52</f>
        <v>586740</v>
      </c>
    </row>
    <row r="46" spans="1:7" x14ac:dyDescent="0.2">
      <c r="B46" s="90"/>
      <c r="C46" s="91"/>
      <c r="D46" s="91"/>
      <c r="E46" s="91"/>
    </row>
    <row r="47" spans="1:7" x14ac:dyDescent="0.2">
      <c r="B47" s="92" t="s">
        <v>37</v>
      </c>
      <c r="C47" s="93">
        <f>C45+E45</f>
        <v>848870</v>
      </c>
      <c r="D47" s="91"/>
      <c r="E47" s="91"/>
    </row>
    <row r="49" spans="4:7" ht="12.75" thickBot="1" x14ac:dyDescent="0.25"/>
    <row r="50" spans="4:7" x14ac:dyDescent="0.2">
      <c r="D50" s="49"/>
      <c r="E50" s="50" t="s">
        <v>10</v>
      </c>
      <c r="F50" s="51" t="s">
        <v>11</v>
      </c>
      <c r="G50" s="52" t="s">
        <v>12</v>
      </c>
    </row>
    <row r="51" spans="4:7" ht="25.5" customHeight="1" x14ac:dyDescent="0.2">
      <c r="D51" s="41" t="s">
        <v>2</v>
      </c>
      <c r="E51" s="12">
        <f>C42</f>
        <v>2383</v>
      </c>
      <c r="F51" s="13">
        <v>110</v>
      </c>
      <c r="G51" s="66">
        <f>E51*F51</f>
        <v>262130</v>
      </c>
    </row>
    <row r="52" spans="4:7" x14ac:dyDescent="0.2">
      <c r="D52" s="41" t="s">
        <v>3</v>
      </c>
      <c r="E52" s="12">
        <f>E42</f>
        <v>5334</v>
      </c>
      <c r="F52" s="13">
        <v>110</v>
      </c>
      <c r="G52" s="66">
        <f t="shared" ref="G52:G53" si="2">E52*F52</f>
        <v>586740</v>
      </c>
    </row>
    <row r="53" spans="4:7" ht="20.25" customHeight="1" x14ac:dyDescent="0.2">
      <c r="D53" s="41" t="s">
        <v>9</v>
      </c>
      <c r="E53" s="97">
        <f>F42</f>
        <v>584699</v>
      </c>
      <c r="F53" s="98">
        <v>31</v>
      </c>
      <c r="G53" s="66">
        <f t="shared" si="2"/>
        <v>18125669</v>
      </c>
    </row>
    <row r="54" spans="4:7" ht="13.5" customHeight="1" x14ac:dyDescent="0.2">
      <c r="D54" s="41"/>
      <c r="E54" s="12"/>
      <c r="F54" s="13"/>
      <c r="G54" s="53"/>
    </row>
    <row r="55" spans="4:7" ht="11.25" customHeight="1" x14ac:dyDescent="0.2">
      <c r="D55" s="54" t="s">
        <v>18</v>
      </c>
      <c r="E55" s="12">
        <v>96</v>
      </c>
      <c r="F55" s="13">
        <v>900</v>
      </c>
      <c r="G55" s="53">
        <f>F55*E55</f>
        <v>86400</v>
      </c>
    </row>
    <row r="56" spans="4:7" ht="12.75" thickBot="1" x14ac:dyDescent="0.25">
      <c r="D56" s="55"/>
      <c r="E56" s="56"/>
      <c r="F56" s="57"/>
      <c r="G56" s="58"/>
    </row>
    <row r="57" spans="4:7" ht="12.75" thickBot="1" x14ac:dyDescent="0.25">
      <c r="D57" s="59"/>
      <c r="E57" s="60"/>
      <c r="F57" s="62" t="s">
        <v>37</v>
      </c>
      <c r="G57" s="61">
        <f>SUM(G51:G56)</f>
        <v>19060939</v>
      </c>
    </row>
    <row r="58" spans="4:7" ht="12.75" customHeight="1" x14ac:dyDescent="0.2">
      <c r="E58" s="16"/>
      <c r="F58" s="17"/>
      <c r="G58" s="18"/>
    </row>
  </sheetData>
  <mergeCells count="5">
    <mergeCell ref="A8:A9"/>
    <mergeCell ref="B8:C8"/>
    <mergeCell ref="D8:E8"/>
    <mergeCell ref="F8:F9"/>
    <mergeCell ref="G8:G9"/>
  </mergeCells>
  <pageMargins left="0.23622047244094491" right="0.23622047244094491" top="0.74803149606299213" bottom="0.74803149606299213" header="0.31496062992125984" footer="0.31496062992125984"/>
  <pageSetup paperSize="9" scale="5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65B2-2427-474B-8C4F-739D240DE8D1}">
  <dimension ref="A1:G57"/>
  <sheetViews>
    <sheetView tabSelected="1" topLeftCell="A22" workbookViewId="0">
      <selection activeCell="H52" sqref="H52"/>
    </sheetView>
  </sheetViews>
  <sheetFormatPr defaultColWidth="9" defaultRowHeight="12" x14ac:dyDescent="0.2"/>
  <cols>
    <col min="1" max="1" width="10.5" style="5" bestFit="1" customWidth="1"/>
    <col min="2" max="2" width="44.125" style="2" customWidth="1"/>
    <col min="3" max="3" width="11.125" style="2" bestFit="1" customWidth="1"/>
    <col min="4" max="4" width="17" style="2" bestFit="1" customWidth="1"/>
    <col min="5" max="5" width="13" style="2" customWidth="1"/>
    <col min="6" max="6" width="25.5" style="3" bestFit="1" customWidth="1"/>
    <col min="7" max="7" width="14.375" style="4" bestFit="1" customWidth="1"/>
    <col min="8" max="16384" width="9" style="2"/>
  </cols>
  <sheetData>
    <row r="1" spans="1:7" x14ac:dyDescent="0.2">
      <c r="A1" s="1"/>
    </row>
    <row r="3" spans="1:7" x14ac:dyDescent="0.2">
      <c r="A3" s="6"/>
      <c r="B3" s="7"/>
      <c r="E3" s="8"/>
    </row>
    <row r="4" spans="1:7" ht="12.75" thickBot="1" x14ac:dyDescent="0.25">
      <c r="A4" s="6"/>
      <c r="B4" s="7"/>
      <c r="E4" s="7"/>
      <c r="F4" s="2"/>
      <c r="G4" s="2"/>
    </row>
    <row r="5" spans="1:7" ht="12.75" thickBot="1" x14ac:dyDescent="0.25">
      <c r="A5" s="2"/>
      <c r="B5" s="29" t="s">
        <v>14</v>
      </c>
      <c r="E5" s="7"/>
      <c r="F5" s="2"/>
      <c r="G5" s="2"/>
    </row>
    <row r="6" spans="1:7" x14ac:dyDescent="0.2">
      <c r="A6" s="27" t="s">
        <v>15</v>
      </c>
      <c r="B6" s="30">
        <v>46174</v>
      </c>
      <c r="E6" s="7"/>
      <c r="F6" s="2"/>
      <c r="G6" s="2"/>
    </row>
    <row r="7" spans="1:7" ht="12" customHeight="1" thickBot="1" x14ac:dyDescent="0.25">
      <c r="A7" s="28" t="s">
        <v>16</v>
      </c>
      <c r="B7" s="31">
        <v>46203</v>
      </c>
      <c r="F7" s="2"/>
      <c r="G7" s="9"/>
    </row>
    <row r="8" spans="1:7" ht="12.75" thickBot="1" x14ac:dyDescent="0.25">
      <c r="A8" s="101"/>
      <c r="B8" s="103" t="s">
        <v>2</v>
      </c>
      <c r="C8" s="104"/>
      <c r="D8" s="103" t="s">
        <v>3</v>
      </c>
      <c r="E8" s="105"/>
      <c r="F8" s="106" t="s">
        <v>0</v>
      </c>
      <c r="G8" s="108" t="s">
        <v>17</v>
      </c>
    </row>
    <row r="9" spans="1:7" ht="15" customHeight="1" thickBot="1" x14ac:dyDescent="0.25">
      <c r="A9" s="102"/>
      <c r="B9" s="19" t="s">
        <v>6</v>
      </c>
      <c r="C9" s="20" t="s">
        <v>4</v>
      </c>
      <c r="D9" s="21" t="s">
        <v>8</v>
      </c>
      <c r="E9" s="22" t="s">
        <v>1</v>
      </c>
      <c r="F9" s="107"/>
      <c r="G9" s="109"/>
    </row>
    <row r="10" spans="1:7" ht="14.25" customHeight="1" thickBot="1" x14ac:dyDescent="0.25">
      <c r="A10" s="48" t="s">
        <v>5</v>
      </c>
      <c r="B10" s="42" t="s">
        <v>7</v>
      </c>
      <c r="C10" s="43"/>
      <c r="D10" s="43"/>
      <c r="E10" s="44"/>
      <c r="F10" s="25">
        <v>16959</v>
      </c>
      <c r="G10" s="26"/>
    </row>
    <row r="11" spans="1:7" ht="13.5" customHeight="1" x14ac:dyDescent="0.2">
      <c r="A11" s="63">
        <v>46174</v>
      </c>
      <c r="B11" s="35"/>
      <c r="C11" s="65"/>
      <c r="D11" s="46"/>
      <c r="E11" s="47">
        <v>3</v>
      </c>
      <c r="F11" s="23">
        <f>F10+C11-E11</f>
        <v>16956</v>
      </c>
      <c r="G11" s="24">
        <f t="shared" ref="G11:G40" si="0">F11*$F$52</f>
        <v>525636</v>
      </c>
    </row>
    <row r="12" spans="1:7" ht="14.25" customHeight="1" x14ac:dyDescent="0.2">
      <c r="A12" s="63">
        <v>46175</v>
      </c>
      <c r="B12" s="38"/>
      <c r="C12" s="99"/>
      <c r="D12" s="32"/>
      <c r="E12" s="47"/>
      <c r="F12" s="23">
        <f>F11+C12-E12</f>
        <v>16956</v>
      </c>
      <c r="G12" s="11">
        <f t="shared" si="0"/>
        <v>525636</v>
      </c>
    </row>
    <row r="13" spans="1:7" ht="13.5" customHeight="1" x14ac:dyDescent="0.2">
      <c r="A13" s="63">
        <v>46176</v>
      </c>
      <c r="B13" s="35"/>
      <c r="C13" s="65"/>
      <c r="D13" s="32"/>
      <c r="E13" s="47">
        <v>414</v>
      </c>
      <c r="F13" s="23">
        <f t="shared" ref="F13:F38" si="1">F12+C13-E13</f>
        <v>16542</v>
      </c>
      <c r="G13" s="11">
        <f t="shared" si="0"/>
        <v>512802</v>
      </c>
    </row>
    <row r="14" spans="1:7" x14ac:dyDescent="0.2">
      <c r="A14" s="63">
        <v>46177</v>
      </c>
      <c r="B14" s="38"/>
      <c r="C14" s="65"/>
      <c r="D14" s="32"/>
      <c r="E14" s="47">
        <v>236</v>
      </c>
      <c r="F14" s="23">
        <f t="shared" si="1"/>
        <v>16306</v>
      </c>
      <c r="G14" s="11">
        <f t="shared" si="0"/>
        <v>505486</v>
      </c>
    </row>
    <row r="15" spans="1:7" x14ac:dyDescent="0.2">
      <c r="A15" s="63">
        <v>46178</v>
      </c>
      <c r="B15" s="37"/>
      <c r="C15" s="65"/>
      <c r="D15" s="32"/>
      <c r="E15" s="47">
        <v>375</v>
      </c>
      <c r="F15" s="23">
        <f t="shared" si="1"/>
        <v>15931</v>
      </c>
      <c r="G15" s="11">
        <f t="shared" si="0"/>
        <v>493861</v>
      </c>
    </row>
    <row r="16" spans="1:7" x14ac:dyDescent="0.2">
      <c r="A16" s="63">
        <v>46179</v>
      </c>
      <c r="B16" s="38"/>
      <c r="C16" s="65"/>
      <c r="D16" s="32"/>
      <c r="E16" s="47"/>
      <c r="F16" s="23">
        <f t="shared" si="1"/>
        <v>15931</v>
      </c>
      <c r="G16" s="11">
        <f t="shared" si="0"/>
        <v>493861</v>
      </c>
    </row>
    <row r="17" spans="1:7" x14ac:dyDescent="0.2">
      <c r="A17" s="63">
        <v>46180</v>
      </c>
      <c r="B17" s="39"/>
      <c r="C17" s="65"/>
      <c r="D17" s="32"/>
      <c r="E17" s="47"/>
      <c r="F17" s="23">
        <f t="shared" si="1"/>
        <v>15931</v>
      </c>
      <c r="G17" s="11">
        <f t="shared" si="0"/>
        <v>493861</v>
      </c>
    </row>
    <row r="18" spans="1:7" x14ac:dyDescent="0.2">
      <c r="A18" s="63">
        <v>46181</v>
      </c>
      <c r="B18" s="38" t="s">
        <v>51</v>
      </c>
      <c r="C18" s="65">
        <v>1154</v>
      </c>
      <c r="D18" s="32"/>
      <c r="E18" s="47"/>
      <c r="F18" s="23">
        <f t="shared" si="1"/>
        <v>17085</v>
      </c>
      <c r="G18" s="11">
        <f t="shared" si="0"/>
        <v>529635</v>
      </c>
    </row>
    <row r="19" spans="1:7" ht="13.5" customHeight="1" x14ac:dyDescent="0.2">
      <c r="A19" s="63">
        <v>46182</v>
      </c>
      <c r="B19" s="38" t="s">
        <v>50</v>
      </c>
      <c r="C19" s="65">
        <v>849</v>
      </c>
      <c r="D19" s="33"/>
      <c r="E19" s="47"/>
      <c r="F19" s="23">
        <f t="shared" si="1"/>
        <v>17934</v>
      </c>
      <c r="G19" s="11">
        <f t="shared" si="0"/>
        <v>555954</v>
      </c>
    </row>
    <row r="20" spans="1:7" x14ac:dyDescent="0.2">
      <c r="A20" s="63">
        <v>46183</v>
      </c>
      <c r="B20" s="37"/>
      <c r="C20" s="65"/>
      <c r="D20" s="33"/>
      <c r="E20" s="47">
        <v>285</v>
      </c>
      <c r="F20" s="23">
        <f t="shared" si="1"/>
        <v>17649</v>
      </c>
      <c r="G20" s="11">
        <f t="shared" si="0"/>
        <v>547119</v>
      </c>
    </row>
    <row r="21" spans="1:7" x14ac:dyDescent="0.2">
      <c r="A21" s="63">
        <v>46184</v>
      </c>
      <c r="B21" s="40"/>
      <c r="C21" s="65"/>
      <c r="D21" s="33"/>
      <c r="E21" s="47">
        <v>485</v>
      </c>
      <c r="F21" s="23">
        <f t="shared" si="1"/>
        <v>17164</v>
      </c>
      <c r="G21" s="11">
        <f t="shared" si="0"/>
        <v>532084</v>
      </c>
    </row>
    <row r="22" spans="1:7" x14ac:dyDescent="0.2">
      <c r="A22" s="63">
        <v>46185</v>
      </c>
      <c r="B22" s="39"/>
      <c r="C22" s="65"/>
      <c r="D22" s="33"/>
      <c r="E22" s="47">
        <v>1006</v>
      </c>
      <c r="F22" s="23">
        <f t="shared" si="1"/>
        <v>16158</v>
      </c>
      <c r="G22" s="11">
        <f t="shared" si="0"/>
        <v>500898</v>
      </c>
    </row>
    <row r="23" spans="1:7" x14ac:dyDescent="0.2">
      <c r="A23" s="63">
        <v>46186</v>
      </c>
      <c r="B23" s="38"/>
      <c r="C23" s="65"/>
      <c r="D23" s="33"/>
      <c r="E23" s="47"/>
      <c r="F23" s="23">
        <f t="shared" si="1"/>
        <v>16158</v>
      </c>
      <c r="G23" s="11">
        <f t="shared" si="0"/>
        <v>500898</v>
      </c>
    </row>
    <row r="24" spans="1:7" x14ac:dyDescent="0.2">
      <c r="A24" s="63">
        <v>46187</v>
      </c>
      <c r="B24" s="38"/>
      <c r="C24" s="65"/>
      <c r="D24" s="33"/>
      <c r="E24" s="47"/>
      <c r="F24" s="23">
        <f t="shared" si="1"/>
        <v>16158</v>
      </c>
      <c r="G24" s="11">
        <f t="shared" si="0"/>
        <v>500898</v>
      </c>
    </row>
    <row r="25" spans="1:7" x14ac:dyDescent="0.2">
      <c r="A25" s="63">
        <v>46188</v>
      </c>
      <c r="B25" s="38"/>
      <c r="C25" s="65"/>
      <c r="D25" s="33"/>
      <c r="E25" s="47">
        <v>652</v>
      </c>
      <c r="F25" s="23">
        <f t="shared" si="1"/>
        <v>15506</v>
      </c>
      <c r="G25" s="11">
        <f t="shared" si="0"/>
        <v>480686</v>
      </c>
    </row>
    <row r="26" spans="1:7" ht="13.5" customHeight="1" x14ac:dyDescent="0.2">
      <c r="A26" s="63">
        <v>46189</v>
      </c>
      <c r="B26" s="38"/>
      <c r="C26" s="65"/>
      <c r="D26" s="33"/>
      <c r="E26" s="47">
        <v>70</v>
      </c>
      <c r="F26" s="23">
        <f t="shared" si="1"/>
        <v>15436</v>
      </c>
      <c r="G26" s="11">
        <f t="shared" si="0"/>
        <v>478516</v>
      </c>
    </row>
    <row r="27" spans="1:7" x14ac:dyDescent="0.2">
      <c r="A27" s="63">
        <v>46190</v>
      </c>
      <c r="B27" s="38"/>
      <c r="C27" s="100"/>
      <c r="D27" s="33"/>
      <c r="E27" s="47">
        <v>371</v>
      </c>
      <c r="F27" s="23">
        <f t="shared" si="1"/>
        <v>15065</v>
      </c>
      <c r="G27" s="11">
        <f t="shared" si="0"/>
        <v>467015</v>
      </c>
    </row>
    <row r="28" spans="1:7" x14ac:dyDescent="0.2">
      <c r="A28" s="63">
        <v>46191</v>
      </c>
      <c r="B28" s="38"/>
      <c r="C28" s="100"/>
      <c r="D28" s="33"/>
      <c r="E28" s="47">
        <v>478</v>
      </c>
      <c r="F28" s="23">
        <f t="shared" si="1"/>
        <v>14587</v>
      </c>
      <c r="G28" s="11">
        <f t="shared" si="0"/>
        <v>452197</v>
      </c>
    </row>
    <row r="29" spans="1:7" x14ac:dyDescent="0.2">
      <c r="A29" s="63">
        <v>46192</v>
      </c>
      <c r="B29" s="38"/>
      <c r="C29" s="65"/>
      <c r="D29" s="34"/>
      <c r="E29" s="47">
        <v>90</v>
      </c>
      <c r="F29" s="23">
        <f t="shared" si="1"/>
        <v>14497</v>
      </c>
      <c r="G29" s="11">
        <f t="shared" si="0"/>
        <v>449407</v>
      </c>
    </row>
    <row r="30" spans="1:7" x14ac:dyDescent="0.2">
      <c r="A30" s="63">
        <v>46193</v>
      </c>
      <c r="B30" s="38"/>
      <c r="C30" s="100"/>
      <c r="D30" s="33"/>
      <c r="E30" s="47"/>
      <c r="F30" s="23">
        <f t="shared" si="1"/>
        <v>14497</v>
      </c>
      <c r="G30" s="11">
        <f t="shared" si="0"/>
        <v>449407</v>
      </c>
    </row>
    <row r="31" spans="1:7" x14ac:dyDescent="0.2">
      <c r="A31" s="63">
        <v>46194</v>
      </c>
      <c r="B31" s="37"/>
      <c r="C31" s="100"/>
      <c r="D31" s="33"/>
      <c r="E31" s="47"/>
      <c r="F31" s="23">
        <f t="shared" si="1"/>
        <v>14497</v>
      </c>
      <c r="G31" s="11">
        <f t="shared" si="0"/>
        <v>449407</v>
      </c>
    </row>
    <row r="32" spans="1:7" x14ac:dyDescent="0.2">
      <c r="A32" s="63">
        <v>46195</v>
      </c>
      <c r="B32" s="38" t="s">
        <v>49</v>
      </c>
      <c r="C32" s="65">
        <v>1045</v>
      </c>
      <c r="D32" s="33"/>
      <c r="E32" s="47"/>
      <c r="F32" s="23">
        <f t="shared" si="1"/>
        <v>15542</v>
      </c>
      <c r="G32" s="11">
        <f t="shared" si="0"/>
        <v>481802</v>
      </c>
    </row>
    <row r="33" spans="1:7" x14ac:dyDescent="0.2">
      <c r="A33" s="63">
        <v>46196</v>
      </c>
      <c r="B33" s="38"/>
      <c r="C33" s="36"/>
      <c r="D33" s="33"/>
      <c r="E33" s="47"/>
      <c r="F33" s="23">
        <f>F32+C33-E33</f>
        <v>15542</v>
      </c>
      <c r="G33" s="11">
        <f t="shared" si="0"/>
        <v>481802</v>
      </c>
    </row>
    <row r="34" spans="1:7" x14ac:dyDescent="0.2">
      <c r="A34" s="63">
        <v>46197</v>
      </c>
      <c r="B34" s="38"/>
      <c r="C34" s="36"/>
      <c r="D34" s="33"/>
      <c r="E34" s="47">
        <v>334</v>
      </c>
      <c r="F34" s="23">
        <f>F33+C34-E34</f>
        <v>15208</v>
      </c>
      <c r="G34" s="11">
        <f t="shared" si="0"/>
        <v>471448</v>
      </c>
    </row>
    <row r="35" spans="1:7" x14ac:dyDescent="0.2">
      <c r="A35" s="63">
        <v>46198</v>
      </c>
      <c r="B35" s="41"/>
      <c r="C35" s="36"/>
      <c r="D35" s="33"/>
      <c r="E35" s="47">
        <v>450</v>
      </c>
      <c r="F35" s="23">
        <f t="shared" si="1"/>
        <v>14758</v>
      </c>
      <c r="G35" s="11">
        <f t="shared" si="0"/>
        <v>457498</v>
      </c>
    </row>
    <row r="36" spans="1:7" ht="13.5" customHeight="1" x14ac:dyDescent="0.2">
      <c r="A36" s="63">
        <v>46199</v>
      </c>
      <c r="B36" s="38"/>
      <c r="C36" s="36"/>
      <c r="D36" s="32"/>
      <c r="E36" s="47">
        <v>496</v>
      </c>
      <c r="F36" s="23">
        <f>F35+C36-E36</f>
        <v>14262</v>
      </c>
      <c r="G36" s="11">
        <f t="shared" si="0"/>
        <v>442122</v>
      </c>
    </row>
    <row r="37" spans="1:7" x14ac:dyDescent="0.2">
      <c r="A37" s="63">
        <v>46200</v>
      </c>
      <c r="B37" s="38"/>
      <c r="C37" s="95"/>
      <c r="D37" s="32"/>
      <c r="E37" s="47"/>
      <c r="F37" s="23">
        <f t="shared" si="1"/>
        <v>14262</v>
      </c>
      <c r="G37" s="11">
        <f t="shared" si="0"/>
        <v>442122</v>
      </c>
    </row>
    <row r="38" spans="1:7" x14ac:dyDescent="0.2">
      <c r="A38" s="63">
        <v>46201</v>
      </c>
      <c r="B38" s="41"/>
      <c r="C38" s="36"/>
      <c r="D38" s="32"/>
      <c r="E38" s="47"/>
      <c r="F38" s="23">
        <f t="shared" si="1"/>
        <v>14262</v>
      </c>
      <c r="G38" s="11">
        <f t="shared" si="0"/>
        <v>442122</v>
      </c>
    </row>
    <row r="39" spans="1:7" x14ac:dyDescent="0.2">
      <c r="A39" s="63">
        <v>46202</v>
      </c>
      <c r="B39" s="38"/>
      <c r="C39" s="36"/>
      <c r="D39" s="32"/>
      <c r="E39" s="47"/>
      <c r="F39" s="23">
        <f>F38+C39-E39</f>
        <v>14262</v>
      </c>
      <c r="G39" s="11">
        <f t="shared" si="0"/>
        <v>442122</v>
      </c>
    </row>
    <row r="40" spans="1:7" ht="12.75" thickBot="1" x14ac:dyDescent="0.25">
      <c r="A40" s="63">
        <v>46203</v>
      </c>
      <c r="B40" s="38"/>
      <c r="C40" s="95"/>
      <c r="D40" s="32"/>
      <c r="E40" s="47"/>
      <c r="F40" s="23">
        <f>F39+C40-E40</f>
        <v>14262</v>
      </c>
      <c r="G40" s="11">
        <f t="shared" si="0"/>
        <v>442122</v>
      </c>
    </row>
    <row r="41" spans="1:7" ht="12.75" thickBot="1" x14ac:dyDescent="0.25">
      <c r="A41" s="82"/>
      <c r="B41" s="83" t="s">
        <v>13</v>
      </c>
      <c r="C41" s="84">
        <f>SUM(C11:C40)</f>
        <v>3048</v>
      </c>
      <c r="D41" s="85"/>
      <c r="E41" s="86">
        <f>SUM(E10:E40)</f>
        <v>5745</v>
      </c>
      <c r="F41" s="87">
        <f>SUM(F11:F40)</f>
        <v>469304</v>
      </c>
      <c r="G41" s="88">
        <f>SUM(G11:G40)</f>
        <v>14548424</v>
      </c>
    </row>
    <row r="42" spans="1:7" x14ac:dyDescent="0.2">
      <c r="A42" s="71"/>
      <c r="B42" s="74"/>
      <c r="C42" s="72"/>
      <c r="D42" s="72"/>
      <c r="E42" s="72"/>
      <c r="F42" s="72"/>
      <c r="G42" s="73"/>
    </row>
    <row r="43" spans="1:7" x14ac:dyDescent="0.2">
      <c r="A43" s="71"/>
      <c r="B43" s="74"/>
      <c r="C43" s="72"/>
      <c r="D43" s="72"/>
      <c r="E43" s="72"/>
      <c r="F43" s="72"/>
      <c r="G43" s="73"/>
    </row>
    <row r="44" spans="1:7" ht="12" customHeight="1" x14ac:dyDescent="0.2">
      <c r="B44" s="89" t="s">
        <v>35</v>
      </c>
      <c r="C44" s="12">
        <f>C41*F50</f>
        <v>335280</v>
      </c>
      <c r="D44" s="12" t="s">
        <v>36</v>
      </c>
      <c r="E44" s="12">
        <f>E41*F51</f>
        <v>631950</v>
      </c>
    </row>
    <row r="45" spans="1:7" x14ac:dyDescent="0.2">
      <c r="B45" s="90"/>
      <c r="C45" s="91"/>
      <c r="D45" s="91"/>
      <c r="E45" s="91"/>
    </row>
    <row r="46" spans="1:7" x14ac:dyDescent="0.2">
      <c r="B46" s="92" t="s">
        <v>37</v>
      </c>
      <c r="C46" s="93">
        <f>C44+E44</f>
        <v>967230</v>
      </c>
      <c r="D46" s="91"/>
      <c r="E46" s="91"/>
    </row>
    <row r="48" spans="1:7" ht="12.75" thickBot="1" x14ac:dyDescent="0.25"/>
    <row r="49" spans="4:7" x14ac:dyDescent="0.2">
      <c r="D49" s="49"/>
      <c r="E49" s="50" t="s">
        <v>10</v>
      </c>
      <c r="F49" s="51" t="s">
        <v>11</v>
      </c>
      <c r="G49" s="52" t="s">
        <v>12</v>
      </c>
    </row>
    <row r="50" spans="4:7" ht="25.5" customHeight="1" x14ac:dyDescent="0.2">
      <c r="D50" s="41" t="s">
        <v>2</v>
      </c>
      <c r="E50" s="12">
        <f>C41</f>
        <v>3048</v>
      </c>
      <c r="F50" s="13">
        <v>110</v>
      </c>
      <c r="G50" s="110">
        <f>E50*F50</f>
        <v>335280</v>
      </c>
    </row>
    <row r="51" spans="4:7" x14ac:dyDescent="0.2">
      <c r="D51" s="41" t="s">
        <v>3</v>
      </c>
      <c r="E51" s="12">
        <f>E41</f>
        <v>5745</v>
      </c>
      <c r="F51" s="13">
        <v>110</v>
      </c>
      <c r="G51" s="110">
        <f t="shared" ref="G51:G52" si="2">E51*F51</f>
        <v>631950</v>
      </c>
    </row>
    <row r="52" spans="4:7" ht="20.25" customHeight="1" x14ac:dyDescent="0.2">
      <c r="D52" s="41" t="s">
        <v>9</v>
      </c>
      <c r="E52" s="97">
        <f>F41</f>
        <v>469304</v>
      </c>
      <c r="F52" s="98">
        <v>31</v>
      </c>
      <c r="G52" s="110">
        <f t="shared" si="2"/>
        <v>14548424</v>
      </c>
    </row>
    <row r="53" spans="4:7" ht="13.5" customHeight="1" x14ac:dyDescent="0.2">
      <c r="D53" s="41"/>
      <c r="E53" s="12"/>
      <c r="F53" s="13"/>
      <c r="G53" s="110"/>
    </row>
    <row r="54" spans="4:7" ht="11.25" customHeight="1" x14ac:dyDescent="0.2">
      <c r="D54" s="54" t="s">
        <v>18</v>
      </c>
      <c r="E54" s="12">
        <v>198</v>
      </c>
      <c r="F54" s="13">
        <v>900</v>
      </c>
      <c r="G54" s="110">
        <f>F54*E54</f>
        <v>178200</v>
      </c>
    </row>
    <row r="55" spans="4:7" ht="12.75" thickBot="1" x14ac:dyDescent="0.25">
      <c r="D55" s="55"/>
      <c r="E55" s="56"/>
      <c r="F55" s="57"/>
      <c r="G55" s="58"/>
    </row>
    <row r="56" spans="4:7" ht="12.75" thickBot="1" x14ac:dyDescent="0.25">
      <c r="D56" s="59"/>
      <c r="E56" s="60"/>
      <c r="F56" s="62" t="s">
        <v>37</v>
      </c>
      <c r="G56" s="61">
        <f>SUM(G50:G55)</f>
        <v>15693854</v>
      </c>
    </row>
    <row r="57" spans="4:7" ht="12.75" customHeight="1" x14ac:dyDescent="0.2">
      <c r="E57" s="16"/>
      <c r="F57" s="17"/>
      <c r="G57" s="18"/>
    </row>
  </sheetData>
  <mergeCells count="5">
    <mergeCell ref="A8:A9"/>
    <mergeCell ref="B8:C8"/>
    <mergeCell ref="D8:E8"/>
    <mergeCell ref="F8:F9"/>
    <mergeCell ref="G8:G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JANUARY'26</vt:lpstr>
      <vt:lpstr>February'26</vt:lpstr>
      <vt:lpstr>Mart'26</vt:lpstr>
      <vt:lpstr>April'26</vt:lpstr>
      <vt:lpstr>May'26</vt:lpstr>
      <vt:lpstr>June'26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Branimir Trickovic</dc:creator>
  <cp:lastModifiedBy>Özkan Yaman</cp:lastModifiedBy>
  <cp:lastPrinted>2025-11-07T12:54:34Z</cp:lastPrinted>
  <dcterms:created xsi:type="dcterms:W3CDTF">2019-12-02T09:28:44Z</dcterms:created>
  <dcterms:modified xsi:type="dcterms:W3CDTF">2026-07-02T06:24:17Z</dcterms:modified>
</cp:coreProperties>
</file>