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run/Desktop/COCO/Faturalar/"/>
    </mc:Choice>
  </mc:AlternateContent>
  <xr:revisionPtr revIDLastSave="0" documentId="13_ncr:1_{1E2AB729-5F99-F04F-9F28-AFE7A1936130}" xr6:coauthVersionLast="47" xr6:coauthVersionMax="47" xr10:uidLastSave="{00000000-0000-0000-0000-000000000000}"/>
  <bookViews>
    <workbookView xWindow="0" yWindow="600" windowWidth="28800" windowHeight="15840" activeTab="4" xr2:uid="{00000000-000D-0000-FFFF-FFFF00000000}"/>
  </bookViews>
  <sheets>
    <sheet name="JANUARY'26" sheetId="90" r:id="rId1"/>
    <sheet name="February'26" sheetId="91" r:id="rId2"/>
    <sheet name="Mart'26" sheetId="92" r:id="rId3"/>
    <sheet name="April'26" sheetId="93" r:id="rId4"/>
    <sheet name="May'26" sheetId="94" r:id="rId5"/>
  </sheets>
  <externalReferences>
    <externalReference r:id="rId6"/>
    <externalReference r:id="rId7"/>
  </externalReferences>
  <definedNames>
    <definedName name="kurs" localSheetId="3">'April''26'!#REF!</definedName>
    <definedName name="kurs" localSheetId="1">'February''26'!#REF!</definedName>
    <definedName name="kurs" localSheetId="0">'JANUARY''26'!#REF!</definedName>
    <definedName name="kurs" localSheetId="2">'Mart''26'!#REF!</definedName>
    <definedName name="kurs" localSheetId="4">'May''26'!#REF!</definedName>
    <definedName name="kurs">'[1]07'!$H$6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5" i="94" l="1"/>
  <c r="E42" i="94"/>
  <c r="E45" i="94" s="1"/>
  <c r="C42" i="94"/>
  <c r="F11" i="94"/>
  <c r="G41" i="93"/>
  <c r="C40" i="93"/>
  <c r="C42" i="93" s="1"/>
  <c r="C32" i="93"/>
  <c r="C13" i="93"/>
  <c r="F11" i="93"/>
  <c r="G55" i="93"/>
  <c r="E42" i="93"/>
  <c r="E41" i="92"/>
  <c r="F39" i="92"/>
  <c r="F40" i="92" s="1"/>
  <c r="F12" i="92"/>
  <c r="F13" i="92" s="1"/>
  <c r="F14" i="92" s="1"/>
  <c r="F15" i="92" s="1"/>
  <c r="F16" i="92" s="1"/>
  <c r="F17" i="92" s="1"/>
  <c r="F18" i="92" s="1"/>
  <c r="F19" i="92" s="1"/>
  <c r="F20" i="92" s="1"/>
  <c r="F21" i="92" s="1"/>
  <c r="F22" i="92" s="1"/>
  <c r="F23" i="92" s="1"/>
  <c r="F24" i="92" s="1"/>
  <c r="F25" i="92" s="1"/>
  <c r="F26" i="92" s="1"/>
  <c r="F27" i="92" s="1"/>
  <c r="F28" i="92" s="1"/>
  <c r="F29" i="92" s="1"/>
  <c r="F30" i="92" s="1"/>
  <c r="F31" i="92" s="1"/>
  <c r="F32" i="92" s="1"/>
  <c r="F33" i="92" s="1"/>
  <c r="F34" i="92" s="1"/>
  <c r="F35" i="92" s="1"/>
  <c r="F36" i="92" s="1"/>
  <c r="F37" i="92" s="1"/>
  <c r="F38" i="92" s="1"/>
  <c r="F11" i="92"/>
  <c r="C12" i="92"/>
  <c r="C42" i="92" s="1"/>
  <c r="C45" i="92" s="1"/>
  <c r="C37" i="92"/>
  <c r="G55" i="92"/>
  <c r="E42" i="92"/>
  <c r="E52" i="92" s="1"/>
  <c r="G52" i="92" s="1"/>
  <c r="G67" i="90"/>
  <c r="F11" i="90"/>
  <c r="C45" i="94" l="1"/>
  <c r="C47" i="94" s="1"/>
  <c r="E51" i="94"/>
  <c r="G51" i="94" s="1"/>
  <c r="E52" i="94"/>
  <c r="G52" i="94" s="1"/>
  <c r="G11" i="94"/>
  <c r="F12" i="94"/>
  <c r="C45" i="93"/>
  <c r="E51" i="93"/>
  <c r="G51" i="93" s="1"/>
  <c r="E45" i="93"/>
  <c r="E52" i="93"/>
  <c r="G52" i="93" s="1"/>
  <c r="G11" i="93"/>
  <c r="F12" i="93"/>
  <c r="G40" i="92"/>
  <c r="F41" i="92"/>
  <c r="G41" i="92" s="1"/>
  <c r="G39" i="92"/>
  <c r="E45" i="92"/>
  <c r="C47" i="92" s="1"/>
  <c r="E51" i="92"/>
  <c r="G51" i="92" s="1"/>
  <c r="G12" i="92"/>
  <c r="G11" i="92"/>
  <c r="F11" i="91"/>
  <c r="G11" i="91" s="1"/>
  <c r="G55" i="91"/>
  <c r="C42" i="91"/>
  <c r="C45" i="91" s="1"/>
  <c r="E42" i="91"/>
  <c r="F12" i="90"/>
  <c r="E29" i="90"/>
  <c r="E30" i="90"/>
  <c r="E31" i="90"/>
  <c r="E32" i="90"/>
  <c r="E33" i="90"/>
  <c r="E36" i="90"/>
  <c r="E38" i="90"/>
  <c r="E39" i="90"/>
  <c r="E40" i="90"/>
  <c r="E19" i="90"/>
  <c r="E22" i="90"/>
  <c r="E23" i="90"/>
  <c r="E26" i="90"/>
  <c r="F13" i="94" l="1"/>
  <c r="G12" i="94"/>
  <c r="F13" i="93"/>
  <c r="G12" i="93"/>
  <c r="C47" i="93"/>
  <c r="G13" i="92"/>
  <c r="E45" i="91"/>
  <c r="C47" i="91" s="1"/>
  <c r="E52" i="91"/>
  <c r="G52" i="91" s="1"/>
  <c r="E51" i="91"/>
  <c r="G51" i="91" s="1"/>
  <c r="F12" i="91"/>
  <c r="G55" i="90"/>
  <c r="G11" i="90"/>
  <c r="C42" i="90"/>
  <c r="F14" i="94" l="1"/>
  <c r="G13" i="94"/>
  <c r="F14" i="93"/>
  <c r="G13" i="93"/>
  <c r="G14" i="92"/>
  <c r="F13" i="91"/>
  <c r="G12" i="91"/>
  <c r="E51" i="90"/>
  <c r="G51" i="90" s="1"/>
  <c r="C45" i="90"/>
  <c r="E42" i="90"/>
  <c r="E45" i="90" s="1"/>
  <c r="F15" i="94" l="1"/>
  <c r="G14" i="94"/>
  <c r="F15" i="93"/>
  <c r="G14" i="93"/>
  <c r="G15" i="92"/>
  <c r="G13" i="91"/>
  <c r="F14" i="91"/>
  <c r="C47" i="90"/>
  <c r="F13" i="90"/>
  <c r="G12" i="90"/>
  <c r="E52" i="90"/>
  <c r="G52" i="90" s="1"/>
  <c r="G57" i="90" s="1"/>
  <c r="G58" i="90" s="1"/>
  <c r="G15" i="94" l="1"/>
  <c r="F16" i="94"/>
  <c r="F16" i="93"/>
  <c r="G15" i="93"/>
  <c r="G16" i="92"/>
  <c r="G14" i="91"/>
  <c r="F15" i="91"/>
  <c r="F14" i="90"/>
  <c r="G13" i="90"/>
  <c r="F17" i="94" l="1"/>
  <c r="G16" i="94"/>
  <c r="F17" i="93"/>
  <c r="G16" i="93"/>
  <c r="G17" i="92"/>
  <c r="F16" i="91"/>
  <c r="G15" i="91"/>
  <c r="F15" i="90"/>
  <c r="G14" i="90"/>
  <c r="F18" i="94" l="1"/>
  <c r="G17" i="94"/>
  <c r="F18" i="93"/>
  <c r="G17" i="93"/>
  <c r="G18" i="92"/>
  <c r="F17" i="91"/>
  <c r="G16" i="91"/>
  <c r="F16" i="90"/>
  <c r="G15" i="90"/>
  <c r="F19" i="94" l="1"/>
  <c r="G18" i="94"/>
  <c r="F19" i="93"/>
  <c r="G18" i="93"/>
  <c r="G19" i="92"/>
  <c r="G17" i="91"/>
  <c r="F18" i="91"/>
  <c r="F17" i="90"/>
  <c r="G16" i="90"/>
  <c r="G19" i="94" l="1"/>
  <c r="F20" i="94"/>
  <c r="F20" i="93"/>
  <c r="G19" i="93"/>
  <c r="G20" i="92"/>
  <c r="F19" i="91"/>
  <c r="G18" i="91"/>
  <c r="F18" i="90"/>
  <c r="G17" i="90"/>
  <c r="F21" i="94" l="1"/>
  <c r="G20" i="94"/>
  <c r="F21" i="93"/>
  <c r="G20" i="93"/>
  <c r="G21" i="92"/>
  <c r="F20" i="91"/>
  <c r="G19" i="91"/>
  <c r="F19" i="90"/>
  <c r="G18" i="90"/>
  <c r="F22" i="94" l="1"/>
  <c r="G21" i="94"/>
  <c r="F22" i="93"/>
  <c r="G21" i="93"/>
  <c r="G22" i="92"/>
  <c r="F21" i="91"/>
  <c r="G20" i="91"/>
  <c r="F20" i="90"/>
  <c r="G19" i="90"/>
  <c r="F23" i="94" l="1"/>
  <c r="G22" i="94"/>
  <c r="F23" i="93"/>
  <c r="G22" i="93"/>
  <c r="G23" i="92"/>
  <c r="F22" i="91"/>
  <c r="G21" i="91"/>
  <c r="F21" i="90"/>
  <c r="G20" i="90"/>
  <c r="G23" i="94" l="1"/>
  <c r="F24" i="94"/>
  <c r="F24" i="93"/>
  <c r="G23" i="93"/>
  <c r="G24" i="92"/>
  <c r="F23" i="91"/>
  <c r="G22" i="91"/>
  <c r="F22" i="90"/>
  <c r="G21" i="90"/>
  <c r="F25" i="94" l="1"/>
  <c r="G24" i="94"/>
  <c r="F25" i="93"/>
  <c r="G24" i="93"/>
  <c r="G25" i="92"/>
  <c r="F24" i="91"/>
  <c r="G23" i="91"/>
  <c r="F23" i="90"/>
  <c r="G22" i="90"/>
  <c r="F26" i="94" l="1"/>
  <c r="G25" i="94"/>
  <c r="F26" i="93"/>
  <c r="G25" i="93"/>
  <c r="G26" i="92"/>
  <c r="F25" i="91"/>
  <c r="G24" i="91"/>
  <c r="F24" i="90"/>
  <c r="G23" i="90"/>
  <c r="F27" i="94" l="1"/>
  <c r="G26" i="94"/>
  <c r="F27" i="93"/>
  <c r="G26" i="93"/>
  <c r="G27" i="92"/>
  <c r="F26" i="91"/>
  <c r="G25" i="91"/>
  <c r="F25" i="90"/>
  <c r="G24" i="90"/>
  <c r="G27" i="94" l="1"/>
  <c r="F28" i="94"/>
  <c r="F28" i="93"/>
  <c r="G27" i="93"/>
  <c r="G28" i="92"/>
  <c r="F27" i="91"/>
  <c r="G26" i="91"/>
  <c r="F26" i="90"/>
  <c r="G25" i="90"/>
  <c r="F29" i="94" l="1"/>
  <c r="G28" i="94"/>
  <c r="F29" i="93"/>
  <c r="G28" i="93"/>
  <c r="G29" i="92"/>
  <c r="G27" i="91"/>
  <c r="F28" i="91"/>
  <c r="F27" i="90"/>
  <c r="G26" i="90"/>
  <c r="F30" i="94" l="1"/>
  <c r="G29" i="94"/>
  <c r="F30" i="93"/>
  <c r="G29" i="93"/>
  <c r="G30" i="92"/>
  <c r="G28" i="91"/>
  <c r="F29" i="91"/>
  <c r="F28" i="90"/>
  <c r="G27" i="90"/>
  <c r="F31" i="94" l="1"/>
  <c r="G30" i="94"/>
  <c r="F31" i="93"/>
  <c r="G30" i="93"/>
  <c r="G31" i="92"/>
  <c r="F30" i="91"/>
  <c r="G29" i="91"/>
  <c r="F29" i="90"/>
  <c r="G28" i="90"/>
  <c r="G31" i="94" l="1"/>
  <c r="F32" i="94"/>
  <c r="F32" i="93"/>
  <c r="G31" i="93"/>
  <c r="G32" i="92"/>
  <c r="F31" i="91"/>
  <c r="G30" i="91"/>
  <c r="F30" i="90"/>
  <c r="G29" i="90"/>
  <c r="F33" i="94" l="1"/>
  <c r="G32" i="94"/>
  <c r="F33" i="93"/>
  <c r="G32" i="93"/>
  <c r="G33" i="92"/>
  <c r="F32" i="91"/>
  <c r="G31" i="91"/>
  <c r="F31" i="90"/>
  <c r="G30" i="90"/>
  <c r="F34" i="94" l="1"/>
  <c r="G33" i="94"/>
  <c r="F34" i="93"/>
  <c r="G33" i="93"/>
  <c r="G34" i="92"/>
  <c r="F33" i="91"/>
  <c r="G32" i="91"/>
  <c r="F32" i="90"/>
  <c r="G31" i="90"/>
  <c r="F35" i="94" l="1"/>
  <c r="G34" i="94"/>
  <c r="F35" i="93"/>
  <c r="G34" i="93"/>
  <c r="G35" i="92"/>
  <c r="F34" i="91"/>
  <c r="G33" i="91"/>
  <c r="F33" i="90"/>
  <c r="G32" i="90"/>
  <c r="F36" i="94" l="1"/>
  <c r="G35" i="94"/>
  <c r="F36" i="93"/>
  <c r="G35" i="93"/>
  <c r="G36" i="92"/>
  <c r="F35" i="91"/>
  <c r="G34" i="91"/>
  <c r="F34" i="90"/>
  <c r="G33" i="90"/>
  <c r="F37" i="94" l="1"/>
  <c r="G36" i="94"/>
  <c r="F37" i="93"/>
  <c r="G36" i="93"/>
  <c r="G37" i="92"/>
  <c r="F36" i="91"/>
  <c r="G35" i="91"/>
  <c r="F35" i="90"/>
  <c r="G34" i="90"/>
  <c r="F38" i="94" l="1"/>
  <c r="G37" i="94"/>
  <c r="F38" i="93"/>
  <c r="G37" i="93"/>
  <c r="G38" i="92"/>
  <c r="G42" i="92" s="1"/>
  <c r="F42" i="92"/>
  <c r="E53" i="92" s="1"/>
  <c r="G53" i="92" s="1"/>
  <c r="G57" i="92" s="1"/>
  <c r="G36" i="91"/>
  <c r="F37" i="91"/>
  <c r="F36" i="90"/>
  <c r="G35" i="90"/>
  <c r="F39" i="94" l="1"/>
  <c r="G38" i="94"/>
  <c r="F39" i="93"/>
  <c r="G38" i="93"/>
  <c r="G37" i="91"/>
  <c r="F38" i="91"/>
  <c r="F37" i="90"/>
  <c r="G36" i="90"/>
  <c r="F40" i="94" l="1"/>
  <c r="F41" i="94" s="1"/>
  <c r="G41" i="94" s="1"/>
  <c r="G39" i="94"/>
  <c r="G39" i="93"/>
  <c r="F40" i="93"/>
  <c r="G38" i="91"/>
  <c r="F38" i="90"/>
  <c r="G37" i="90"/>
  <c r="G40" i="94" l="1"/>
  <c r="G42" i="94" s="1"/>
  <c r="F42" i="94"/>
  <c r="E53" i="94" s="1"/>
  <c r="G53" i="94" s="1"/>
  <c r="G57" i="94" s="1"/>
  <c r="G40" i="93"/>
  <c r="G39" i="91"/>
  <c r="F39" i="90"/>
  <c r="F40" i="90" s="1"/>
  <c r="G38" i="90"/>
  <c r="G42" i="93" l="1"/>
  <c r="F42" i="93"/>
  <c r="E53" i="93" s="1"/>
  <c r="G53" i="93" s="1"/>
  <c r="G57" i="93" s="1"/>
  <c r="G40" i="91"/>
  <c r="G42" i="91" s="1"/>
  <c r="F42" i="91"/>
  <c r="E53" i="91" s="1"/>
  <c r="G53" i="91" s="1"/>
  <c r="G57" i="91" s="1"/>
  <c r="F42" i="90"/>
  <c r="E53" i="90" s="1"/>
  <c r="G39" i="90"/>
  <c r="G40" i="90" l="1"/>
  <c r="G42" i="9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tc={60243D7B-124B-FA4C-A72B-E2C73A917954}</author>
  </authors>
  <commentList>
    <comment ref="C12" authorId="0" shapeId="0" xr:uid="{60243D7B-124B-FA4C-A72B-E2C73A917954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278 mağazadan gelen mobilya</t>
      </text>
    </comment>
  </commentList>
</comments>
</file>

<file path=xl/sharedStrings.xml><?xml version="1.0" encoding="utf-8"?>
<sst xmlns="http://schemas.openxmlformats.org/spreadsheetml/2006/main" count="153" uniqueCount="49">
  <si>
    <t>STORAGE BOX</t>
  </si>
  <si>
    <t>No of boxes</t>
  </si>
  <si>
    <t>INBOUND</t>
  </si>
  <si>
    <t>OUTBOUND</t>
  </si>
  <si>
    <t xml:space="preserve">No of boxes </t>
  </si>
  <si>
    <t>Day in month</t>
  </si>
  <si>
    <t>Invoice Numbers</t>
  </si>
  <si>
    <t>Starting Stock</t>
  </si>
  <si>
    <t>Order No</t>
  </si>
  <si>
    <t>STORAGE</t>
  </si>
  <si>
    <t>QTTY</t>
  </si>
  <si>
    <t>UNIT PRICE</t>
  </si>
  <si>
    <t>AMOUNT</t>
  </si>
  <si>
    <t>TOTAL</t>
  </si>
  <si>
    <t>INVOICE PERIOD</t>
  </si>
  <si>
    <t>Start</t>
  </si>
  <si>
    <t>End</t>
  </si>
  <si>
    <t>Daily Storage Cost</t>
  </si>
  <si>
    <t>Shrinkage (Pallet)</t>
  </si>
  <si>
    <t>IHR778</t>
  </si>
  <si>
    <t>IHR776</t>
  </si>
  <si>
    <t>IHR783</t>
  </si>
  <si>
    <t>ANT283</t>
  </si>
  <si>
    <t>ANT277</t>
  </si>
  <si>
    <t>IHR805</t>
  </si>
  <si>
    <t>IHR803</t>
  </si>
  <si>
    <t>IHR821</t>
  </si>
  <si>
    <t>ANT298</t>
  </si>
  <si>
    <t>ANT307</t>
  </si>
  <si>
    <t>IHR845</t>
  </si>
  <si>
    <t>ANT309</t>
  </si>
  <si>
    <t>IHR844</t>
  </si>
  <si>
    <t>IHR865</t>
  </si>
  <si>
    <t>Без номера</t>
  </si>
  <si>
    <t>Нач. ост.</t>
  </si>
  <si>
    <t>INBOUND AMOUNT</t>
  </si>
  <si>
    <t>OUTBOUND AMOUNT</t>
  </si>
  <si>
    <t>TOTAL AMOUNT (Excluding VAT)</t>
  </si>
  <si>
    <t>Mağaza Malzemeleri ve Mobilyaları</t>
  </si>
  <si>
    <t>VAT</t>
  </si>
  <si>
    <t>IHR2026000000095</t>
  </si>
  <si>
    <t>IHR2026000000088 - ANT2026000000039</t>
  </si>
  <si>
    <t>IHR2026000000080</t>
  </si>
  <si>
    <t>IHR2026000000104</t>
  </si>
  <si>
    <t>31.04.2026</t>
  </si>
  <si>
    <t>ANT2026000000047+IHR2026000000106</t>
  </si>
  <si>
    <t>IHR2026000000134 - ANT2026000000055+IHR2026000000124</t>
  </si>
  <si>
    <t>IHR2026000000142</t>
  </si>
  <si>
    <t>IHR2026000000148 - ANT2026000000063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</si>
</sst>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_-;\-* #,##0_-;_-* &quot;-&quot;_-;_-@_-"/>
    <numFmt numFmtId="165" formatCode="_-* #,##0.00_-;\-* #,##0.00_-;_-* &quot;-&quot;??_-;_-@_-"/>
    <numFmt numFmtId="166" formatCode="dd/mm/yyyy;@"/>
    <numFmt numFmtId="167" formatCode="_-* #,##0.00\ _R_S_D_-;\-* #,##0.00\ _R_S_D_-;_-* &quot;-&quot;??\ _R_S_D_-;_-@_-"/>
    <numFmt numFmtId="168" formatCode="_-* #,##0_-;\-* #,##0_-;_-* &quot;-&quot;??_-;_-@_-"/>
    <numFmt numFmtId="169" formatCode="_-* #,##0.00\ [$₸-43F]_-;\-* #,##0.00\ [$₸-43F]_-;_-* &quot;-&quot;??\ [$₸-43F]_-;_-@_-"/>
    <numFmt numFmtId="170" formatCode="_-* #,##0\ [$₸-43F]_-;\-* #,##0\ [$₸-43F]_-;_-* &quot;-&quot;??\ [$₸-43F]_-;_-@_-"/>
  </numFmts>
  <fonts count="19" x14ac:knownFonts="1">
    <font>
      <sz val="11"/>
      <color theme="1"/>
      <name val="Arial"/>
      <family val="2"/>
      <charset val="238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38"/>
    </font>
    <font>
      <sz val="11"/>
      <color rgb="FF9C5700"/>
      <name val="Calibri"/>
      <family val="2"/>
      <charset val="204"/>
      <scheme val="minor"/>
    </font>
    <font>
      <sz val="11"/>
      <color theme="1"/>
      <name val="Calibri"/>
      <family val="2"/>
      <charset val="162"/>
      <scheme val="minor"/>
    </font>
    <font>
      <b/>
      <sz val="9"/>
      <color indexed="8"/>
      <name val="Arial"/>
      <family val="2"/>
      <charset val="204"/>
    </font>
    <font>
      <sz val="9"/>
      <color theme="1"/>
      <name val="Arial"/>
      <family val="2"/>
      <charset val="238"/>
    </font>
    <font>
      <b/>
      <sz val="9"/>
      <color theme="1"/>
      <name val="Calibri"/>
      <family val="2"/>
      <charset val="238"/>
      <scheme val="minor"/>
    </font>
    <font>
      <b/>
      <sz val="9"/>
      <color indexed="8"/>
      <name val="Arial"/>
      <family val="2"/>
      <charset val="162"/>
    </font>
    <font>
      <b/>
      <sz val="9"/>
      <color theme="1"/>
      <name val="Arial"/>
      <family val="2"/>
      <charset val="162"/>
    </font>
    <font>
      <sz val="9"/>
      <color indexed="8"/>
      <name val="Arial"/>
      <family val="2"/>
      <charset val="204"/>
    </font>
    <font>
      <b/>
      <sz val="9"/>
      <color indexed="8"/>
      <name val="Arial"/>
      <family val="2"/>
    </font>
    <font>
      <sz val="9"/>
      <color theme="1"/>
      <name val="Calibri"/>
      <family val="2"/>
      <scheme val="minor"/>
    </font>
    <font>
      <sz val="9"/>
      <color indexed="8"/>
      <name val="Calibri"/>
      <family val="2"/>
      <charset val="204"/>
    </font>
    <font>
      <sz val="9"/>
      <color indexed="55"/>
      <name val="Arial"/>
      <family val="2"/>
      <charset val="238"/>
    </font>
    <font>
      <b/>
      <sz val="9"/>
      <color indexed="8"/>
      <name val="Calibri"/>
      <family val="2"/>
      <charset val="162"/>
    </font>
    <font>
      <sz val="9"/>
      <color theme="1"/>
      <name val="Calibri"/>
      <family val="2"/>
    </font>
    <font>
      <b/>
      <sz val="9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2" fillId="0" borderId="0"/>
    <xf numFmtId="0" fontId="4" fillId="4" borderId="0" applyNumberFormat="0" applyBorder="0" applyAlignment="0" applyProtection="0"/>
    <xf numFmtId="0" fontId="1" fillId="0" borderId="0"/>
    <xf numFmtId="0" fontId="5" fillId="0" borderId="0"/>
    <xf numFmtId="165" fontId="3" fillId="0" borderId="0" applyFont="0" applyFill="0" applyBorder="0" applyAlignment="0" applyProtection="0"/>
  </cellStyleXfs>
  <cellXfs count="110">
    <xf numFmtId="0" fontId="0" fillId="0" borderId="0" xfId="0"/>
    <xf numFmtId="0" fontId="6" fillId="0" borderId="0" xfId="0" applyFont="1" applyAlignment="1">
      <alignment horizontal="center"/>
    </xf>
    <xf numFmtId="0" fontId="7" fillId="0" borderId="0" xfId="0" applyFont="1"/>
    <xf numFmtId="168" fontId="7" fillId="0" borderId="0" xfId="6" applyNumberFormat="1" applyFont="1" applyAlignment="1">
      <alignment horizontal="left" indent="3"/>
    </xf>
    <xf numFmtId="169" fontId="7" fillId="0" borderId="0" xfId="0" applyNumberFormat="1" applyFont="1"/>
    <xf numFmtId="0" fontId="7" fillId="0" borderId="0" xfId="0" applyFont="1" applyAlignment="1">
      <alignment horizontal="center"/>
    </xf>
    <xf numFmtId="166" fontId="6" fillId="0" borderId="0" xfId="0" applyNumberFormat="1" applyFont="1" applyAlignment="1">
      <alignment horizontal="center"/>
    </xf>
    <xf numFmtId="0" fontId="7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0" xfId="0" applyFont="1"/>
    <xf numFmtId="168" fontId="11" fillId="2" borderId="11" xfId="6" applyNumberFormat="1" applyFont="1" applyFill="1" applyBorder="1" applyAlignment="1">
      <alignment horizontal="left" indent="3"/>
    </xf>
    <xf numFmtId="169" fontId="7" fillId="0" borderId="7" xfId="6" applyNumberFormat="1" applyFont="1" applyBorder="1"/>
    <xf numFmtId="168" fontId="7" fillId="0" borderId="7" xfId="6" applyNumberFormat="1" applyFont="1" applyBorder="1"/>
    <xf numFmtId="168" fontId="7" fillId="0" borderId="7" xfId="6" applyNumberFormat="1" applyFont="1" applyBorder="1" applyAlignment="1">
      <alignment horizontal="left" indent="3"/>
    </xf>
    <xf numFmtId="164" fontId="7" fillId="0" borderId="0" xfId="1" applyFont="1"/>
    <xf numFmtId="167" fontId="7" fillId="0" borderId="0" xfId="0" applyNumberFormat="1" applyFont="1"/>
    <xf numFmtId="2" fontId="15" fillId="0" borderId="0" xfId="0" applyNumberFormat="1" applyFont="1"/>
    <xf numFmtId="168" fontId="15" fillId="0" borderId="0" xfId="6" applyNumberFormat="1" applyFont="1" applyAlignment="1">
      <alignment horizontal="left" indent="3"/>
    </xf>
    <xf numFmtId="169" fontId="15" fillId="0" borderId="0" xfId="0" applyNumberFormat="1" applyFont="1"/>
    <xf numFmtId="0" fontId="9" fillId="2" borderId="15" xfId="0" applyFont="1" applyFill="1" applyBorder="1" applyAlignment="1">
      <alignment wrapText="1"/>
    </xf>
    <xf numFmtId="0" fontId="9" fillId="2" borderId="16" xfId="0" applyFont="1" applyFill="1" applyBorder="1" applyAlignment="1">
      <alignment wrapText="1"/>
    </xf>
    <xf numFmtId="0" fontId="10" fillId="2" borderId="17" xfId="0" applyFont="1" applyFill="1" applyBorder="1" applyAlignment="1">
      <alignment horizontal="left" wrapText="1"/>
    </xf>
    <xf numFmtId="0" fontId="9" fillId="2" borderId="18" xfId="0" applyFont="1" applyFill="1" applyBorder="1" applyAlignment="1">
      <alignment wrapText="1"/>
    </xf>
    <xf numFmtId="168" fontId="11" fillId="2" borderId="13" xfId="6" applyNumberFormat="1" applyFont="1" applyFill="1" applyBorder="1" applyAlignment="1">
      <alignment horizontal="left" indent="3"/>
    </xf>
    <xf numFmtId="169" fontId="7" fillId="0" borderId="14" xfId="6" applyNumberFormat="1" applyFont="1" applyBorder="1"/>
    <xf numFmtId="168" fontId="9" fillId="5" borderId="17" xfId="6" applyNumberFormat="1" applyFont="1" applyFill="1" applyBorder="1" applyAlignment="1">
      <alignment horizontal="left" indent="3"/>
    </xf>
    <xf numFmtId="169" fontId="10" fillId="5" borderId="10" xfId="0" applyNumberFormat="1" applyFont="1" applyFill="1" applyBorder="1"/>
    <xf numFmtId="0" fontId="10" fillId="0" borderId="9" xfId="0" applyFont="1" applyBorder="1" applyAlignment="1">
      <alignment horizontal="right"/>
    </xf>
    <xf numFmtId="0" fontId="10" fillId="0" borderId="12" xfId="0" applyFont="1" applyBorder="1" applyAlignment="1">
      <alignment horizontal="right"/>
    </xf>
    <xf numFmtId="0" fontId="7" fillId="0" borderId="10" xfId="0" applyFont="1" applyBorder="1" applyAlignment="1">
      <alignment horizontal="left"/>
    </xf>
    <xf numFmtId="166" fontId="6" fillId="0" borderId="9" xfId="0" applyNumberFormat="1" applyFont="1" applyBorder="1" applyAlignment="1">
      <alignment horizontal="left"/>
    </xf>
    <xf numFmtId="166" fontId="6" fillId="0" borderId="12" xfId="0" applyNumberFormat="1" applyFont="1" applyBorder="1" applyAlignment="1">
      <alignment horizontal="left"/>
    </xf>
    <xf numFmtId="2" fontId="11" fillId="0" borderId="20" xfId="0" applyNumberFormat="1" applyFont="1" applyBorder="1"/>
    <xf numFmtId="0" fontId="7" fillId="0" borderId="20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13" fillId="0" borderId="24" xfId="0" applyFont="1" applyBorder="1"/>
    <xf numFmtId="2" fontId="11" fillId="0" borderId="21" xfId="0" applyNumberFormat="1" applyFont="1" applyBorder="1"/>
    <xf numFmtId="0" fontId="13" fillId="3" borderId="20" xfId="0" applyFont="1" applyFill="1" applyBorder="1"/>
    <xf numFmtId="0" fontId="13" fillId="0" borderId="20" xfId="0" applyFont="1" applyBorder="1"/>
    <xf numFmtId="0" fontId="7" fillId="0" borderId="20" xfId="0" applyFont="1" applyBorder="1" applyAlignment="1">
      <alignment horizontal="left"/>
    </xf>
    <xf numFmtId="0" fontId="13" fillId="0" borderId="20" xfId="4" applyFont="1" applyBorder="1"/>
    <xf numFmtId="0" fontId="7" fillId="0" borderId="20" xfId="0" applyFont="1" applyBorder="1"/>
    <xf numFmtId="2" fontId="9" fillId="5" borderId="2" xfId="0" applyNumberFormat="1" applyFont="1" applyFill="1" applyBorder="1" applyAlignment="1">
      <alignment vertical="center"/>
    </xf>
    <xf numFmtId="2" fontId="9" fillId="5" borderId="1" xfId="0" applyNumberFormat="1" applyFont="1" applyFill="1" applyBorder="1" applyAlignment="1">
      <alignment vertical="center"/>
    </xf>
    <xf numFmtId="2" fontId="9" fillId="5" borderId="19" xfId="0" applyNumberFormat="1" applyFont="1" applyFill="1" applyBorder="1" applyAlignment="1">
      <alignment vertical="center"/>
    </xf>
    <xf numFmtId="0" fontId="13" fillId="0" borderId="25" xfId="0" applyFont="1" applyBorder="1"/>
    <xf numFmtId="2" fontId="11" fillId="0" borderId="25" xfId="0" applyNumberFormat="1" applyFont="1" applyBorder="1"/>
    <xf numFmtId="0" fontId="7" fillId="0" borderId="8" xfId="0" applyFont="1" applyBorder="1" applyAlignment="1">
      <alignment horizontal="center"/>
    </xf>
    <xf numFmtId="0" fontId="9" fillId="2" borderId="10" xfId="0" applyFont="1" applyFill="1" applyBorder="1" applyAlignment="1">
      <alignment horizontal="center" wrapText="1"/>
    </xf>
    <xf numFmtId="0" fontId="10" fillId="2" borderId="4" xfId="0" applyFont="1" applyFill="1" applyBorder="1"/>
    <xf numFmtId="0" fontId="10" fillId="2" borderId="5" xfId="0" applyFont="1" applyFill="1" applyBorder="1" applyAlignment="1">
      <alignment horizontal="right"/>
    </xf>
    <xf numFmtId="168" fontId="10" fillId="2" borderId="5" xfId="6" applyNumberFormat="1" applyFont="1" applyFill="1" applyBorder="1" applyAlignment="1">
      <alignment horizontal="left" indent="3"/>
    </xf>
    <xf numFmtId="169" fontId="10" fillId="2" borderId="6" xfId="0" applyNumberFormat="1" applyFont="1" applyFill="1" applyBorder="1" applyAlignment="1">
      <alignment horizontal="right"/>
    </xf>
    <xf numFmtId="169" fontId="7" fillId="0" borderId="21" xfId="0" applyNumberFormat="1" applyFont="1" applyBorder="1"/>
    <xf numFmtId="0" fontId="7" fillId="0" borderId="20" xfId="0" applyFont="1" applyBorder="1" applyAlignment="1">
      <alignment vertical="center" wrapText="1"/>
    </xf>
    <xf numFmtId="0" fontId="7" fillId="0" borderId="26" xfId="0" applyFont="1" applyBorder="1" applyAlignment="1">
      <alignment vertical="center" wrapText="1"/>
    </xf>
    <xf numFmtId="168" fontId="7" fillId="0" borderId="27" xfId="6" applyNumberFormat="1" applyFont="1" applyBorder="1"/>
    <xf numFmtId="168" fontId="7" fillId="0" borderId="27" xfId="6" applyNumberFormat="1" applyFont="1" applyBorder="1" applyAlignment="1">
      <alignment horizontal="left" indent="3"/>
    </xf>
    <xf numFmtId="169" fontId="7" fillId="0" borderId="23" xfId="0" applyNumberFormat="1" applyFont="1" applyBorder="1"/>
    <xf numFmtId="0" fontId="7" fillId="0" borderId="2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169" fontId="12" fillId="0" borderId="3" xfId="0" applyNumberFormat="1" applyFont="1" applyBorder="1" applyAlignment="1">
      <alignment vertical="center"/>
    </xf>
    <xf numFmtId="168" fontId="12" fillId="0" borderId="1" xfId="6" applyNumberFormat="1" applyFont="1" applyBorder="1" applyAlignment="1">
      <alignment horizontal="center" vertical="center"/>
    </xf>
    <xf numFmtId="14" fontId="17" fillId="0" borderId="14" xfId="0" applyNumberFormat="1" applyFont="1" applyBorder="1" applyAlignment="1">
      <alignment horizontal="center"/>
    </xf>
    <xf numFmtId="1" fontId="11" fillId="0" borderId="8" xfId="0" applyNumberFormat="1" applyFont="1" applyBorder="1" applyAlignment="1">
      <alignment horizontal="center" vertical="center"/>
    </xf>
    <xf numFmtId="1" fontId="11" fillId="0" borderId="21" xfId="0" applyNumberFormat="1" applyFont="1" applyBorder="1" applyAlignment="1">
      <alignment horizontal="center" vertical="center"/>
    </xf>
    <xf numFmtId="170" fontId="7" fillId="0" borderId="21" xfId="0" applyNumberFormat="1" applyFont="1" applyBorder="1"/>
    <xf numFmtId="0" fontId="7" fillId="6" borderId="20" xfId="0" applyFont="1" applyFill="1" applyBorder="1"/>
    <xf numFmtId="168" fontId="7" fillId="6" borderId="7" xfId="6" applyNumberFormat="1" applyFont="1" applyFill="1" applyBorder="1"/>
    <xf numFmtId="168" fontId="7" fillId="6" borderId="7" xfId="6" applyNumberFormat="1" applyFont="1" applyFill="1" applyBorder="1" applyAlignment="1">
      <alignment horizontal="left" indent="3"/>
    </xf>
    <xf numFmtId="170" fontId="7" fillId="6" borderId="21" xfId="0" applyNumberFormat="1" applyFont="1" applyFill="1" applyBorder="1"/>
    <xf numFmtId="0" fontId="14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69" fontId="7" fillId="0" borderId="0" xfId="6" applyNumberFormat="1" applyFont="1" applyFill="1" applyBorder="1"/>
    <xf numFmtId="0" fontId="16" fillId="0" borderId="0" xfId="0" applyFont="1" applyAlignment="1">
      <alignment horizontal="center"/>
    </xf>
    <xf numFmtId="14" fontId="17" fillId="0" borderId="28" xfId="0" applyNumberFormat="1" applyFont="1" applyBorder="1" applyAlignment="1">
      <alignment horizontal="center"/>
    </xf>
    <xf numFmtId="0" fontId="13" fillId="0" borderId="29" xfId="0" applyFont="1" applyBorder="1"/>
    <xf numFmtId="2" fontId="11" fillId="0" borderId="30" xfId="0" applyNumberFormat="1" applyFont="1" applyBorder="1"/>
    <xf numFmtId="2" fontId="11" fillId="0" borderId="29" xfId="0" applyNumberFormat="1" applyFont="1" applyBorder="1"/>
    <xf numFmtId="0" fontId="7" fillId="0" borderId="32" xfId="0" applyFont="1" applyBorder="1" applyAlignment="1">
      <alignment horizontal="center"/>
    </xf>
    <xf numFmtId="168" fontId="11" fillId="2" borderId="31" xfId="6" applyNumberFormat="1" applyFont="1" applyFill="1" applyBorder="1" applyAlignment="1">
      <alignment horizontal="left" indent="3"/>
    </xf>
    <xf numFmtId="169" fontId="7" fillId="0" borderId="33" xfId="6" applyNumberFormat="1" applyFont="1" applyBorder="1"/>
    <xf numFmtId="0" fontId="14" fillId="0" borderId="15" xfId="0" applyFont="1" applyBorder="1" applyAlignment="1">
      <alignment horizontal="center"/>
    </xf>
    <xf numFmtId="0" fontId="16" fillId="2" borderId="17" xfId="0" applyFont="1" applyFill="1" applyBorder="1" applyAlignment="1">
      <alignment horizontal="center"/>
    </xf>
    <xf numFmtId="1" fontId="6" fillId="2" borderId="16" xfId="0" applyNumberFormat="1" applyFont="1" applyFill="1" applyBorder="1" applyAlignment="1">
      <alignment horizontal="center"/>
    </xf>
    <xf numFmtId="1" fontId="6" fillId="2" borderId="15" xfId="0" applyNumberFormat="1" applyFont="1" applyFill="1" applyBorder="1" applyAlignment="1">
      <alignment horizontal="center"/>
    </xf>
    <xf numFmtId="1" fontId="6" fillId="2" borderId="18" xfId="0" applyNumberFormat="1" applyFont="1" applyFill="1" applyBorder="1" applyAlignment="1">
      <alignment horizontal="center"/>
    </xf>
    <xf numFmtId="1" fontId="6" fillId="2" borderId="19" xfId="0" applyNumberFormat="1" applyFont="1" applyFill="1" applyBorder="1" applyAlignment="1">
      <alignment horizontal="center"/>
    </xf>
    <xf numFmtId="169" fontId="7" fillId="2" borderId="18" xfId="6" applyNumberFormat="1" applyFont="1" applyFill="1" applyBorder="1"/>
    <xf numFmtId="165" fontId="7" fillId="0" borderId="7" xfId="6" applyFont="1" applyBorder="1"/>
    <xf numFmtId="165" fontId="7" fillId="0" borderId="0" xfId="6" applyFont="1"/>
    <xf numFmtId="168" fontId="7" fillId="0" borderId="0" xfId="6" applyNumberFormat="1" applyFont="1"/>
    <xf numFmtId="165" fontId="18" fillId="0" borderId="7" xfId="6" applyFont="1" applyBorder="1"/>
    <xf numFmtId="168" fontId="18" fillId="0" borderId="7" xfId="6" applyNumberFormat="1" applyFont="1" applyBorder="1"/>
    <xf numFmtId="169" fontId="7" fillId="6" borderId="0" xfId="0" applyNumberFormat="1" applyFont="1" applyFill="1"/>
    <xf numFmtId="1" fontId="11" fillId="0" borderId="21" xfId="0" applyNumberFormat="1" applyFont="1" applyBorder="1" applyAlignment="1">
      <alignment horizontal="center"/>
    </xf>
    <xf numFmtId="1" fontId="11" fillId="0" borderId="30" xfId="0" applyNumberFormat="1" applyFont="1" applyBorder="1" applyAlignment="1">
      <alignment horizontal="center"/>
    </xf>
    <xf numFmtId="168" fontId="7" fillId="0" borderId="7" xfId="6" applyNumberFormat="1" applyFont="1" applyFill="1" applyBorder="1"/>
    <xf numFmtId="168" fontId="7" fillId="0" borderId="7" xfId="6" applyNumberFormat="1" applyFont="1" applyFill="1" applyBorder="1" applyAlignment="1">
      <alignment horizontal="left" indent="3"/>
    </xf>
    <xf numFmtId="0" fontId="7" fillId="0" borderId="0" xfId="0" applyFont="1" applyAlignment="1">
      <alignment horizontal="center" vertical="center"/>
    </xf>
    <xf numFmtId="2" fontId="11" fillId="0" borderId="21" xfId="0" applyNumberFormat="1" applyFont="1" applyBorder="1" applyAlignment="1">
      <alignment horizontal="center" vertical="center"/>
    </xf>
    <xf numFmtId="0" fontId="9" fillId="2" borderId="9" xfId="0" applyFont="1" applyFill="1" applyBorder="1" applyAlignment="1">
      <alignment horizontal="center" wrapText="1"/>
    </xf>
    <xf numFmtId="0" fontId="9" fillId="2" borderId="12" xfId="0" applyFont="1" applyFill="1" applyBorder="1" applyAlignment="1">
      <alignment horizontal="center" wrapText="1"/>
    </xf>
    <xf numFmtId="0" fontId="10" fillId="2" borderId="2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168" fontId="9" fillId="2" borderId="9" xfId="6" applyNumberFormat="1" applyFont="1" applyFill="1" applyBorder="1" applyAlignment="1">
      <alignment horizontal="center" vertical="center" wrapText="1"/>
    </xf>
    <xf numFmtId="168" fontId="9" fillId="2" borderId="12" xfId="6" applyNumberFormat="1" applyFont="1" applyFill="1" applyBorder="1" applyAlignment="1">
      <alignment horizontal="center" vertical="center" wrapText="1"/>
    </xf>
    <xf numFmtId="169" fontId="10" fillId="2" borderId="9" xfId="0" applyNumberFormat="1" applyFont="1" applyFill="1" applyBorder="1" applyAlignment="1">
      <alignment horizontal="left" vertical="center" wrapText="1"/>
    </xf>
    <xf numFmtId="169" fontId="10" fillId="2" borderId="12" xfId="0" applyNumberFormat="1" applyFont="1" applyFill="1" applyBorder="1" applyAlignment="1">
      <alignment horizontal="left" vertical="center" wrapText="1"/>
    </xf>
  </cellXfs>
  <cellStyles count="7">
    <cellStyle name="Binlik Ayracı [0]" xfId="1" builtinId="6"/>
    <cellStyle name="Neutral 2" xfId="3" xr:uid="{BD365A22-152B-4E16-B311-3EA9F2E3AB3E}"/>
    <cellStyle name="Normal" xfId="0" builtinId="0"/>
    <cellStyle name="Normal 2" xfId="2" xr:uid="{3315B671-0125-45A0-9626-6D43D38991F1}"/>
    <cellStyle name="Normal 2 2" xfId="5" xr:uid="{F2C2F254-E34F-4E90-AF0D-1ADC508F5698}"/>
    <cellStyle name="Normal 3" xfId="4" xr:uid="{76C9C569-46A5-45EF-822D-D20989109654}"/>
    <cellStyle name="Virgül" xfId="6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/baxter/Nalozi%20za%20fakturisanje/GrundfosIn&#273;..xls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Ocak%20Ay&#305;%20Faturas&#305;.xlsx" TargetMode="External"/><Relationship Id="rId2" Type="http://schemas.openxmlformats.org/officeDocument/2006/relationships/externalLinkPath" Target="/Users/harun/Desktop/COCO/Ocak%20Ay&#305;%20Faturas&#305;.xlsx" TargetMode="External"/><Relationship Id="rId1" Type="http://schemas.openxmlformats.org/officeDocument/2006/relationships/externalLinkPath" Target="/Users/harun/Desktop/COCO/Ocak%20Ay&#305;%20Faturas&#30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 2015"/>
      <sheetName val="MART2015 ispravka"/>
      <sheetName val="MART2015"/>
      <sheetName val="OKTOBAR2014"/>
      <sheetName val="SEPTEMBAR2014"/>
      <sheetName val="AVGUST2014"/>
      <sheetName val="JUL2014"/>
      <sheetName val="JUN2014"/>
      <sheetName val="JUN2013"/>
      <sheetName val="MAJ2013"/>
      <sheetName val="februar2013"/>
      <sheetName val="Januar2013"/>
      <sheetName val="DECEMBAR2012"/>
      <sheetName val="NOVEMBAR2012"/>
      <sheetName val="OKTOBAR2012"/>
      <sheetName val="SEPTEMB12"/>
      <sheetName val="AVGUST12"/>
      <sheetName val="JUL2012"/>
      <sheetName val="JUN2012"/>
      <sheetName val="MAJ2012"/>
      <sheetName val="APRIL2012"/>
      <sheetName val="MART2012"/>
      <sheetName val="FEB2012"/>
      <sheetName val="JAN2012"/>
      <sheetName val="DEC11"/>
      <sheetName val="NOV11"/>
      <sheetName val="OKB2011"/>
      <sheetName val="SEPT11"/>
      <sheetName val="AVGUST11"/>
      <sheetName val="JUL11"/>
      <sheetName val="JUN11"/>
      <sheetName val="MAJ11"/>
      <sheetName val="APRIL11"/>
      <sheetName val="MART11"/>
      <sheetName val="FEB11"/>
      <sheetName val="JAN11"/>
      <sheetName val="DEC10"/>
      <sheetName val="NOV10"/>
      <sheetName val="oktob10"/>
      <sheetName val="sept10"/>
      <sheetName val="07"/>
      <sheetName val="0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6">
          <cell r="H6">
            <v>105.11109999999999</v>
          </cell>
        </row>
      </sheetData>
      <sheetData sheetId="4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iriş"/>
      <sheetName val="Çıkış"/>
    </sheetNames>
    <sheetDataSet>
      <sheetData sheetId="0"/>
      <sheetData sheetId="1">
        <row r="1">
          <cell r="A1" t="str">
            <v>Tarih</v>
          </cell>
          <cell r="B1" t="str">
            <v>Gönderici</v>
          </cell>
          <cell r="C1" t="str">
            <v>Alıcı</v>
          </cell>
          <cell r="D1" t="str">
            <v>Store</v>
          </cell>
          <cell r="E1" t="str">
            <v>İrsaliye No</v>
          </cell>
          <cell r="F1" t="str">
            <v>Palet Sayısı</v>
          </cell>
          <cell r="G1" t="str">
            <v>Koli Sayısı</v>
          </cell>
        </row>
        <row r="2">
          <cell r="A2">
            <v>46031</v>
          </cell>
          <cell r="B2" t="str">
            <v>HUB Logistics</v>
          </cell>
          <cell r="C2" t="str">
            <v>Madame Coco</v>
          </cell>
          <cell r="D2" t="str">
            <v>Khan Shatyr Mall</v>
          </cell>
          <cell r="E2" t="str">
            <v>*0000530575*</v>
          </cell>
          <cell r="F2">
            <v>5</v>
          </cell>
          <cell r="G2">
            <v>157</v>
          </cell>
          <cell r="H2">
            <v>1441</v>
          </cell>
        </row>
        <row r="3">
          <cell r="A3">
            <v>46031</v>
          </cell>
          <cell r="B3" t="str">
            <v>HUB Logistics</v>
          </cell>
          <cell r="C3" t="str">
            <v>Madame Coco</v>
          </cell>
          <cell r="D3" t="str">
            <v>Atrau Infinity</v>
          </cell>
          <cell r="E3" t="str">
            <v>*0000530574*</v>
          </cell>
          <cell r="F3">
            <v>8</v>
          </cell>
          <cell r="G3">
            <v>188</v>
          </cell>
          <cell r="H3">
            <v>1441</v>
          </cell>
        </row>
        <row r="4">
          <cell r="A4">
            <v>46031</v>
          </cell>
          <cell r="B4" t="str">
            <v>HUB Logistics</v>
          </cell>
          <cell r="C4" t="str">
            <v>Madame Coco</v>
          </cell>
          <cell r="D4" t="str">
            <v>Mega Center</v>
          </cell>
          <cell r="E4" t="str">
            <v>*0000530568*</v>
          </cell>
          <cell r="F4">
            <v>14</v>
          </cell>
          <cell r="G4">
            <v>446</v>
          </cell>
          <cell r="H4">
            <v>1441</v>
          </cell>
        </row>
        <row r="5">
          <cell r="A5">
            <v>46031</v>
          </cell>
          <cell r="B5" t="str">
            <v>HUB Logistics</v>
          </cell>
          <cell r="C5" t="str">
            <v>Madame Coco</v>
          </cell>
          <cell r="D5" t="str">
            <v>Mega Silk Way</v>
          </cell>
          <cell r="E5" t="str">
            <v>*0000530572*</v>
          </cell>
          <cell r="F5">
            <v>15</v>
          </cell>
          <cell r="G5">
            <v>511</v>
          </cell>
          <cell r="H5">
            <v>1441</v>
          </cell>
        </row>
        <row r="6">
          <cell r="A6">
            <v>46031</v>
          </cell>
          <cell r="B6" t="str">
            <v>HUB Logistics</v>
          </cell>
          <cell r="C6" t="str">
            <v>Madame Coco</v>
          </cell>
          <cell r="D6" t="str">
            <v>Aktau Mall</v>
          </cell>
          <cell r="E6" t="str">
            <v>*0000530573*</v>
          </cell>
          <cell r="F6">
            <v>5</v>
          </cell>
          <cell r="G6">
            <v>139</v>
          </cell>
          <cell r="H6">
            <v>1441</v>
          </cell>
        </row>
        <row r="7">
          <cell r="A7">
            <v>46034</v>
          </cell>
          <cell r="B7" t="str">
            <v>HUB Logistics</v>
          </cell>
          <cell r="C7" t="str">
            <v>Madame Coco</v>
          </cell>
          <cell r="D7" t="str">
            <v>Shymkent Diamond</v>
          </cell>
          <cell r="E7" t="str">
            <v>*0000530571*</v>
          </cell>
          <cell r="F7">
            <v>5</v>
          </cell>
          <cell r="G7">
            <v>138</v>
          </cell>
          <cell r="H7">
            <v>964</v>
          </cell>
        </row>
        <row r="8">
          <cell r="A8">
            <v>46034</v>
          </cell>
          <cell r="B8" t="str">
            <v>HUB Logistics</v>
          </cell>
          <cell r="C8" t="str">
            <v>Madame Coco</v>
          </cell>
          <cell r="D8" t="str">
            <v>Aport East</v>
          </cell>
          <cell r="E8" t="str">
            <v>*0000530566*</v>
          </cell>
          <cell r="F8">
            <v>5</v>
          </cell>
          <cell r="G8">
            <v>183</v>
          </cell>
          <cell r="H8">
            <v>964</v>
          </cell>
        </row>
        <row r="9">
          <cell r="A9">
            <v>46034</v>
          </cell>
          <cell r="B9" t="str">
            <v>HUB Logistics</v>
          </cell>
          <cell r="C9" t="str">
            <v>Madame Coco</v>
          </cell>
          <cell r="D9" t="str">
            <v>Khan Shatyr Mall</v>
          </cell>
          <cell r="E9" t="str">
            <v>*0000530564*</v>
          </cell>
          <cell r="F9">
            <v>5</v>
          </cell>
          <cell r="G9">
            <v>152</v>
          </cell>
          <cell r="H9">
            <v>964</v>
          </cell>
        </row>
        <row r="10">
          <cell r="A10">
            <v>46034</v>
          </cell>
          <cell r="B10" t="str">
            <v>HUB Logistics</v>
          </cell>
          <cell r="C10" t="str">
            <v>Madame Coco</v>
          </cell>
          <cell r="D10" t="str">
            <v>Mega Park</v>
          </cell>
          <cell r="E10" t="str">
            <v>*0000530567*</v>
          </cell>
          <cell r="F10">
            <v>10</v>
          </cell>
          <cell r="G10">
            <v>350</v>
          </cell>
          <cell r="H10">
            <v>964</v>
          </cell>
        </row>
        <row r="11">
          <cell r="A11">
            <v>46034</v>
          </cell>
          <cell r="B11" t="str">
            <v>HUB Logistics</v>
          </cell>
          <cell r="C11" t="str">
            <v>Madame Coco</v>
          </cell>
          <cell r="D11" t="str">
            <v>Sputnik</v>
          </cell>
          <cell r="E11" t="str">
            <v>*0000530565*</v>
          </cell>
          <cell r="F11">
            <v>5</v>
          </cell>
          <cell r="G11">
            <v>141</v>
          </cell>
          <cell r="H11">
            <v>964</v>
          </cell>
        </row>
        <row r="12">
          <cell r="A12">
            <v>46035</v>
          </cell>
          <cell r="B12" t="str">
            <v>HUB Logistics</v>
          </cell>
          <cell r="C12" t="str">
            <v>Madame Coco</v>
          </cell>
          <cell r="D12" t="str">
            <v>Kontanay Mart</v>
          </cell>
          <cell r="E12" t="str">
            <v>*0000559700*</v>
          </cell>
          <cell r="F12">
            <v>7</v>
          </cell>
          <cell r="G12">
            <v>205</v>
          </cell>
          <cell r="H12">
            <v>205</v>
          </cell>
        </row>
        <row r="13">
          <cell r="A13">
            <v>46038</v>
          </cell>
          <cell r="B13" t="str">
            <v>HUB Logistics</v>
          </cell>
          <cell r="C13" t="str">
            <v>Madame Coco</v>
          </cell>
          <cell r="D13" t="str">
            <v>Mega Silk Way</v>
          </cell>
          <cell r="E13" t="str">
            <v>*0000530560*</v>
          </cell>
          <cell r="F13">
            <v>3</v>
          </cell>
          <cell r="G13">
            <v>50</v>
          </cell>
          <cell r="H13">
            <v>381</v>
          </cell>
        </row>
        <row r="14">
          <cell r="A14">
            <v>46038</v>
          </cell>
          <cell r="B14" t="str">
            <v>HUB Logistics</v>
          </cell>
          <cell r="C14" t="str">
            <v>Madame Coco</v>
          </cell>
          <cell r="D14" t="str">
            <v>Mega Center</v>
          </cell>
          <cell r="E14" t="str">
            <v>*0000530559*</v>
          </cell>
          <cell r="F14">
            <v>6</v>
          </cell>
          <cell r="G14">
            <v>160</v>
          </cell>
          <cell r="H14">
            <v>381</v>
          </cell>
        </row>
        <row r="15">
          <cell r="A15">
            <v>46038</v>
          </cell>
          <cell r="B15" t="str">
            <v>HUB Logistics</v>
          </cell>
          <cell r="C15" t="str">
            <v>Madame Coco</v>
          </cell>
          <cell r="D15" t="str">
            <v>Khan Shatyr Mall</v>
          </cell>
          <cell r="E15" t="str">
            <v>*0000530562*</v>
          </cell>
          <cell r="F15">
            <v>6</v>
          </cell>
          <cell r="G15">
            <v>171</v>
          </cell>
          <cell r="H15">
            <v>381</v>
          </cell>
        </row>
        <row r="16">
          <cell r="A16">
            <v>46041</v>
          </cell>
          <cell r="B16" t="str">
            <v>HUB Logistics</v>
          </cell>
          <cell r="C16" t="str">
            <v>Madame Coco</v>
          </cell>
          <cell r="D16" t="str">
            <v>Mega Center</v>
          </cell>
          <cell r="E16" t="str">
            <v>*0000530558*</v>
          </cell>
          <cell r="F16">
            <v>10</v>
          </cell>
          <cell r="G16">
            <v>297</v>
          </cell>
          <cell r="H16">
            <v>690</v>
          </cell>
        </row>
        <row r="17">
          <cell r="A17">
            <v>46041</v>
          </cell>
          <cell r="B17" t="str">
            <v>HUB Logistics</v>
          </cell>
          <cell r="C17" t="str">
            <v>Madame Coco</v>
          </cell>
          <cell r="D17" t="str">
            <v>Mega Park</v>
          </cell>
          <cell r="E17" t="str">
            <v>*0000530557*</v>
          </cell>
          <cell r="F17">
            <v>9</v>
          </cell>
          <cell r="G17">
            <v>280</v>
          </cell>
          <cell r="H17">
            <v>690</v>
          </cell>
        </row>
        <row r="18">
          <cell r="A18">
            <v>46041</v>
          </cell>
          <cell r="B18" t="str">
            <v>HUB Logistics</v>
          </cell>
          <cell r="C18" t="str">
            <v>Madame Coco</v>
          </cell>
          <cell r="D18" t="str">
            <v>Aport East</v>
          </cell>
          <cell r="E18" t="str">
            <v>*0000530555*</v>
          </cell>
          <cell r="F18">
            <v>5</v>
          </cell>
          <cell r="G18">
            <v>113</v>
          </cell>
          <cell r="H18">
            <v>690</v>
          </cell>
        </row>
        <row r="19">
          <cell r="A19">
            <v>46042</v>
          </cell>
          <cell r="B19" t="str">
            <v>HUB Logistics</v>
          </cell>
          <cell r="C19" t="str">
            <v>Madame Coco</v>
          </cell>
          <cell r="D19" t="str">
            <v>Khan Shatyr Mall</v>
          </cell>
          <cell r="E19" t="str">
            <v>*0000530554*</v>
          </cell>
          <cell r="F19">
            <v>8</v>
          </cell>
          <cell r="G19">
            <v>274</v>
          </cell>
          <cell r="H19">
            <v>894</v>
          </cell>
        </row>
        <row r="20">
          <cell r="A20">
            <v>46042</v>
          </cell>
          <cell r="B20" t="str">
            <v>HUB Logistics</v>
          </cell>
          <cell r="C20" t="str">
            <v>Madame Coco</v>
          </cell>
          <cell r="D20" t="str">
            <v>Mega Silk Way</v>
          </cell>
          <cell r="E20" t="str">
            <v>*0000530553*</v>
          </cell>
          <cell r="F20">
            <v>8</v>
          </cell>
          <cell r="G20">
            <v>310</v>
          </cell>
          <cell r="H20">
            <v>894</v>
          </cell>
        </row>
        <row r="21">
          <cell r="A21">
            <v>46042</v>
          </cell>
          <cell r="B21" t="str">
            <v>HUB Logistics</v>
          </cell>
          <cell r="C21" t="str">
            <v>Madame Coco</v>
          </cell>
          <cell r="D21" t="str">
            <v>Aktau Mall</v>
          </cell>
          <cell r="E21" t="str">
            <v>*0000530550*</v>
          </cell>
          <cell r="F21">
            <v>6</v>
          </cell>
          <cell r="G21">
            <v>129</v>
          </cell>
          <cell r="H21">
            <v>894</v>
          </cell>
        </row>
        <row r="22">
          <cell r="A22">
            <v>46042</v>
          </cell>
          <cell r="B22" t="str">
            <v>HUB Logistics</v>
          </cell>
          <cell r="C22" t="str">
            <v>Madame Coco</v>
          </cell>
          <cell r="D22" t="str">
            <v>Shymkent Diamond</v>
          </cell>
          <cell r="E22" t="str">
            <v>*0000530549*</v>
          </cell>
          <cell r="F22">
            <v>2</v>
          </cell>
          <cell r="G22">
            <v>77</v>
          </cell>
          <cell r="H22">
            <v>894</v>
          </cell>
        </row>
        <row r="23">
          <cell r="A23">
            <v>46042</v>
          </cell>
          <cell r="B23" t="str">
            <v>HUB Logistics</v>
          </cell>
          <cell r="C23" t="str">
            <v>Madame Coco</v>
          </cell>
          <cell r="D23" t="str">
            <v>Sputnik</v>
          </cell>
          <cell r="E23" t="str">
            <v>*0000530552*</v>
          </cell>
          <cell r="F23">
            <v>5</v>
          </cell>
          <cell r="G23">
            <v>104</v>
          </cell>
          <cell r="H23">
            <v>894</v>
          </cell>
        </row>
        <row r="24">
          <cell r="A24">
            <v>46043</v>
          </cell>
          <cell r="B24" t="str">
            <v>HUB Logistics</v>
          </cell>
          <cell r="C24" t="str">
            <v>Madame Coco</v>
          </cell>
          <cell r="D24" t="str">
            <v>Atrau Infinity</v>
          </cell>
          <cell r="E24" t="str">
            <v>*0000530547*</v>
          </cell>
          <cell r="F24">
            <v>12</v>
          </cell>
          <cell r="G24">
            <v>270</v>
          </cell>
          <cell r="H24">
            <v>1103</v>
          </cell>
        </row>
        <row r="25">
          <cell r="A25">
            <v>46043</v>
          </cell>
          <cell r="B25" t="str">
            <v>HUB Logistics</v>
          </cell>
          <cell r="C25" t="str">
            <v>Madame Coco</v>
          </cell>
          <cell r="D25" t="str">
            <v>Mega Center</v>
          </cell>
          <cell r="E25" t="str">
            <v>*0000530545*</v>
          </cell>
          <cell r="F25">
            <v>10</v>
          </cell>
          <cell r="G25">
            <v>332</v>
          </cell>
          <cell r="H25">
            <v>1103</v>
          </cell>
        </row>
        <row r="26">
          <cell r="A26">
            <v>46043</v>
          </cell>
          <cell r="B26" t="str">
            <v>HUB Logistics</v>
          </cell>
          <cell r="C26" t="str">
            <v>Madame Coco</v>
          </cell>
          <cell r="D26" t="str">
            <v>Mega Park</v>
          </cell>
          <cell r="E26" t="str">
            <v>*0000530546*</v>
          </cell>
          <cell r="F26">
            <v>6</v>
          </cell>
          <cell r="G26">
            <v>215</v>
          </cell>
          <cell r="H26">
            <v>1103</v>
          </cell>
        </row>
        <row r="27">
          <cell r="A27">
            <v>46043</v>
          </cell>
          <cell r="B27" t="str">
            <v>HUB Logistics</v>
          </cell>
          <cell r="C27" t="str">
            <v>Madame Coco</v>
          </cell>
          <cell r="D27" t="str">
            <v>Sputnik</v>
          </cell>
          <cell r="E27" t="str">
            <v>*0000530542*</v>
          </cell>
          <cell r="F27">
            <v>4</v>
          </cell>
          <cell r="G27">
            <v>133</v>
          </cell>
          <cell r="H27">
            <v>1103</v>
          </cell>
        </row>
        <row r="28">
          <cell r="A28">
            <v>46043</v>
          </cell>
          <cell r="B28" t="str">
            <v>HUB Logistics</v>
          </cell>
          <cell r="C28" t="str">
            <v>Madame Coco</v>
          </cell>
          <cell r="D28" t="str">
            <v>Aport East</v>
          </cell>
          <cell r="E28" t="str">
            <v>*0000530544*</v>
          </cell>
          <cell r="F28">
            <v>4</v>
          </cell>
          <cell r="G28">
            <v>153</v>
          </cell>
          <cell r="H28">
            <v>1103</v>
          </cell>
        </row>
        <row r="29">
          <cell r="A29">
            <v>46044</v>
          </cell>
          <cell r="B29" t="str">
            <v>HUB Logistics</v>
          </cell>
          <cell r="C29" t="str">
            <v>Madame Coco</v>
          </cell>
          <cell r="D29" t="str">
            <v>Kokshetau Rio</v>
          </cell>
          <cell r="E29" t="str">
            <v>*0000530569*</v>
          </cell>
          <cell r="F29">
            <v>8</v>
          </cell>
          <cell r="G29">
            <v>208</v>
          </cell>
          <cell r="H29">
            <v>1163</v>
          </cell>
        </row>
        <row r="30">
          <cell r="A30">
            <v>46044</v>
          </cell>
          <cell r="B30" t="str">
            <v>HUB Logistics</v>
          </cell>
          <cell r="C30" t="str">
            <v>Madame Coco</v>
          </cell>
          <cell r="D30" t="str">
            <v>Khan Shatyr Mall</v>
          </cell>
          <cell r="E30" t="str">
            <v>*0000530540*</v>
          </cell>
          <cell r="F30">
            <v>8</v>
          </cell>
          <cell r="G30">
            <v>248</v>
          </cell>
          <cell r="H30">
            <v>1163</v>
          </cell>
        </row>
        <row r="31">
          <cell r="A31">
            <v>46044</v>
          </cell>
          <cell r="B31" t="str">
            <v>HUB Logistics</v>
          </cell>
          <cell r="C31" t="str">
            <v>Madame Coco</v>
          </cell>
          <cell r="D31" t="str">
            <v>Mega Silk Way</v>
          </cell>
          <cell r="E31" t="str">
            <v>*0000530541*</v>
          </cell>
          <cell r="F31">
            <v>9</v>
          </cell>
          <cell r="G31">
            <v>251</v>
          </cell>
          <cell r="H31">
            <v>1163</v>
          </cell>
        </row>
        <row r="32">
          <cell r="A32">
            <v>46044</v>
          </cell>
          <cell r="B32" t="str">
            <v>HUB Logistics</v>
          </cell>
          <cell r="C32" t="str">
            <v>Madame Coco</v>
          </cell>
          <cell r="D32" t="str">
            <v>Shymkent Diamond</v>
          </cell>
          <cell r="E32" t="str">
            <v>*0000530538*</v>
          </cell>
          <cell r="F32">
            <v>7</v>
          </cell>
          <cell r="G32">
            <v>154</v>
          </cell>
          <cell r="H32">
            <v>1163</v>
          </cell>
        </row>
        <row r="33">
          <cell r="A33">
            <v>46044</v>
          </cell>
          <cell r="B33" t="str">
            <v>HUB Logistics</v>
          </cell>
          <cell r="C33" t="str">
            <v>Madame Coco</v>
          </cell>
          <cell r="D33" t="str">
            <v>Kontanay Mart</v>
          </cell>
          <cell r="E33" t="str">
            <v>*0000530548*</v>
          </cell>
          <cell r="F33">
            <v>6</v>
          </cell>
          <cell r="G33">
            <v>153</v>
          </cell>
          <cell r="H33">
            <v>1163</v>
          </cell>
        </row>
        <row r="34">
          <cell r="A34">
            <v>46044</v>
          </cell>
          <cell r="B34" t="str">
            <v>HUB Logistics</v>
          </cell>
          <cell r="C34" t="str">
            <v>Madame Coco</v>
          </cell>
          <cell r="D34" t="str">
            <v>Aktau Mall</v>
          </cell>
          <cell r="E34" t="str">
            <v>*0000530539*</v>
          </cell>
          <cell r="F34">
            <v>7</v>
          </cell>
          <cell r="G34">
            <v>149</v>
          </cell>
          <cell r="H34">
            <v>1163</v>
          </cell>
        </row>
        <row r="35">
          <cell r="A35">
            <v>46045</v>
          </cell>
          <cell r="B35" t="str">
            <v>HUB Logistics</v>
          </cell>
          <cell r="C35" t="str">
            <v>Madame Coco</v>
          </cell>
          <cell r="D35" t="str">
            <v>Mega Center</v>
          </cell>
          <cell r="E35" t="str">
            <v>*0000530531*</v>
          </cell>
          <cell r="F35">
            <v>6</v>
          </cell>
          <cell r="G35">
            <v>214</v>
          </cell>
          <cell r="H35">
            <v>1487</v>
          </cell>
        </row>
        <row r="36">
          <cell r="A36">
            <v>46045</v>
          </cell>
          <cell r="B36" t="str">
            <v>HUB Logistics</v>
          </cell>
          <cell r="C36" t="str">
            <v>Madame Coco</v>
          </cell>
          <cell r="D36" t="str">
            <v>Aport East</v>
          </cell>
          <cell r="E36" t="str">
            <v>*0000530529*</v>
          </cell>
          <cell r="F36">
            <v>4</v>
          </cell>
          <cell r="G36">
            <v>93</v>
          </cell>
          <cell r="H36">
            <v>1487</v>
          </cell>
        </row>
        <row r="37">
          <cell r="A37">
            <v>46045</v>
          </cell>
          <cell r="B37" t="str">
            <v>HUB Logistics</v>
          </cell>
          <cell r="C37" t="str">
            <v>Madame Coco</v>
          </cell>
          <cell r="D37" t="str">
            <v>Sputnik</v>
          </cell>
          <cell r="E37" t="str">
            <v>*0000530530*</v>
          </cell>
          <cell r="F37">
            <v>4</v>
          </cell>
          <cell r="G37">
            <v>119</v>
          </cell>
          <cell r="H37">
            <v>1487</v>
          </cell>
        </row>
        <row r="38">
          <cell r="A38">
            <v>46045</v>
          </cell>
          <cell r="B38" t="str">
            <v>HUB Logistics</v>
          </cell>
          <cell r="C38" t="str">
            <v>Madame Coco</v>
          </cell>
          <cell r="D38" t="str">
            <v>Shymkent Diamond</v>
          </cell>
          <cell r="E38" t="str">
            <v>*0000530534*</v>
          </cell>
          <cell r="F38">
            <v>2</v>
          </cell>
          <cell r="G38">
            <v>65</v>
          </cell>
          <cell r="H38">
            <v>1487</v>
          </cell>
        </row>
        <row r="39">
          <cell r="A39">
            <v>46045</v>
          </cell>
          <cell r="B39" t="str">
            <v>HUB Logistics</v>
          </cell>
          <cell r="C39" t="str">
            <v>Madame Coco</v>
          </cell>
          <cell r="D39" t="str">
            <v>Kokshetau Rio</v>
          </cell>
          <cell r="E39" t="str">
            <v>*0000530532*</v>
          </cell>
          <cell r="F39">
            <v>5</v>
          </cell>
          <cell r="G39">
            <v>112</v>
          </cell>
          <cell r="H39">
            <v>1487</v>
          </cell>
        </row>
        <row r="40">
          <cell r="A40">
            <v>46045</v>
          </cell>
          <cell r="B40" t="str">
            <v>HUB Logistics</v>
          </cell>
          <cell r="C40" t="str">
            <v>Madame Coco</v>
          </cell>
          <cell r="D40" t="str">
            <v>Khan Shatyr Mall</v>
          </cell>
          <cell r="E40" t="str">
            <v>*0000530536*</v>
          </cell>
          <cell r="F40">
            <v>5</v>
          </cell>
          <cell r="G40">
            <v>189</v>
          </cell>
          <cell r="H40">
            <v>1487</v>
          </cell>
        </row>
        <row r="41">
          <cell r="A41">
            <v>46045</v>
          </cell>
          <cell r="B41" t="str">
            <v>HUB Logistics</v>
          </cell>
          <cell r="C41" t="str">
            <v>Madame Coco</v>
          </cell>
          <cell r="D41" t="str">
            <v>Mega Silk Way</v>
          </cell>
          <cell r="E41" t="str">
            <v>*0000530535*</v>
          </cell>
          <cell r="F41">
            <v>7</v>
          </cell>
          <cell r="G41">
            <v>217</v>
          </cell>
          <cell r="H41">
            <v>1487</v>
          </cell>
        </row>
        <row r="42">
          <cell r="A42">
            <v>46045</v>
          </cell>
          <cell r="B42" t="str">
            <v>HUB Logistics</v>
          </cell>
          <cell r="C42" t="str">
            <v>Madame Coco</v>
          </cell>
          <cell r="D42" t="str">
            <v>Atrau Infinity</v>
          </cell>
          <cell r="E42" t="str">
            <v>*0000530528*</v>
          </cell>
          <cell r="F42">
            <v>12</v>
          </cell>
          <cell r="G42">
            <v>276</v>
          </cell>
          <cell r="H42">
            <v>1487</v>
          </cell>
        </row>
        <row r="43">
          <cell r="A43">
            <v>46045</v>
          </cell>
          <cell r="B43" t="str">
            <v>HUB Logistics</v>
          </cell>
          <cell r="C43" t="str">
            <v>Madame Coco</v>
          </cell>
          <cell r="D43" t="str">
            <v>Kontanay Mart</v>
          </cell>
          <cell r="E43" t="str">
            <v>*0000530533*</v>
          </cell>
          <cell r="F43">
            <v>6</v>
          </cell>
          <cell r="G43">
            <v>202</v>
          </cell>
          <cell r="H43">
            <v>1487</v>
          </cell>
        </row>
        <row r="44">
          <cell r="A44">
            <v>46048</v>
          </cell>
          <cell r="B44" t="str">
            <v>HUB Logistics</v>
          </cell>
          <cell r="C44" t="str">
            <v>Madame Coco</v>
          </cell>
          <cell r="D44" t="str">
            <v>Sputnik</v>
          </cell>
          <cell r="E44" t="str">
            <v>*0000530527*</v>
          </cell>
          <cell r="F44">
            <v>10</v>
          </cell>
          <cell r="G44">
            <v>277</v>
          </cell>
          <cell r="H44">
            <v>277</v>
          </cell>
        </row>
        <row r="45">
          <cell r="A45">
            <v>46050</v>
          </cell>
          <cell r="B45" t="str">
            <v>HUB Logistics</v>
          </cell>
          <cell r="C45" t="str">
            <v>Madame Coco</v>
          </cell>
          <cell r="D45" t="str">
            <v>Aport East</v>
          </cell>
          <cell r="E45" t="str">
            <v>*0000530520*</v>
          </cell>
          <cell r="F45">
            <v>4</v>
          </cell>
          <cell r="G45">
            <v>179</v>
          </cell>
          <cell r="H45">
            <v>893</v>
          </cell>
        </row>
        <row r="46">
          <cell r="A46">
            <v>46050</v>
          </cell>
          <cell r="B46" t="str">
            <v>HUB Logistics</v>
          </cell>
          <cell r="C46" t="str">
            <v>Madame Coco</v>
          </cell>
          <cell r="D46" t="str">
            <v>Mega Center</v>
          </cell>
          <cell r="E46" t="str">
            <v>*0000530522*</v>
          </cell>
          <cell r="F46">
            <v>11</v>
          </cell>
          <cell r="G46">
            <v>437</v>
          </cell>
          <cell r="H46">
            <v>893</v>
          </cell>
        </row>
        <row r="47">
          <cell r="A47">
            <v>46050</v>
          </cell>
          <cell r="B47" t="str">
            <v>HUB Logistics</v>
          </cell>
          <cell r="C47" t="str">
            <v>Madame Coco</v>
          </cell>
          <cell r="D47" t="str">
            <v>Mega Park</v>
          </cell>
          <cell r="E47" t="str">
            <v>*0000530521*</v>
          </cell>
          <cell r="F47">
            <v>7</v>
          </cell>
          <cell r="G47">
            <v>277</v>
          </cell>
          <cell r="H47">
            <v>893</v>
          </cell>
        </row>
        <row r="48">
          <cell r="A48">
            <v>46051</v>
          </cell>
          <cell r="B48" t="str">
            <v>HUB Logistics</v>
          </cell>
          <cell r="C48" t="str">
            <v>Madame Coco</v>
          </cell>
          <cell r="D48" t="str">
            <v>Sputnik</v>
          </cell>
          <cell r="E48" t="str">
            <v>*0000530526*</v>
          </cell>
          <cell r="F48">
            <v>12</v>
          </cell>
          <cell r="G48">
            <v>259</v>
          </cell>
          <cell r="H48">
            <v>1815</v>
          </cell>
        </row>
        <row r="49">
          <cell r="A49">
            <v>46051</v>
          </cell>
          <cell r="B49" t="str">
            <v>HUB Logistics</v>
          </cell>
          <cell r="C49" t="str">
            <v>Madame Coco</v>
          </cell>
          <cell r="D49" t="str">
            <v>Kokshetau Rio</v>
          </cell>
          <cell r="E49" t="str">
            <v>*0000559695*</v>
          </cell>
          <cell r="F49">
            <v>6</v>
          </cell>
          <cell r="G49">
            <v>209</v>
          </cell>
          <cell r="H49">
            <v>1815</v>
          </cell>
        </row>
        <row r="50">
          <cell r="A50">
            <v>46051</v>
          </cell>
          <cell r="B50" t="str">
            <v>HUB Logistics</v>
          </cell>
          <cell r="C50" t="str">
            <v>Madame Coco</v>
          </cell>
          <cell r="D50" t="str">
            <v>Aktau Mall</v>
          </cell>
          <cell r="E50" t="str">
            <v>*0000559698*</v>
          </cell>
          <cell r="F50">
            <v>5</v>
          </cell>
          <cell r="G50">
            <v>169</v>
          </cell>
          <cell r="H50">
            <v>1815</v>
          </cell>
        </row>
        <row r="51">
          <cell r="A51">
            <v>46051</v>
          </cell>
          <cell r="B51" t="str">
            <v>HUB Logistics</v>
          </cell>
          <cell r="C51" t="str">
            <v>Madame Coco</v>
          </cell>
          <cell r="D51" t="str">
            <v>Kontanay Mart</v>
          </cell>
          <cell r="E51" t="str">
            <v>*0000559696*</v>
          </cell>
          <cell r="F51">
            <v>5</v>
          </cell>
          <cell r="G51">
            <v>145</v>
          </cell>
          <cell r="H51">
            <v>1815</v>
          </cell>
        </row>
        <row r="52">
          <cell r="A52">
            <v>46051</v>
          </cell>
          <cell r="B52" t="str">
            <v>HUB Logistics</v>
          </cell>
          <cell r="C52" t="str">
            <v>Madame Coco</v>
          </cell>
          <cell r="D52" t="str">
            <v>Khan Shatyr Mall</v>
          </cell>
          <cell r="E52" t="str">
            <v>*0000530518*</v>
          </cell>
          <cell r="F52">
            <v>8</v>
          </cell>
          <cell r="G52">
            <v>336</v>
          </cell>
          <cell r="H52">
            <v>1815</v>
          </cell>
        </row>
        <row r="53">
          <cell r="A53">
            <v>46051</v>
          </cell>
          <cell r="B53" t="str">
            <v>HUB Logistics</v>
          </cell>
          <cell r="C53" t="str">
            <v>Madame Coco</v>
          </cell>
          <cell r="D53" t="str">
            <v>Mega Silk Way</v>
          </cell>
          <cell r="E53" t="str">
            <v>*0000530519*</v>
          </cell>
          <cell r="F53">
            <v>8</v>
          </cell>
          <cell r="G53">
            <v>312</v>
          </cell>
          <cell r="H53">
            <v>1815</v>
          </cell>
        </row>
        <row r="54">
          <cell r="A54">
            <v>46051</v>
          </cell>
          <cell r="B54" t="str">
            <v>HUB Logistics</v>
          </cell>
          <cell r="C54" t="str">
            <v>Madame Coco</v>
          </cell>
          <cell r="D54" t="str">
            <v>Atrau Infinity</v>
          </cell>
          <cell r="E54" t="str">
            <v>*0000559693*</v>
          </cell>
          <cell r="F54">
            <v>9</v>
          </cell>
          <cell r="G54">
            <v>252</v>
          </cell>
          <cell r="H54">
            <v>1815</v>
          </cell>
        </row>
        <row r="55">
          <cell r="A55">
            <v>46051</v>
          </cell>
          <cell r="B55" t="str">
            <v>HUB Logistics</v>
          </cell>
          <cell r="C55" t="str">
            <v>Madame Coco</v>
          </cell>
          <cell r="D55" t="str">
            <v>Shymkent Diamond</v>
          </cell>
          <cell r="E55" t="str">
            <v>*0000559697*</v>
          </cell>
          <cell r="F55">
            <v>4</v>
          </cell>
          <cell r="G55">
            <v>133</v>
          </cell>
          <cell r="H55">
            <v>1815</v>
          </cell>
        </row>
        <row r="56">
          <cell r="A56">
            <v>46052</v>
          </cell>
          <cell r="B56" t="str">
            <v>HUB Logistics</v>
          </cell>
          <cell r="C56" t="str">
            <v>Madame Coco</v>
          </cell>
          <cell r="D56" t="str">
            <v>Mega Center</v>
          </cell>
          <cell r="E56" t="str">
            <v>*0000559689*</v>
          </cell>
          <cell r="F56">
            <v>7</v>
          </cell>
          <cell r="G56">
            <v>189</v>
          </cell>
          <cell r="H56">
            <v>608</v>
          </cell>
        </row>
        <row r="57">
          <cell r="A57">
            <v>46052</v>
          </cell>
          <cell r="B57" t="str">
            <v>HUB Logistics</v>
          </cell>
          <cell r="C57" t="str">
            <v>Madame Coco</v>
          </cell>
          <cell r="D57" t="str">
            <v>Aport East</v>
          </cell>
          <cell r="E57" t="str">
            <v>*0000559687*</v>
          </cell>
          <cell r="F57">
            <v>1</v>
          </cell>
          <cell r="G57">
            <v>37</v>
          </cell>
          <cell r="H57">
            <v>608</v>
          </cell>
        </row>
        <row r="58">
          <cell r="A58">
            <v>46052</v>
          </cell>
          <cell r="B58" t="str">
            <v>HUB Logistics</v>
          </cell>
          <cell r="C58" t="str">
            <v>Madame Coco</v>
          </cell>
          <cell r="D58" t="str">
            <v>Mega Park</v>
          </cell>
          <cell r="E58" t="str">
            <v>*0000559688*</v>
          </cell>
          <cell r="F58">
            <v>5</v>
          </cell>
          <cell r="G58">
            <v>84</v>
          </cell>
          <cell r="H58">
            <v>608</v>
          </cell>
        </row>
        <row r="59">
          <cell r="A59">
            <v>46052</v>
          </cell>
          <cell r="B59" t="str">
            <v>HUB Logistics</v>
          </cell>
          <cell r="C59" t="str">
            <v>Madame Coco</v>
          </cell>
          <cell r="D59" t="str">
            <v>Mega Silk Way</v>
          </cell>
          <cell r="E59" t="str">
            <v>*0000559691*</v>
          </cell>
          <cell r="F59">
            <v>5</v>
          </cell>
          <cell r="G59">
            <v>123</v>
          </cell>
          <cell r="H59">
            <v>608</v>
          </cell>
        </row>
        <row r="60">
          <cell r="A60">
            <v>46052</v>
          </cell>
          <cell r="B60" t="str">
            <v>HUB Logistics</v>
          </cell>
          <cell r="C60" t="str">
            <v>Madame Coco</v>
          </cell>
          <cell r="D60" t="str">
            <v>Khan Shatyr Mall</v>
          </cell>
          <cell r="E60" t="str">
            <v>*0000559690*</v>
          </cell>
          <cell r="F60">
            <v>7</v>
          </cell>
          <cell r="G60">
            <v>175</v>
          </cell>
          <cell r="H60">
            <v>608</v>
          </cell>
        </row>
        <row r="61">
          <cell r="A61"/>
          <cell r="B61"/>
          <cell r="C61"/>
          <cell r="D61"/>
          <cell r="E61"/>
          <cell r="F61"/>
          <cell r="G61">
            <v>11921</v>
          </cell>
          <cell r="H61">
            <v>1323231</v>
          </cell>
        </row>
        <row r="62">
          <cell r="A62"/>
          <cell r="B62"/>
          <cell r="C62"/>
          <cell r="D62"/>
          <cell r="E62" t="str">
            <v>Birim Maliyet</v>
          </cell>
          <cell r="F62">
            <v>110</v>
          </cell>
          <cell r="G62"/>
          <cell r="H62">
            <v>1323231</v>
          </cell>
        </row>
        <row r="63">
          <cell r="A63"/>
          <cell r="B63"/>
          <cell r="C63"/>
          <cell r="D63"/>
          <cell r="E63" t="str">
            <v>Toplam Tutar</v>
          </cell>
          <cell r="F63"/>
          <cell r="G63">
            <v>1311310</v>
          </cell>
          <cell r="H63">
            <v>1323231</v>
          </cell>
        </row>
        <row r="64">
          <cell r="A64"/>
          <cell r="B64"/>
          <cell r="C64"/>
          <cell r="D64"/>
          <cell r="E64"/>
          <cell r="F64"/>
          <cell r="G64"/>
        </row>
        <row r="68">
          <cell r="E68" t="str">
            <v>без НДС</v>
          </cell>
          <cell r="F68" t="str">
            <v>Кол</v>
          </cell>
          <cell r="H68" t="str">
            <v>Сумма</v>
          </cell>
        </row>
        <row r="69">
          <cell r="E69" t="str">
            <v>Отгрузка короба (покробочная)</v>
          </cell>
          <cell r="F69">
            <v>11921</v>
          </cell>
          <cell r="H69">
            <v>1311310</v>
          </cell>
        </row>
        <row r="70">
          <cell r="E70" t="str">
            <v>приемка</v>
          </cell>
          <cell r="F70">
            <v>28329</v>
          </cell>
          <cell r="H70">
            <v>3116190</v>
          </cell>
        </row>
        <row r="71">
          <cell r="E71" t="str">
            <v>Total</v>
          </cell>
          <cell r="F71"/>
          <cell r="H71">
            <v>4427500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harun şarapcıoğlu" id="{64454364-2AD7-E548-89AE-434D71B5660E}" userId="c30817086ea9f711" providerId="Windows Live"/>
</personList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2" dT="2026-04-03T07:59:33.15" personId="{64454364-2AD7-E548-89AE-434D71B5660E}" id="{60243D7B-124B-FA4C-A72B-E2C73A917954}">
    <text>278 mağazadan gelen mobilya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BC349-8EB4-4266-8F6F-7CD17573534F}">
  <dimension ref="A1:H67"/>
  <sheetViews>
    <sheetView showGridLines="0" topLeftCell="A38" zoomScale="130" zoomScaleNormal="130" zoomScaleSheetLayoutView="100" workbookViewId="0">
      <selection activeCell="G64" sqref="G64"/>
    </sheetView>
  </sheetViews>
  <sheetFormatPr baseColWidth="10" defaultColWidth="9" defaultRowHeight="12" x14ac:dyDescent="0.15"/>
  <cols>
    <col min="1" max="1" width="10.5" style="5" bestFit="1" customWidth="1"/>
    <col min="2" max="2" width="25.83203125" style="2" bestFit="1" customWidth="1"/>
    <col min="3" max="3" width="11.1640625" style="2" bestFit="1" customWidth="1"/>
    <col min="4" max="4" width="17" style="2" bestFit="1" customWidth="1"/>
    <col min="5" max="5" width="13" style="2" customWidth="1"/>
    <col min="6" max="6" width="25.5" style="3" bestFit="1" customWidth="1"/>
    <col min="7" max="7" width="14.33203125" style="4" bestFit="1" customWidth="1"/>
    <col min="8" max="8" width="14.5" style="2" bestFit="1" customWidth="1"/>
    <col min="9" max="16384" width="9" style="2"/>
  </cols>
  <sheetData>
    <row r="1" spans="1:7" x14ac:dyDescent="0.15">
      <c r="A1" s="1"/>
    </row>
    <row r="3" spans="1:7" x14ac:dyDescent="0.15">
      <c r="A3" s="6"/>
      <c r="B3" s="7"/>
      <c r="E3" s="8"/>
    </row>
    <row r="4" spans="1:7" ht="13" thickBot="1" x14ac:dyDescent="0.2">
      <c r="A4" s="6"/>
      <c r="B4" s="7"/>
      <c r="E4" s="7"/>
      <c r="F4" s="2"/>
      <c r="G4" s="2"/>
    </row>
    <row r="5" spans="1:7" ht="13" thickBot="1" x14ac:dyDescent="0.2">
      <c r="A5" s="2"/>
      <c r="B5" s="29" t="s">
        <v>14</v>
      </c>
      <c r="E5" s="7"/>
      <c r="F5" s="2"/>
      <c r="G5" s="2"/>
    </row>
    <row r="6" spans="1:7" x14ac:dyDescent="0.15">
      <c r="A6" s="27" t="s">
        <v>15</v>
      </c>
      <c r="B6" s="30">
        <v>46023</v>
      </c>
      <c r="E6" s="7"/>
      <c r="F6" s="2"/>
      <c r="G6" s="2"/>
    </row>
    <row r="7" spans="1:7" ht="12" customHeight="1" thickBot="1" x14ac:dyDescent="0.2">
      <c r="A7" s="28" t="s">
        <v>16</v>
      </c>
      <c r="B7" s="31">
        <v>46053</v>
      </c>
      <c r="F7" s="2"/>
      <c r="G7" s="9"/>
    </row>
    <row r="8" spans="1:7" ht="13" thickBot="1" x14ac:dyDescent="0.2">
      <c r="A8" s="101"/>
      <c r="B8" s="103" t="s">
        <v>2</v>
      </c>
      <c r="C8" s="104"/>
      <c r="D8" s="103" t="s">
        <v>3</v>
      </c>
      <c r="E8" s="105"/>
      <c r="F8" s="106" t="s">
        <v>0</v>
      </c>
      <c r="G8" s="108" t="s">
        <v>17</v>
      </c>
    </row>
    <row r="9" spans="1:7" ht="15" customHeight="1" thickBot="1" x14ac:dyDescent="0.2">
      <c r="A9" s="102"/>
      <c r="B9" s="19" t="s">
        <v>6</v>
      </c>
      <c r="C9" s="20" t="s">
        <v>4</v>
      </c>
      <c r="D9" s="21" t="s">
        <v>8</v>
      </c>
      <c r="E9" s="22" t="s">
        <v>1</v>
      </c>
      <c r="F9" s="107"/>
      <c r="G9" s="109"/>
    </row>
    <row r="10" spans="1:7" ht="14.25" customHeight="1" thickBot="1" x14ac:dyDescent="0.2">
      <c r="A10" s="48" t="s">
        <v>5</v>
      </c>
      <c r="B10" s="42" t="s">
        <v>7</v>
      </c>
      <c r="C10" s="43"/>
      <c r="D10" s="43"/>
      <c r="E10" s="44"/>
      <c r="F10" s="25">
        <v>13599</v>
      </c>
      <c r="G10" s="26"/>
    </row>
    <row r="11" spans="1:7" ht="13.5" customHeight="1" x14ac:dyDescent="0.15">
      <c r="A11" s="63">
        <v>46023</v>
      </c>
      <c r="B11" s="45" t="s">
        <v>34</v>
      </c>
      <c r="C11" s="64">
        <v>13354</v>
      </c>
      <c r="D11" s="46"/>
      <c r="E11" s="47"/>
      <c r="F11" s="23">
        <f>F10</f>
        <v>13599</v>
      </c>
      <c r="G11" s="24">
        <f t="shared" ref="G11:G40" si="0">F11*$F$53</f>
        <v>421569</v>
      </c>
    </row>
    <row r="12" spans="1:7" ht="14.25" customHeight="1" x14ac:dyDescent="0.15">
      <c r="A12" s="63">
        <v>46024</v>
      </c>
      <c r="B12" s="35" t="s">
        <v>33</v>
      </c>
      <c r="C12" s="65">
        <v>1187</v>
      </c>
      <c r="D12" s="32"/>
      <c r="E12" s="47"/>
      <c r="F12" s="10">
        <f t="shared" ref="F12:F39" si="1">F11+C12-E12</f>
        <v>14786</v>
      </c>
      <c r="G12" s="11">
        <f t="shared" si="0"/>
        <v>458366</v>
      </c>
    </row>
    <row r="13" spans="1:7" ht="13.5" customHeight="1" x14ac:dyDescent="0.15">
      <c r="A13" s="63">
        <v>46025</v>
      </c>
      <c r="B13" s="37" t="s">
        <v>19</v>
      </c>
      <c r="C13" s="65">
        <v>1337</v>
      </c>
      <c r="D13" s="32"/>
      <c r="E13" s="47"/>
      <c r="F13" s="10">
        <f t="shared" si="1"/>
        <v>16123</v>
      </c>
      <c r="G13" s="11">
        <f t="shared" si="0"/>
        <v>499813</v>
      </c>
    </row>
    <row r="14" spans="1:7" x14ac:dyDescent="0.15">
      <c r="A14" s="63">
        <v>46026</v>
      </c>
      <c r="B14" s="38" t="s">
        <v>20</v>
      </c>
      <c r="C14" s="65">
        <v>1609</v>
      </c>
      <c r="D14" s="32"/>
      <c r="E14" s="47"/>
      <c r="F14" s="10">
        <f t="shared" si="1"/>
        <v>17732</v>
      </c>
      <c r="G14" s="11">
        <f t="shared" si="0"/>
        <v>549692</v>
      </c>
    </row>
    <row r="15" spans="1:7" x14ac:dyDescent="0.15">
      <c r="A15" s="63">
        <v>46027</v>
      </c>
      <c r="B15" s="37" t="s">
        <v>21</v>
      </c>
      <c r="C15" s="65">
        <v>1308</v>
      </c>
      <c r="D15" s="32"/>
      <c r="E15" s="47"/>
      <c r="F15" s="10">
        <f t="shared" si="1"/>
        <v>19040</v>
      </c>
      <c r="G15" s="11">
        <f t="shared" si="0"/>
        <v>590240</v>
      </c>
    </row>
    <row r="16" spans="1:7" x14ac:dyDescent="0.15">
      <c r="A16" s="63">
        <v>46028</v>
      </c>
      <c r="B16" s="38" t="s">
        <v>22</v>
      </c>
      <c r="C16" s="65">
        <v>1114</v>
      </c>
      <c r="D16" s="32"/>
      <c r="E16" s="47"/>
      <c r="F16" s="10">
        <f t="shared" si="1"/>
        <v>20154</v>
      </c>
      <c r="G16" s="11">
        <f t="shared" si="0"/>
        <v>624774</v>
      </c>
    </row>
    <row r="17" spans="1:7" x14ac:dyDescent="0.15">
      <c r="A17" s="63">
        <v>46029</v>
      </c>
      <c r="B17" s="39" t="s">
        <v>23</v>
      </c>
      <c r="C17" s="65">
        <v>65</v>
      </c>
      <c r="D17" s="32"/>
      <c r="E17" s="47"/>
      <c r="F17" s="10">
        <f t="shared" si="1"/>
        <v>20219</v>
      </c>
      <c r="G17" s="11">
        <f t="shared" si="0"/>
        <v>626789</v>
      </c>
    </row>
    <row r="18" spans="1:7" x14ac:dyDescent="0.15">
      <c r="A18" s="63">
        <v>46030</v>
      </c>
      <c r="B18" s="38" t="s">
        <v>24</v>
      </c>
      <c r="C18" s="65">
        <v>1568</v>
      </c>
      <c r="D18" s="32"/>
      <c r="E18" s="47"/>
      <c r="F18" s="10">
        <f t="shared" si="1"/>
        <v>21787</v>
      </c>
      <c r="G18" s="11">
        <f t="shared" si="0"/>
        <v>675397</v>
      </c>
    </row>
    <row r="19" spans="1:7" ht="13.5" customHeight="1" x14ac:dyDescent="0.15">
      <c r="A19" s="63">
        <v>46031</v>
      </c>
      <c r="B19" s="38" t="s">
        <v>25</v>
      </c>
      <c r="C19" s="65">
        <v>1022</v>
      </c>
      <c r="D19" s="33"/>
      <c r="E19" s="47">
        <f>VLOOKUP(A19,[2]Çıkış!$A:$H,8,FALSE)</f>
        <v>1441</v>
      </c>
      <c r="F19" s="10">
        <f t="shared" si="1"/>
        <v>21368</v>
      </c>
      <c r="G19" s="11">
        <f t="shared" si="0"/>
        <v>662408</v>
      </c>
    </row>
    <row r="20" spans="1:7" x14ac:dyDescent="0.15">
      <c r="A20" s="63">
        <v>46032</v>
      </c>
      <c r="B20" s="37" t="s">
        <v>26</v>
      </c>
      <c r="C20" s="65">
        <v>943</v>
      </c>
      <c r="D20" s="33"/>
      <c r="E20" s="47"/>
      <c r="F20" s="10">
        <f t="shared" si="1"/>
        <v>22311</v>
      </c>
      <c r="G20" s="11">
        <f t="shared" si="0"/>
        <v>691641</v>
      </c>
    </row>
    <row r="21" spans="1:7" x14ac:dyDescent="0.15">
      <c r="A21" s="63">
        <v>46033</v>
      </c>
      <c r="B21" s="40" t="s">
        <v>27</v>
      </c>
      <c r="C21" s="65">
        <v>134</v>
      </c>
      <c r="D21" s="33"/>
      <c r="E21" s="47"/>
      <c r="F21" s="10">
        <f t="shared" si="1"/>
        <v>22445</v>
      </c>
      <c r="G21" s="11">
        <f t="shared" si="0"/>
        <v>695795</v>
      </c>
    </row>
    <row r="22" spans="1:7" x14ac:dyDescent="0.15">
      <c r="A22" s="63">
        <v>46034</v>
      </c>
      <c r="B22" s="39" t="s">
        <v>28</v>
      </c>
      <c r="C22" s="65">
        <v>1131</v>
      </c>
      <c r="D22" s="33"/>
      <c r="E22" s="47">
        <f>VLOOKUP(A22,[2]Çıkış!$A:$H,8,FALSE)</f>
        <v>964</v>
      </c>
      <c r="F22" s="10">
        <f t="shared" si="1"/>
        <v>22612</v>
      </c>
      <c r="G22" s="11">
        <f t="shared" si="0"/>
        <v>700972</v>
      </c>
    </row>
    <row r="23" spans="1:7" x14ac:dyDescent="0.15">
      <c r="A23" s="63">
        <v>46035</v>
      </c>
      <c r="B23" s="38" t="s">
        <v>29</v>
      </c>
      <c r="C23" s="65">
        <v>490</v>
      </c>
      <c r="D23" s="33"/>
      <c r="E23" s="47">
        <f>VLOOKUP(A23,[2]Çıkış!$A:$H,8,FALSE)</f>
        <v>205</v>
      </c>
      <c r="F23" s="10">
        <f t="shared" si="1"/>
        <v>22897</v>
      </c>
      <c r="G23" s="11">
        <f t="shared" si="0"/>
        <v>709807</v>
      </c>
    </row>
    <row r="24" spans="1:7" x14ac:dyDescent="0.15">
      <c r="A24" s="63">
        <v>46036</v>
      </c>
      <c r="B24" s="38" t="s">
        <v>30</v>
      </c>
      <c r="C24" s="65">
        <v>724</v>
      </c>
      <c r="D24" s="33"/>
      <c r="E24" s="47"/>
      <c r="F24" s="10">
        <f t="shared" si="1"/>
        <v>23621</v>
      </c>
      <c r="G24" s="11">
        <f t="shared" si="0"/>
        <v>732251</v>
      </c>
    </row>
    <row r="25" spans="1:7" x14ac:dyDescent="0.15">
      <c r="A25" s="63">
        <v>46037</v>
      </c>
      <c r="B25" s="38" t="s">
        <v>31</v>
      </c>
      <c r="C25" s="65">
        <v>1285</v>
      </c>
      <c r="D25" s="33"/>
      <c r="E25" s="47"/>
      <c r="F25" s="10">
        <f t="shared" si="1"/>
        <v>24906</v>
      </c>
      <c r="G25" s="11">
        <f t="shared" si="0"/>
        <v>772086</v>
      </c>
    </row>
    <row r="26" spans="1:7" ht="13.5" customHeight="1" x14ac:dyDescent="0.15">
      <c r="A26" s="63">
        <v>46038</v>
      </c>
      <c r="B26" s="38" t="s">
        <v>32</v>
      </c>
      <c r="C26" s="65">
        <v>1058</v>
      </c>
      <c r="D26" s="33"/>
      <c r="E26" s="47">
        <f>VLOOKUP(A26,[2]Çıkış!$A:$H,8,FALSE)</f>
        <v>381</v>
      </c>
      <c r="F26" s="10">
        <f t="shared" si="1"/>
        <v>25583</v>
      </c>
      <c r="G26" s="11">
        <f t="shared" si="0"/>
        <v>793073</v>
      </c>
    </row>
    <row r="27" spans="1:7" x14ac:dyDescent="0.15">
      <c r="A27" s="63">
        <v>46039</v>
      </c>
      <c r="B27" s="38"/>
      <c r="C27" s="36"/>
      <c r="D27" s="33"/>
      <c r="E27" s="47"/>
      <c r="F27" s="10">
        <f t="shared" si="1"/>
        <v>25583</v>
      </c>
      <c r="G27" s="11">
        <f t="shared" si="0"/>
        <v>793073</v>
      </c>
    </row>
    <row r="28" spans="1:7" x14ac:dyDescent="0.15">
      <c r="A28" s="63">
        <v>46040</v>
      </c>
      <c r="B28" s="38"/>
      <c r="C28" s="36"/>
      <c r="D28" s="33"/>
      <c r="E28" s="47"/>
      <c r="F28" s="10">
        <f t="shared" si="1"/>
        <v>25583</v>
      </c>
      <c r="G28" s="11">
        <f t="shared" si="0"/>
        <v>793073</v>
      </c>
    </row>
    <row r="29" spans="1:7" x14ac:dyDescent="0.15">
      <c r="A29" s="63">
        <v>46041</v>
      </c>
      <c r="B29" s="38"/>
      <c r="C29" s="36"/>
      <c r="D29" s="34"/>
      <c r="E29" s="47">
        <f>VLOOKUP(A29,[2]Çıkış!$A:$H,8,FALSE)</f>
        <v>690</v>
      </c>
      <c r="F29" s="10">
        <f t="shared" si="1"/>
        <v>24893</v>
      </c>
      <c r="G29" s="11">
        <f t="shared" si="0"/>
        <v>771683</v>
      </c>
    </row>
    <row r="30" spans="1:7" x14ac:dyDescent="0.15">
      <c r="A30" s="63">
        <v>46042</v>
      </c>
      <c r="B30" s="38"/>
      <c r="C30" s="36"/>
      <c r="D30" s="33"/>
      <c r="E30" s="47">
        <f>VLOOKUP(A30,[2]Çıkış!$A:$H,8,FALSE)</f>
        <v>894</v>
      </c>
      <c r="F30" s="10">
        <f t="shared" si="1"/>
        <v>23999</v>
      </c>
      <c r="G30" s="11">
        <f t="shared" si="0"/>
        <v>743969</v>
      </c>
    </row>
    <row r="31" spans="1:7" x14ac:dyDescent="0.15">
      <c r="A31" s="63">
        <v>46043</v>
      </c>
      <c r="B31" s="37"/>
      <c r="C31" s="36"/>
      <c r="D31" s="33"/>
      <c r="E31" s="47">
        <f>VLOOKUP(A31,[2]Çıkış!$A:$H,8,FALSE)</f>
        <v>1103</v>
      </c>
      <c r="F31" s="10">
        <f t="shared" si="1"/>
        <v>22896</v>
      </c>
      <c r="G31" s="11">
        <f t="shared" si="0"/>
        <v>709776</v>
      </c>
    </row>
    <row r="32" spans="1:7" x14ac:dyDescent="0.15">
      <c r="A32" s="63">
        <v>46044</v>
      </c>
      <c r="B32" s="38"/>
      <c r="C32" s="36"/>
      <c r="D32" s="33"/>
      <c r="E32" s="47">
        <f>VLOOKUP(A32,[2]Çıkış!$A:$H,8,FALSE)</f>
        <v>1163</v>
      </c>
      <c r="F32" s="10">
        <f t="shared" si="1"/>
        <v>21733</v>
      </c>
      <c r="G32" s="11">
        <f t="shared" si="0"/>
        <v>673723</v>
      </c>
    </row>
    <row r="33" spans="1:8" x14ac:dyDescent="0.15">
      <c r="A33" s="63">
        <v>46045</v>
      </c>
      <c r="B33" s="38"/>
      <c r="C33" s="36"/>
      <c r="D33" s="33"/>
      <c r="E33" s="47">
        <f>VLOOKUP(A33,[2]Çıkış!$A:$H,8,FALSE)</f>
        <v>1487</v>
      </c>
      <c r="F33" s="10">
        <f t="shared" si="1"/>
        <v>20246</v>
      </c>
      <c r="G33" s="11">
        <f t="shared" si="0"/>
        <v>627626</v>
      </c>
    </row>
    <row r="34" spans="1:8" x14ac:dyDescent="0.15">
      <c r="A34" s="63">
        <v>46046</v>
      </c>
      <c r="B34" s="38"/>
      <c r="C34" s="36"/>
      <c r="D34" s="33"/>
      <c r="E34" s="47"/>
      <c r="F34" s="10">
        <f t="shared" si="1"/>
        <v>20246</v>
      </c>
      <c r="G34" s="11">
        <f t="shared" si="0"/>
        <v>627626</v>
      </c>
    </row>
    <row r="35" spans="1:8" x14ac:dyDescent="0.15">
      <c r="A35" s="63">
        <v>46047</v>
      </c>
      <c r="B35" s="41"/>
      <c r="C35" s="36"/>
      <c r="D35" s="33"/>
      <c r="E35" s="47"/>
      <c r="F35" s="10">
        <f t="shared" si="1"/>
        <v>20246</v>
      </c>
      <c r="G35" s="11">
        <f t="shared" si="0"/>
        <v>627626</v>
      </c>
    </row>
    <row r="36" spans="1:8" ht="13.5" customHeight="1" x14ac:dyDescent="0.15">
      <c r="A36" s="63">
        <v>46048</v>
      </c>
      <c r="B36" s="38"/>
      <c r="C36" s="36"/>
      <c r="D36" s="32"/>
      <c r="E36" s="47">
        <f>VLOOKUP(A36,[2]Çıkış!$A:$H,8,FALSE)</f>
        <v>277</v>
      </c>
      <c r="F36" s="10">
        <f t="shared" si="1"/>
        <v>19969</v>
      </c>
      <c r="G36" s="11">
        <f t="shared" si="0"/>
        <v>619039</v>
      </c>
    </row>
    <row r="37" spans="1:8" x14ac:dyDescent="0.15">
      <c r="A37" s="63">
        <v>46049</v>
      </c>
      <c r="B37" s="38"/>
      <c r="C37" s="36"/>
      <c r="D37" s="32"/>
      <c r="E37" s="47"/>
      <c r="F37" s="10">
        <f t="shared" si="1"/>
        <v>19969</v>
      </c>
      <c r="G37" s="11">
        <f t="shared" si="0"/>
        <v>619039</v>
      </c>
    </row>
    <row r="38" spans="1:8" x14ac:dyDescent="0.15">
      <c r="A38" s="63">
        <v>46050</v>
      </c>
      <c r="B38" s="41"/>
      <c r="C38" s="36"/>
      <c r="D38" s="32"/>
      <c r="E38" s="47">
        <f>VLOOKUP(A38,[2]Çıkış!$A:$H,8,FALSE)</f>
        <v>893</v>
      </c>
      <c r="F38" s="10">
        <f t="shared" si="1"/>
        <v>19076</v>
      </c>
      <c r="G38" s="11">
        <f t="shared" si="0"/>
        <v>591356</v>
      </c>
    </row>
    <row r="39" spans="1:8" x14ac:dyDescent="0.15">
      <c r="A39" s="63">
        <v>46051</v>
      </c>
      <c r="B39" s="38"/>
      <c r="C39" s="36"/>
      <c r="D39" s="32"/>
      <c r="E39" s="47">
        <f>VLOOKUP(A39,[2]Çıkış!$A:$H,8,FALSE)</f>
        <v>1815</v>
      </c>
      <c r="F39" s="10">
        <f t="shared" si="1"/>
        <v>17261</v>
      </c>
      <c r="G39" s="11">
        <f t="shared" si="0"/>
        <v>535091</v>
      </c>
    </row>
    <row r="40" spans="1:8" x14ac:dyDescent="0.15">
      <c r="A40" s="63">
        <v>46052</v>
      </c>
      <c r="B40" s="38"/>
      <c r="C40" s="36"/>
      <c r="D40" s="32"/>
      <c r="E40" s="47">
        <f>VLOOKUP(A40,[2]Çıkış!$A:$H,8,FALSE)</f>
        <v>608</v>
      </c>
      <c r="F40" s="10">
        <f>F39+C40-E40</f>
        <v>16653</v>
      </c>
      <c r="G40" s="11">
        <f t="shared" si="0"/>
        <v>516243</v>
      </c>
    </row>
    <row r="41" spans="1:8" ht="13" thickBot="1" x14ac:dyDescent="0.2">
      <c r="A41" s="75">
        <v>46053</v>
      </c>
      <c r="B41" s="76"/>
      <c r="C41" s="77"/>
      <c r="D41" s="78"/>
      <c r="E41" s="79"/>
      <c r="F41" s="80"/>
      <c r="G41" s="81"/>
    </row>
    <row r="42" spans="1:8" ht="13" thickBot="1" x14ac:dyDescent="0.2">
      <c r="A42" s="82"/>
      <c r="B42" s="83" t="s">
        <v>13</v>
      </c>
      <c r="C42" s="84">
        <f>SUM(C11:C41)</f>
        <v>28329</v>
      </c>
      <c r="D42" s="85"/>
      <c r="E42" s="86">
        <f>SUM(E10:E41)</f>
        <v>11921</v>
      </c>
      <c r="F42" s="87">
        <f>SUM(F11:F41)</f>
        <v>627536</v>
      </c>
      <c r="G42" s="88">
        <f>SUM(G11:G41)</f>
        <v>19453616</v>
      </c>
    </row>
    <row r="43" spans="1:8" x14ac:dyDescent="0.15">
      <c r="A43" s="71"/>
      <c r="B43" s="74"/>
      <c r="C43" s="72"/>
      <c r="D43" s="72"/>
      <c r="E43" s="72"/>
      <c r="F43" s="72"/>
      <c r="G43" s="73"/>
    </row>
    <row r="44" spans="1:8" x14ac:dyDescent="0.15">
      <c r="A44" s="71"/>
      <c r="B44" s="74"/>
      <c r="C44" s="72"/>
      <c r="D44" s="72"/>
      <c r="E44" s="72"/>
      <c r="F44" s="72"/>
      <c r="G44" s="73"/>
    </row>
    <row r="45" spans="1:8" ht="12" customHeight="1" x14ac:dyDescent="0.15">
      <c r="B45" s="89" t="s">
        <v>35</v>
      </c>
      <c r="C45" s="12">
        <f>C42*F51</f>
        <v>3116190</v>
      </c>
      <c r="D45" s="12" t="s">
        <v>36</v>
      </c>
      <c r="E45" s="12">
        <f>E42*F52</f>
        <v>1311310</v>
      </c>
    </row>
    <row r="46" spans="1:8" x14ac:dyDescent="0.15">
      <c r="B46" s="90"/>
      <c r="C46" s="91"/>
      <c r="D46" s="91"/>
      <c r="E46" s="91"/>
    </row>
    <row r="47" spans="1:8" x14ac:dyDescent="0.15">
      <c r="B47" s="92" t="s">
        <v>37</v>
      </c>
      <c r="C47" s="93">
        <f>C45+E45</f>
        <v>4427500</v>
      </c>
      <c r="D47" s="91"/>
      <c r="E47" s="91"/>
    </row>
    <row r="48" spans="1:8" x14ac:dyDescent="0.15">
      <c r="H48" s="14"/>
    </row>
    <row r="49" spans="4:8" ht="13" thickBot="1" x14ac:dyDescent="0.2"/>
    <row r="50" spans="4:8" x14ac:dyDescent="0.15">
      <c r="D50" s="49"/>
      <c r="E50" s="50" t="s">
        <v>10</v>
      </c>
      <c r="F50" s="51" t="s">
        <v>11</v>
      </c>
      <c r="G50" s="52" t="s">
        <v>12</v>
      </c>
    </row>
    <row r="51" spans="4:8" ht="25.5" customHeight="1" x14ac:dyDescent="0.15">
      <c r="D51" s="41" t="s">
        <v>2</v>
      </c>
      <c r="E51" s="12">
        <f>C42</f>
        <v>28329</v>
      </c>
      <c r="F51" s="13">
        <v>110</v>
      </c>
      <c r="G51" s="66">
        <f>E51*F51</f>
        <v>3116190</v>
      </c>
    </row>
    <row r="52" spans="4:8" x14ac:dyDescent="0.15">
      <c r="D52" s="41" t="s">
        <v>3</v>
      </c>
      <c r="E52" s="12">
        <f>E42</f>
        <v>11921</v>
      </c>
      <c r="F52" s="13">
        <v>110</v>
      </c>
      <c r="G52" s="66">
        <f t="shared" ref="G52" si="2">E52*F52</f>
        <v>1311310</v>
      </c>
      <c r="H52" s="14"/>
    </row>
    <row r="53" spans="4:8" ht="20.25" customHeight="1" x14ac:dyDescent="0.15">
      <c r="D53" s="67" t="s">
        <v>9</v>
      </c>
      <c r="E53" s="68">
        <f>F42</f>
        <v>627536</v>
      </c>
      <c r="F53" s="69">
        <v>31</v>
      </c>
      <c r="G53" s="70">
        <v>15000000</v>
      </c>
      <c r="H53" s="15"/>
    </row>
    <row r="54" spans="4:8" ht="13.5" customHeight="1" x14ac:dyDescent="0.15">
      <c r="D54" s="41"/>
      <c r="E54" s="12"/>
      <c r="F54" s="13"/>
      <c r="G54" s="53"/>
    </row>
    <row r="55" spans="4:8" ht="11.25" customHeight="1" x14ac:dyDescent="0.15">
      <c r="D55" s="54" t="s">
        <v>18</v>
      </c>
      <c r="E55" s="12">
        <v>0</v>
      </c>
      <c r="F55" s="13">
        <v>900</v>
      </c>
      <c r="G55" s="53">
        <f>F55*E55</f>
        <v>0</v>
      </c>
    </row>
    <row r="56" spans="4:8" ht="13" thickBot="1" x14ac:dyDescent="0.2">
      <c r="D56" s="55"/>
      <c r="E56" s="56"/>
      <c r="F56" s="57"/>
      <c r="G56" s="58"/>
    </row>
    <row r="57" spans="4:8" ht="13" thickBot="1" x14ac:dyDescent="0.2">
      <c r="D57" s="59"/>
      <c r="E57" s="60"/>
      <c r="F57" s="62" t="s">
        <v>37</v>
      </c>
      <c r="G57" s="61">
        <f>SUM(G51:G56)</f>
        <v>19427500</v>
      </c>
    </row>
    <row r="58" spans="4:8" ht="12.75" customHeight="1" x14ac:dyDescent="0.15">
      <c r="E58" s="16"/>
      <c r="F58" s="17" t="s">
        <v>39</v>
      </c>
      <c r="G58" s="18">
        <f>G57*1.16</f>
        <v>22535900</v>
      </c>
    </row>
    <row r="59" spans="4:8" x14ac:dyDescent="0.15">
      <c r="G59" s="94">
        <v>5135900</v>
      </c>
    </row>
    <row r="60" spans="4:8" x14ac:dyDescent="0.15">
      <c r="G60" s="94">
        <v>7400000</v>
      </c>
    </row>
    <row r="61" spans="4:8" x14ac:dyDescent="0.15">
      <c r="G61" s="94">
        <v>2500000</v>
      </c>
    </row>
    <row r="62" spans="4:8" x14ac:dyDescent="0.15">
      <c r="G62" s="94">
        <v>5000000</v>
      </c>
    </row>
    <row r="63" spans="4:8" x14ac:dyDescent="0.15">
      <c r="G63" s="94">
        <v>2500000</v>
      </c>
    </row>
    <row r="64" spans="4:8" x14ac:dyDescent="0.15">
      <c r="G64" s="4">
        <v>5912967</v>
      </c>
    </row>
    <row r="67" spans="7:7" x14ac:dyDescent="0.15">
      <c r="G67" s="4">
        <f>SUM(G59:G64)</f>
        <v>28448867</v>
      </c>
    </row>
  </sheetData>
  <mergeCells count="5">
    <mergeCell ref="B8:C8"/>
    <mergeCell ref="D8:E8"/>
    <mergeCell ref="A8:A9"/>
    <mergeCell ref="G8:G9"/>
    <mergeCell ref="F8:F9"/>
  </mergeCells>
  <pageMargins left="0.23622047244094491" right="0.23622047244094491" top="0.74803149606299213" bottom="0.74803149606299213" header="0.31496062992125984" footer="0.31496062992125984"/>
  <pageSetup paperSize="9" scale="5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07D1F-5FC4-8549-91E3-5A4E440CE53B}">
  <dimension ref="A1:H58"/>
  <sheetViews>
    <sheetView showGridLines="0" topLeftCell="A27" zoomScale="130" zoomScaleNormal="130" zoomScaleSheetLayoutView="100" workbookViewId="0">
      <selection activeCell="B12" sqref="B12"/>
    </sheetView>
  </sheetViews>
  <sheetFormatPr baseColWidth="10" defaultColWidth="9" defaultRowHeight="12" x14ac:dyDescent="0.15"/>
  <cols>
    <col min="1" max="1" width="10.5" style="5" bestFit="1" customWidth="1"/>
    <col min="2" max="2" width="25.83203125" style="2" bestFit="1" customWidth="1"/>
    <col min="3" max="3" width="11.1640625" style="2" bestFit="1" customWidth="1"/>
    <col min="4" max="4" width="17" style="2" bestFit="1" customWidth="1"/>
    <col min="5" max="5" width="13" style="2" customWidth="1"/>
    <col min="6" max="6" width="25.5" style="3" bestFit="1" customWidth="1"/>
    <col min="7" max="7" width="14.33203125" style="4" bestFit="1" customWidth="1"/>
    <col min="8" max="8" width="14.5" style="2" bestFit="1" customWidth="1"/>
    <col min="9" max="16384" width="9" style="2"/>
  </cols>
  <sheetData>
    <row r="1" spans="1:7" x14ac:dyDescent="0.15">
      <c r="A1" s="1"/>
    </row>
    <row r="3" spans="1:7" x14ac:dyDescent="0.15">
      <c r="A3" s="6"/>
      <c r="B3" s="7"/>
      <c r="E3" s="8"/>
    </row>
    <row r="4" spans="1:7" ht="13" thickBot="1" x14ac:dyDescent="0.2">
      <c r="A4" s="6"/>
      <c r="B4" s="7"/>
      <c r="E4" s="7"/>
      <c r="F4" s="2"/>
      <c r="G4" s="2"/>
    </row>
    <row r="5" spans="1:7" ht="13" thickBot="1" x14ac:dyDescent="0.2">
      <c r="A5" s="2"/>
      <c r="B5" s="29" t="s">
        <v>14</v>
      </c>
      <c r="E5" s="7"/>
      <c r="F5" s="2"/>
      <c r="G5" s="2"/>
    </row>
    <row r="6" spans="1:7" x14ac:dyDescent="0.15">
      <c r="A6" s="27" t="s">
        <v>15</v>
      </c>
      <c r="B6" s="30">
        <v>46054</v>
      </c>
      <c r="E6" s="7"/>
      <c r="F6" s="2"/>
      <c r="G6" s="2"/>
    </row>
    <row r="7" spans="1:7" ht="12" customHeight="1" thickBot="1" x14ac:dyDescent="0.2">
      <c r="A7" s="28" t="s">
        <v>16</v>
      </c>
      <c r="B7" s="31">
        <v>46081</v>
      </c>
      <c r="F7" s="2"/>
      <c r="G7" s="9"/>
    </row>
    <row r="8" spans="1:7" ht="13" thickBot="1" x14ac:dyDescent="0.2">
      <c r="A8" s="101"/>
      <c r="B8" s="103" t="s">
        <v>2</v>
      </c>
      <c r="C8" s="104"/>
      <c r="D8" s="103" t="s">
        <v>3</v>
      </c>
      <c r="E8" s="105"/>
      <c r="F8" s="106" t="s">
        <v>0</v>
      </c>
      <c r="G8" s="108" t="s">
        <v>17</v>
      </c>
    </row>
    <row r="9" spans="1:7" ht="15" customHeight="1" thickBot="1" x14ac:dyDescent="0.2">
      <c r="A9" s="102"/>
      <c r="B9" s="19" t="s">
        <v>6</v>
      </c>
      <c r="C9" s="20" t="s">
        <v>4</v>
      </c>
      <c r="D9" s="21" t="s">
        <v>8</v>
      </c>
      <c r="E9" s="22" t="s">
        <v>1</v>
      </c>
      <c r="F9" s="107"/>
      <c r="G9" s="109"/>
    </row>
    <row r="10" spans="1:7" ht="14.25" customHeight="1" thickBot="1" x14ac:dyDescent="0.2">
      <c r="A10" s="48" t="s">
        <v>5</v>
      </c>
      <c r="B10" s="42" t="s">
        <v>7</v>
      </c>
      <c r="C10" s="43"/>
      <c r="D10" s="43"/>
      <c r="E10" s="44"/>
      <c r="F10" s="25">
        <v>16653</v>
      </c>
      <c r="G10" s="26"/>
    </row>
    <row r="11" spans="1:7" ht="13.5" customHeight="1" x14ac:dyDescent="0.15">
      <c r="A11" s="63">
        <v>46054</v>
      </c>
      <c r="B11" s="45"/>
      <c r="C11" s="64"/>
      <c r="D11" s="46"/>
      <c r="E11" s="47"/>
      <c r="F11" s="23">
        <f>F10</f>
        <v>16653</v>
      </c>
      <c r="G11" s="24">
        <f t="shared" ref="G11:G40" si="0">F11*$F$53</f>
        <v>516243</v>
      </c>
    </row>
    <row r="12" spans="1:7" ht="14.25" customHeight="1" x14ac:dyDescent="0.15">
      <c r="A12" s="63">
        <v>46055</v>
      </c>
      <c r="B12" s="35" t="s">
        <v>38</v>
      </c>
      <c r="C12" s="65">
        <v>565</v>
      </c>
      <c r="D12" s="32"/>
      <c r="E12" s="47"/>
      <c r="F12" s="10">
        <f>F11+C12-E12</f>
        <v>17218</v>
      </c>
      <c r="G12" s="11">
        <f t="shared" si="0"/>
        <v>533758</v>
      </c>
    </row>
    <row r="13" spans="1:7" ht="13.5" customHeight="1" x14ac:dyDescent="0.15">
      <c r="A13" s="63">
        <v>46056</v>
      </c>
      <c r="B13" s="37"/>
      <c r="C13" s="65">
        <v>1381</v>
      </c>
      <c r="D13" s="32"/>
      <c r="E13" s="47"/>
      <c r="F13" s="10">
        <f t="shared" ref="F13:F38" si="1">F12+C13-E13</f>
        <v>18599</v>
      </c>
      <c r="G13" s="11">
        <f t="shared" si="0"/>
        <v>576569</v>
      </c>
    </row>
    <row r="14" spans="1:7" x14ac:dyDescent="0.15">
      <c r="A14" s="63">
        <v>46057</v>
      </c>
      <c r="B14" s="38"/>
      <c r="C14" s="65">
        <v>1225</v>
      </c>
      <c r="D14" s="32"/>
      <c r="E14" s="47">
        <v>443</v>
      </c>
      <c r="F14" s="10">
        <f t="shared" si="1"/>
        <v>19381</v>
      </c>
      <c r="G14" s="11">
        <f t="shared" si="0"/>
        <v>600811</v>
      </c>
    </row>
    <row r="15" spans="1:7" x14ac:dyDescent="0.15">
      <c r="A15" s="63">
        <v>46058</v>
      </c>
      <c r="B15" s="37"/>
      <c r="C15" s="65"/>
      <c r="D15" s="32"/>
      <c r="E15" s="47">
        <v>1316</v>
      </c>
      <c r="F15" s="10">
        <f t="shared" si="1"/>
        <v>18065</v>
      </c>
      <c r="G15" s="11">
        <f t="shared" si="0"/>
        <v>560015</v>
      </c>
    </row>
    <row r="16" spans="1:7" x14ac:dyDescent="0.15">
      <c r="A16" s="63">
        <v>46059</v>
      </c>
      <c r="B16" s="38"/>
      <c r="C16" s="65"/>
      <c r="D16" s="32"/>
      <c r="E16" s="47">
        <v>1149</v>
      </c>
      <c r="F16" s="10">
        <f t="shared" si="1"/>
        <v>16916</v>
      </c>
      <c r="G16" s="11">
        <f t="shared" si="0"/>
        <v>524396</v>
      </c>
    </row>
    <row r="17" spans="1:7" x14ac:dyDescent="0.15">
      <c r="A17" s="63">
        <v>46060</v>
      </c>
      <c r="B17" s="39"/>
      <c r="C17" s="65"/>
      <c r="D17" s="32"/>
      <c r="E17" s="47"/>
      <c r="F17" s="10">
        <f t="shared" si="1"/>
        <v>16916</v>
      </c>
      <c r="G17" s="11">
        <f t="shared" si="0"/>
        <v>524396</v>
      </c>
    </row>
    <row r="18" spans="1:7" x14ac:dyDescent="0.15">
      <c r="A18" s="63">
        <v>46061</v>
      </c>
      <c r="B18" s="38"/>
      <c r="C18" s="65"/>
      <c r="D18" s="32"/>
      <c r="E18" s="47"/>
      <c r="F18" s="10">
        <f t="shared" si="1"/>
        <v>16916</v>
      </c>
      <c r="G18" s="11">
        <f t="shared" si="0"/>
        <v>524396</v>
      </c>
    </row>
    <row r="19" spans="1:7" ht="13.5" customHeight="1" x14ac:dyDescent="0.15">
      <c r="A19" s="63">
        <v>46062</v>
      </c>
      <c r="B19" s="38"/>
      <c r="C19" s="65"/>
      <c r="D19" s="33"/>
      <c r="E19" s="47"/>
      <c r="F19" s="10">
        <f t="shared" si="1"/>
        <v>16916</v>
      </c>
      <c r="G19" s="11">
        <f t="shared" si="0"/>
        <v>524396</v>
      </c>
    </row>
    <row r="20" spans="1:7" x14ac:dyDescent="0.15">
      <c r="A20" s="63">
        <v>46063</v>
      </c>
      <c r="B20" s="37"/>
      <c r="C20" s="65">
        <v>1168</v>
      </c>
      <c r="D20" s="33"/>
      <c r="E20" s="47"/>
      <c r="F20" s="10">
        <f t="shared" si="1"/>
        <v>18084</v>
      </c>
      <c r="G20" s="11">
        <f t="shared" si="0"/>
        <v>560604</v>
      </c>
    </row>
    <row r="21" spans="1:7" x14ac:dyDescent="0.15">
      <c r="A21" s="63">
        <v>46064</v>
      </c>
      <c r="B21" s="40"/>
      <c r="C21" s="65"/>
      <c r="D21" s="33"/>
      <c r="E21" s="47">
        <v>744</v>
      </c>
      <c r="F21" s="10">
        <f t="shared" si="1"/>
        <v>17340</v>
      </c>
      <c r="G21" s="11">
        <f t="shared" si="0"/>
        <v>537540</v>
      </c>
    </row>
    <row r="22" spans="1:7" x14ac:dyDescent="0.15">
      <c r="A22" s="63">
        <v>46065</v>
      </c>
      <c r="B22" s="39"/>
      <c r="C22" s="65"/>
      <c r="D22" s="33"/>
      <c r="E22" s="47">
        <v>608</v>
      </c>
      <c r="F22" s="10">
        <f t="shared" si="1"/>
        <v>16732</v>
      </c>
      <c r="G22" s="11">
        <f t="shared" si="0"/>
        <v>518692</v>
      </c>
    </row>
    <row r="23" spans="1:7" x14ac:dyDescent="0.15">
      <c r="A23" s="63">
        <v>46066</v>
      </c>
      <c r="B23" s="38"/>
      <c r="C23" s="65"/>
      <c r="D23" s="33"/>
      <c r="E23" s="47"/>
      <c r="F23" s="10">
        <f t="shared" si="1"/>
        <v>16732</v>
      </c>
      <c r="G23" s="11">
        <f t="shared" si="0"/>
        <v>518692</v>
      </c>
    </row>
    <row r="24" spans="1:7" x14ac:dyDescent="0.15">
      <c r="A24" s="63">
        <v>46067</v>
      </c>
      <c r="B24" s="38"/>
      <c r="C24" s="65"/>
      <c r="D24" s="33"/>
      <c r="E24" s="47"/>
      <c r="F24" s="10">
        <f t="shared" si="1"/>
        <v>16732</v>
      </c>
      <c r="G24" s="11">
        <f t="shared" si="0"/>
        <v>518692</v>
      </c>
    </row>
    <row r="25" spans="1:7" x14ac:dyDescent="0.15">
      <c r="A25" s="63">
        <v>46068</v>
      </c>
      <c r="B25" s="38"/>
      <c r="C25" s="65"/>
      <c r="D25" s="33"/>
      <c r="E25" s="47"/>
      <c r="F25" s="10">
        <f t="shared" si="1"/>
        <v>16732</v>
      </c>
      <c r="G25" s="11">
        <f t="shared" si="0"/>
        <v>518692</v>
      </c>
    </row>
    <row r="26" spans="1:7" ht="13.5" customHeight="1" x14ac:dyDescent="0.15">
      <c r="A26" s="63">
        <v>46069</v>
      </c>
      <c r="B26" s="38"/>
      <c r="C26" s="65"/>
      <c r="D26" s="33"/>
      <c r="E26" s="47">
        <v>470</v>
      </c>
      <c r="F26" s="10">
        <f t="shared" si="1"/>
        <v>16262</v>
      </c>
      <c r="G26" s="11">
        <f t="shared" si="0"/>
        <v>504122</v>
      </c>
    </row>
    <row r="27" spans="1:7" x14ac:dyDescent="0.15">
      <c r="A27" s="63">
        <v>46070</v>
      </c>
      <c r="B27" s="38"/>
      <c r="C27" s="36"/>
      <c r="D27" s="33"/>
      <c r="E27" s="47">
        <v>480</v>
      </c>
      <c r="F27" s="10">
        <f t="shared" si="1"/>
        <v>15782</v>
      </c>
      <c r="G27" s="11">
        <f t="shared" si="0"/>
        <v>489242</v>
      </c>
    </row>
    <row r="28" spans="1:7" x14ac:dyDescent="0.15">
      <c r="A28" s="63">
        <v>46071</v>
      </c>
      <c r="B28" s="38"/>
      <c r="C28" s="36"/>
      <c r="D28" s="33"/>
      <c r="E28" s="47"/>
      <c r="F28" s="10">
        <f t="shared" si="1"/>
        <v>15782</v>
      </c>
      <c r="G28" s="11">
        <f t="shared" si="0"/>
        <v>489242</v>
      </c>
    </row>
    <row r="29" spans="1:7" x14ac:dyDescent="0.15">
      <c r="A29" s="63">
        <v>46072</v>
      </c>
      <c r="B29" s="38"/>
      <c r="C29" s="65">
        <v>1999</v>
      </c>
      <c r="D29" s="34"/>
      <c r="E29" s="47">
        <v>642</v>
      </c>
      <c r="F29" s="10">
        <f t="shared" si="1"/>
        <v>17139</v>
      </c>
      <c r="G29" s="11">
        <f t="shared" si="0"/>
        <v>531309</v>
      </c>
    </row>
    <row r="30" spans="1:7" x14ac:dyDescent="0.15">
      <c r="A30" s="63">
        <v>46073</v>
      </c>
      <c r="B30" s="38"/>
      <c r="C30" s="36"/>
      <c r="D30" s="33"/>
      <c r="E30" s="47">
        <v>474</v>
      </c>
      <c r="F30" s="10">
        <f t="shared" si="1"/>
        <v>16665</v>
      </c>
      <c r="G30" s="11">
        <f t="shared" si="0"/>
        <v>516615</v>
      </c>
    </row>
    <row r="31" spans="1:7" x14ac:dyDescent="0.15">
      <c r="A31" s="63">
        <v>46074</v>
      </c>
      <c r="B31" s="37"/>
      <c r="C31" s="36"/>
      <c r="D31" s="33"/>
      <c r="E31" s="47"/>
      <c r="F31" s="10">
        <f t="shared" si="1"/>
        <v>16665</v>
      </c>
      <c r="G31" s="11">
        <f t="shared" si="0"/>
        <v>516615</v>
      </c>
    </row>
    <row r="32" spans="1:7" x14ac:dyDescent="0.15">
      <c r="A32" s="63">
        <v>46075</v>
      </c>
      <c r="B32" s="38"/>
      <c r="C32" s="36"/>
      <c r="D32" s="33"/>
      <c r="E32" s="47"/>
      <c r="F32" s="10">
        <f t="shared" si="1"/>
        <v>16665</v>
      </c>
      <c r="G32" s="11">
        <f t="shared" si="0"/>
        <v>516615</v>
      </c>
    </row>
    <row r="33" spans="1:8" x14ac:dyDescent="0.15">
      <c r="A33" s="63">
        <v>46076</v>
      </c>
      <c r="B33" s="38"/>
      <c r="C33" s="36"/>
      <c r="D33" s="33"/>
      <c r="E33" s="47"/>
      <c r="F33" s="10">
        <f t="shared" si="1"/>
        <v>16665</v>
      </c>
      <c r="G33" s="11">
        <f t="shared" si="0"/>
        <v>516615</v>
      </c>
    </row>
    <row r="34" spans="1:8" x14ac:dyDescent="0.15">
      <c r="A34" s="63">
        <v>46077</v>
      </c>
      <c r="B34" s="38"/>
      <c r="C34" s="36"/>
      <c r="D34" s="33"/>
      <c r="E34" s="47"/>
      <c r="F34" s="10">
        <f t="shared" si="1"/>
        <v>16665</v>
      </c>
      <c r="G34" s="11">
        <f t="shared" si="0"/>
        <v>516615</v>
      </c>
    </row>
    <row r="35" spans="1:8" x14ac:dyDescent="0.15">
      <c r="A35" s="63">
        <v>46078</v>
      </c>
      <c r="B35" s="41"/>
      <c r="C35" s="36"/>
      <c r="D35" s="33"/>
      <c r="E35" s="47"/>
      <c r="F35" s="10">
        <f t="shared" si="1"/>
        <v>16665</v>
      </c>
      <c r="G35" s="11">
        <f t="shared" si="0"/>
        <v>516615</v>
      </c>
    </row>
    <row r="36" spans="1:8" ht="13.5" customHeight="1" x14ac:dyDescent="0.15">
      <c r="A36" s="63">
        <v>46079</v>
      </c>
      <c r="B36" s="38"/>
      <c r="C36" s="36"/>
      <c r="D36" s="32"/>
      <c r="E36" s="47"/>
      <c r="F36" s="10">
        <f t="shared" si="1"/>
        <v>16665</v>
      </c>
      <c r="G36" s="11">
        <f t="shared" si="0"/>
        <v>516615</v>
      </c>
    </row>
    <row r="37" spans="1:8" x14ac:dyDescent="0.15">
      <c r="A37" s="63">
        <v>46080</v>
      </c>
      <c r="B37" s="38"/>
      <c r="C37" s="36"/>
      <c r="D37" s="32"/>
      <c r="E37" s="47"/>
      <c r="F37" s="10">
        <f t="shared" si="1"/>
        <v>16665</v>
      </c>
      <c r="G37" s="11">
        <f t="shared" si="0"/>
        <v>516615</v>
      </c>
    </row>
    <row r="38" spans="1:8" x14ac:dyDescent="0.15">
      <c r="A38" s="63">
        <v>46081</v>
      </c>
      <c r="B38" s="41"/>
      <c r="C38" s="36"/>
      <c r="D38" s="32"/>
      <c r="E38" s="47"/>
      <c r="F38" s="10">
        <f t="shared" si="1"/>
        <v>16665</v>
      </c>
      <c r="G38" s="11">
        <f t="shared" si="0"/>
        <v>516615</v>
      </c>
    </row>
    <row r="39" spans="1:8" x14ac:dyDescent="0.15">
      <c r="A39" s="63"/>
      <c r="B39" s="38"/>
      <c r="C39" s="36"/>
      <c r="D39" s="32"/>
      <c r="E39" s="47"/>
      <c r="F39" s="10"/>
      <c r="G39" s="11">
        <f t="shared" si="0"/>
        <v>0</v>
      </c>
    </row>
    <row r="40" spans="1:8" x14ac:dyDescent="0.15">
      <c r="A40" s="63"/>
      <c r="B40" s="38"/>
      <c r="C40" s="36"/>
      <c r="D40" s="32"/>
      <c r="E40" s="47"/>
      <c r="F40" s="10"/>
      <c r="G40" s="11">
        <f t="shared" si="0"/>
        <v>0</v>
      </c>
    </row>
    <row r="41" spans="1:8" ht="13" thickBot="1" x14ac:dyDescent="0.2">
      <c r="A41" s="63"/>
      <c r="B41" s="76"/>
      <c r="C41" s="77"/>
      <c r="D41" s="78"/>
      <c r="E41" s="79"/>
      <c r="F41" s="80"/>
      <c r="G41" s="81"/>
    </row>
    <row r="42" spans="1:8" ht="13" thickBot="1" x14ac:dyDescent="0.2">
      <c r="A42" s="82"/>
      <c r="B42" s="83" t="s">
        <v>13</v>
      </c>
      <c r="C42" s="84">
        <f>SUM(C11:C41)</f>
        <v>6338</v>
      </c>
      <c r="D42" s="85"/>
      <c r="E42" s="86">
        <f>SUM(E10:E41)</f>
        <v>6326</v>
      </c>
      <c r="F42" s="87">
        <f>SUM(F11:F41)</f>
        <v>474882</v>
      </c>
      <c r="G42" s="88">
        <f>SUM(G11:G41)</f>
        <v>14721342</v>
      </c>
    </row>
    <row r="43" spans="1:8" x14ac:dyDescent="0.15">
      <c r="A43" s="71"/>
      <c r="B43" s="74"/>
      <c r="C43" s="72"/>
      <c r="D43" s="72"/>
      <c r="E43" s="72"/>
      <c r="F43" s="72"/>
      <c r="G43" s="73"/>
    </row>
    <row r="44" spans="1:8" x14ac:dyDescent="0.15">
      <c r="A44" s="71"/>
      <c r="B44" s="74"/>
      <c r="C44" s="72"/>
      <c r="D44" s="72"/>
      <c r="E44" s="72"/>
      <c r="F44" s="72"/>
      <c r="G44" s="73"/>
    </row>
    <row r="45" spans="1:8" ht="12" customHeight="1" x14ac:dyDescent="0.15">
      <c r="B45" s="89" t="s">
        <v>35</v>
      </c>
      <c r="C45" s="12">
        <f>C42*F51</f>
        <v>697180</v>
      </c>
      <c r="D45" s="12" t="s">
        <v>36</v>
      </c>
      <c r="E45" s="12">
        <f>E42*F52</f>
        <v>695860</v>
      </c>
    </row>
    <row r="46" spans="1:8" x14ac:dyDescent="0.15">
      <c r="B46" s="90"/>
      <c r="C46" s="91"/>
      <c r="D46" s="91"/>
      <c r="E46" s="91"/>
    </row>
    <row r="47" spans="1:8" x14ac:dyDescent="0.15">
      <c r="B47" s="92" t="s">
        <v>37</v>
      </c>
      <c r="C47" s="93">
        <f>C45+E45</f>
        <v>1393040</v>
      </c>
      <c r="D47" s="91"/>
      <c r="E47" s="91"/>
    </row>
    <row r="48" spans="1:8" x14ac:dyDescent="0.15">
      <c r="H48" s="14"/>
    </row>
    <row r="49" spans="4:8" ht="13" thickBot="1" x14ac:dyDescent="0.2"/>
    <row r="50" spans="4:8" x14ac:dyDescent="0.15">
      <c r="D50" s="49"/>
      <c r="E50" s="50" t="s">
        <v>10</v>
      </c>
      <c r="F50" s="51" t="s">
        <v>11</v>
      </c>
      <c r="G50" s="52" t="s">
        <v>12</v>
      </c>
    </row>
    <row r="51" spans="4:8" ht="25.5" customHeight="1" x14ac:dyDescent="0.15">
      <c r="D51" s="41" t="s">
        <v>2</v>
      </c>
      <c r="E51" s="12">
        <f>C42</f>
        <v>6338</v>
      </c>
      <c r="F51" s="13">
        <v>110</v>
      </c>
      <c r="G51" s="66">
        <f>E51*F51</f>
        <v>697180</v>
      </c>
    </row>
    <row r="52" spans="4:8" x14ac:dyDescent="0.15">
      <c r="D52" s="41" t="s">
        <v>3</v>
      </c>
      <c r="E52" s="12">
        <f>E42</f>
        <v>6326</v>
      </c>
      <c r="F52" s="13">
        <v>110</v>
      </c>
      <c r="G52" s="66">
        <f t="shared" ref="G52:G53" si="2">E52*F52</f>
        <v>695860</v>
      </c>
      <c r="H52" s="14"/>
    </row>
    <row r="53" spans="4:8" ht="20.25" customHeight="1" x14ac:dyDescent="0.15">
      <c r="D53" s="67" t="s">
        <v>9</v>
      </c>
      <c r="E53" s="68">
        <f>F42</f>
        <v>474882</v>
      </c>
      <c r="F53" s="69">
        <v>31</v>
      </c>
      <c r="G53" s="70">
        <f t="shared" si="2"/>
        <v>14721342</v>
      </c>
      <c r="H53" s="15"/>
    </row>
    <row r="54" spans="4:8" ht="13.5" customHeight="1" x14ac:dyDescent="0.15">
      <c r="D54" s="41"/>
      <c r="E54" s="12"/>
      <c r="F54" s="13"/>
      <c r="G54" s="53"/>
    </row>
    <row r="55" spans="4:8" ht="11.25" customHeight="1" x14ac:dyDescent="0.15">
      <c r="D55" s="54" t="s">
        <v>18</v>
      </c>
      <c r="E55" s="12">
        <v>211</v>
      </c>
      <c r="F55" s="13">
        <v>900</v>
      </c>
      <c r="G55" s="53">
        <f>F55*E55</f>
        <v>189900</v>
      </c>
    </row>
    <row r="56" spans="4:8" ht="13" thickBot="1" x14ac:dyDescent="0.2">
      <c r="D56" s="55"/>
      <c r="E56" s="56"/>
      <c r="F56" s="57"/>
      <c r="G56" s="58"/>
    </row>
    <row r="57" spans="4:8" ht="13" thickBot="1" x14ac:dyDescent="0.2">
      <c r="D57" s="59"/>
      <c r="E57" s="60"/>
      <c r="F57" s="62" t="s">
        <v>37</v>
      </c>
      <c r="G57" s="61">
        <f>SUM(G51:G56)</f>
        <v>16304282</v>
      </c>
    </row>
    <row r="58" spans="4:8" ht="12.75" customHeight="1" x14ac:dyDescent="0.15">
      <c r="E58" s="16"/>
      <c r="F58" s="17"/>
      <c r="G58" s="18"/>
    </row>
  </sheetData>
  <mergeCells count="5">
    <mergeCell ref="A8:A9"/>
    <mergeCell ref="B8:C8"/>
    <mergeCell ref="D8:E8"/>
    <mergeCell ref="F8:F9"/>
    <mergeCell ref="G8:G9"/>
  </mergeCells>
  <pageMargins left="0.23622047244094491" right="0.23622047244094491" top="0.74803149606299213" bottom="0.74803149606299213" header="0.31496062992125984" footer="0.31496062992125984"/>
  <pageSetup paperSize="9" scale="57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8DEEC-0EF0-6442-BBAA-DFF2C4327CB6}">
  <dimension ref="A1:G58"/>
  <sheetViews>
    <sheetView showGridLines="0" zoomScale="130" zoomScaleNormal="130" zoomScaleSheetLayoutView="100" workbookViewId="0">
      <selection activeCell="I55" sqref="I55"/>
    </sheetView>
  </sheetViews>
  <sheetFormatPr baseColWidth="10" defaultColWidth="9" defaultRowHeight="12" x14ac:dyDescent="0.15"/>
  <cols>
    <col min="1" max="1" width="10.5" style="5" bestFit="1" customWidth="1"/>
    <col min="2" max="2" width="26.5" style="2" bestFit="1" customWidth="1"/>
    <col min="3" max="3" width="11.1640625" style="2" bestFit="1" customWidth="1"/>
    <col min="4" max="4" width="17" style="2" bestFit="1" customWidth="1"/>
    <col min="5" max="5" width="13" style="2" customWidth="1"/>
    <col min="6" max="6" width="25.5" style="3" bestFit="1" customWidth="1"/>
    <col min="7" max="7" width="14.33203125" style="4" bestFit="1" customWidth="1"/>
    <col min="8" max="16384" width="9" style="2"/>
  </cols>
  <sheetData>
    <row r="1" spans="1:7" x14ac:dyDescent="0.15">
      <c r="A1" s="1"/>
    </row>
    <row r="3" spans="1:7" x14ac:dyDescent="0.15">
      <c r="A3" s="6"/>
      <c r="B3" s="7"/>
      <c r="E3" s="8"/>
    </row>
    <row r="4" spans="1:7" ht="13" thickBot="1" x14ac:dyDescent="0.2">
      <c r="A4" s="6"/>
      <c r="B4" s="7"/>
      <c r="E4" s="7"/>
      <c r="F4" s="2"/>
      <c r="G4" s="2"/>
    </row>
    <row r="5" spans="1:7" ht="13" thickBot="1" x14ac:dyDescent="0.2">
      <c r="A5" s="2"/>
      <c r="B5" s="29" t="s">
        <v>14</v>
      </c>
      <c r="E5" s="7"/>
      <c r="F5" s="2"/>
      <c r="G5" s="2"/>
    </row>
    <row r="6" spans="1:7" x14ac:dyDescent="0.15">
      <c r="A6" s="27" t="s">
        <v>15</v>
      </c>
      <c r="B6" s="30">
        <v>46082</v>
      </c>
      <c r="E6" s="7"/>
      <c r="F6" s="2"/>
      <c r="G6" s="2"/>
    </row>
    <row r="7" spans="1:7" ht="12" customHeight="1" thickBot="1" x14ac:dyDescent="0.2">
      <c r="A7" s="28" t="s">
        <v>16</v>
      </c>
      <c r="B7" s="31">
        <v>46112</v>
      </c>
      <c r="F7" s="2"/>
      <c r="G7" s="9"/>
    </row>
    <row r="8" spans="1:7" ht="13" thickBot="1" x14ac:dyDescent="0.2">
      <c r="A8" s="101"/>
      <c r="B8" s="103" t="s">
        <v>2</v>
      </c>
      <c r="C8" s="104"/>
      <c r="D8" s="103" t="s">
        <v>3</v>
      </c>
      <c r="E8" s="105"/>
      <c r="F8" s="106" t="s">
        <v>0</v>
      </c>
      <c r="G8" s="108" t="s">
        <v>17</v>
      </c>
    </row>
    <row r="9" spans="1:7" ht="15" customHeight="1" thickBot="1" x14ac:dyDescent="0.2">
      <c r="A9" s="102"/>
      <c r="B9" s="19" t="s">
        <v>6</v>
      </c>
      <c r="C9" s="20" t="s">
        <v>4</v>
      </c>
      <c r="D9" s="21" t="s">
        <v>8</v>
      </c>
      <c r="E9" s="22" t="s">
        <v>1</v>
      </c>
      <c r="F9" s="107"/>
      <c r="G9" s="109"/>
    </row>
    <row r="10" spans="1:7" ht="14.25" customHeight="1" thickBot="1" x14ac:dyDescent="0.2">
      <c r="A10" s="48" t="s">
        <v>5</v>
      </c>
      <c r="B10" s="42" t="s">
        <v>7</v>
      </c>
      <c r="C10" s="43"/>
      <c r="D10" s="43"/>
      <c r="E10" s="44"/>
      <c r="F10" s="25">
        <v>16665</v>
      </c>
      <c r="G10" s="26"/>
    </row>
    <row r="11" spans="1:7" ht="13.5" customHeight="1" x14ac:dyDescent="0.15">
      <c r="A11" s="63">
        <v>46082</v>
      </c>
      <c r="B11" s="35"/>
      <c r="C11" s="65"/>
      <c r="D11" s="46"/>
      <c r="E11" s="47"/>
      <c r="F11" s="23">
        <f>F10+C11-E11</f>
        <v>16665</v>
      </c>
      <c r="G11" s="24">
        <f t="shared" ref="G11:G41" si="0">F11*$F$53</f>
        <v>516615</v>
      </c>
    </row>
    <row r="12" spans="1:7" ht="14.25" customHeight="1" x14ac:dyDescent="0.15">
      <c r="A12" s="63">
        <v>46083</v>
      </c>
      <c r="B12" s="38"/>
      <c r="C12" s="5">
        <f>1375+278</f>
        <v>1653</v>
      </c>
      <c r="D12" s="32"/>
      <c r="E12" s="47">
        <v>851</v>
      </c>
      <c r="F12" s="23">
        <f>F11+C12-E12</f>
        <v>17467</v>
      </c>
      <c r="G12" s="11">
        <f t="shared" si="0"/>
        <v>541477</v>
      </c>
    </row>
    <row r="13" spans="1:7" ht="13.5" customHeight="1" x14ac:dyDescent="0.15">
      <c r="A13" s="63">
        <v>46084</v>
      </c>
      <c r="B13" s="35" t="s">
        <v>38</v>
      </c>
      <c r="C13" s="65">
        <v>54</v>
      </c>
      <c r="D13" s="32"/>
      <c r="E13" s="47">
        <v>502</v>
      </c>
      <c r="F13" s="23">
        <f t="shared" ref="F13:F41" si="1">F12+C13-E13</f>
        <v>17019</v>
      </c>
      <c r="G13" s="11">
        <f t="shared" si="0"/>
        <v>527589</v>
      </c>
    </row>
    <row r="14" spans="1:7" x14ac:dyDescent="0.15">
      <c r="A14" s="63">
        <v>46085</v>
      </c>
      <c r="B14" s="38"/>
      <c r="C14" s="65"/>
      <c r="D14" s="32"/>
      <c r="E14" s="47">
        <v>342</v>
      </c>
      <c r="F14" s="23">
        <f t="shared" si="1"/>
        <v>16677</v>
      </c>
      <c r="G14" s="11">
        <f t="shared" si="0"/>
        <v>516987</v>
      </c>
    </row>
    <row r="15" spans="1:7" x14ac:dyDescent="0.15">
      <c r="A15" s="63">
        <v>46086</v>
      </c>
      <c r="B15" s="37"/>
      <c r="C15" s="65">
        <v>1428</v>
      </c>
      <c r="D15" s="32"/>
      <c r="E15" s="47">
        <v>435</v>
      </c>
      <c r="F15" s="23">
        <f t="shared" si="1"/>
        <v>17670</v>
      </c>
      <c r="G15" s="11">
        <f t="shared" si="0"/>
        <v>547770</v>
      </c>
    </row>
    <row r="16" spans="1:7" x14ac:dyDescent="0.15">
      <c r="A16" s="63">
        <v>46087</v>
      </c>
      <c r="B16" s="38"/>
      <c r="C16" s="65"/>
      <c r="D16" s="32"/>
      <c r="E16" s="47"/>
      <c r="F16" s="23">
        <f t="shared" si="1"/>
        <v>17670</v>
      </c>
      <c r="G16" s="11">
        <f t="shared" si="0"/>
        <v>547770</v>
      </c>
    </row>
    <row r="17" spans="1:7" x14ac:dyDescent="0.15">
      <c r="A17" s="63">
        <v>46088</v>
      </c>
      <c r="B17" s="39"/>
      <c r="C17" s="65"/>
      <c r="D17" s="32"/>
      <c r="E17" s="47"/>
      <c r="F17" s="23">
        <f t="shared" si="1"/>
        <v>17670</v>
      </c>
      <c r="G17" s="11">
        <f t="shared" si="0"/>
        <v>547770</v>
      </c>
    </row>
    <row r="18" spans="1:7" x14ac:dyDescent="0.15">
      <c r="A18" s="63">
        <v>46089</v>
      </c>
      <c r="B18" s="38"/>
      <c r="C18" s="65"/>
      <c r="D18" s="32"/>
      <c r="E18" s="47"/>
      <c r="F18" s="23">
        <f t="shared" si="1"/>
        <v>17670</v>
      </c>
      <c r="G18" s="11">
        <f t="shared" si="0"/>
        <v>547770</v>
      </c>
    </row>
    <row r="19" spans="1:7" ht="13.5" customHeight="1" x14ac:dyDescent="0.15">
      <c r="A19" s="63">
        <v>46090</v>
      </c>
      <c r="B19" s="38"/>
      <c r="C19" s="65"/>
      <c r="D19" s="33"/>
      <c r="E19" s="47"/>
      <c r="F19" s="23">
        <f t="shared" si="1"/>
        <v>17670</v>
      </c>
      <c r="G19" s="11">
        <f t="shared" si="0"/>
        <v>547770</v>
      </c>
    </row>
    <row r="20" spans="1:7" x14ac:dyDescent="0.15">
      <c r="A20" s="63">
        <v>46091</v>
      </c>
      <c r="B20" s="37"/>
      <c r="C20" s="65"/>
      <c r="D20" s="33"/>
      <c r="E20" s="47">
        <v>1142</v>
      </c>
      <c r="F20" s="23">
        <f t="shared" si="1"/>
        <v>16528</v>
      </c>
      <c r="G20" s="11">
        <f t="shared" si="0"/>
        <v>512368</v>
      </c>
    </row>
    <row r="21" spans="1:7" x14ac:dyDescent="0.15">
      <c r="A21" s="63">
        <v>46092</v>
      </c>
      <c r="B21" s="40"/>
      <c r="C21" s="65"/>
      <c r="D21" s="33"/>
      <c r="E21" s="47">
        <v>723</v>
      </c>
      <c r="F21" s="23">
        <f t="shared" si="1"/>
        <v>15805</v>
      </c>
      <c r="G21" s="11">
        <f t="shared" si="0"/>
        <v>489955</v>
      </c>
    </row>
    <row r="22" spans="1:7" x14ac:dyDescent="0.15">
      <c r="A22" s="63">
        <v>46093</v>
      </c>
      <c r="B22" s="39"/>
      <c r="C22" s="65"/>
      <c r="D22" s="33"/>
      <c r="E22" s="47">
        <v>666</v>
      </c>
      <c r="F22" s="23">
        <f t="shared" si="1"/>
        <v>15139</v>
      </c>
      <c r="G22" s="11">
        <f t="shared" si="0"/>
        <v>469309</v>
      </c>
    </row>
    <row r="23" spans="1:7" x14ac:dyDescent="0.15">
      <c r="A23" s="63">
        <v>46094</v>
      </c>
      <c r="B23" s="38"/>
      <c r="C23" s="65">
        <v>1656</v>
      </c>
      <c r="D23" s="33"/>
      <c r="E23" s="47">
        <v>158</v>
      </c>
      <c r="F23" s="23">
        <f t="shared" si="1"/>
        <v>16637</v>
      </c>
      <c r="G23" s="11">
        <f t="shared" si="0"/>
        <v>515747</v>
      </c>
    </row>
    <row r="24" spans="1:7" x14ac:dyDescent="0.15">
      <c r="A24" s="63">
        <v>46095</v>
      </c>
      <c r="B24" s="38"/>
      <c r="C24" s="65"/>
      <c r="D24" s="33"/>
      <c r="E24" s="47"/>
      <c r="F24" s="23">
        <f t="shared" si="1"/>
        <v>16637</v>
      </c>
      <c r="G24" s="11">
        <f t="shared" si="0"/>
        <v>515747</v>
      </c>
    </row>
    <row r="25" spans="1:7" x14ac:dyDescent="0.15">
      <c r="A25" s="63">
        <v>46096</v>
      </c>
      <c r="B25" s="38"/>
      <c r="C25" s="65"/>
      <c r="D25" s="33"/>
      <c r="E25" s="47"/>
      <c r="F25" s="23">
        <f t="shared" si="1"/>
        <v>16637</v>
      </c>
      <c r="G25" s="11">
        <f t="shared" si="0"/>
        <v>515747</v>
      </c>
    </row>
    <row r="26" spans="1:7" ht="13.5" customHeight="1" x14ac:dyDescent="0.15">
      <c r="A26" s="63">
        <v>46097</v>
      </c>
      <c r="B26" s="38"/>
      <c r="C26" s="65"/>
      <c r="D26" s="33"/>
      <c r="E26" s="47"/>
      <c r="F26" s="23">
        <f t="shared" si="1"/>
        <v>16637</v>
      </c>
      <c r="G26" s="11">
        <f t="shared" si="0"/>
        <v>515747</v>
      </c>
    </row>
    <row r="27" spans="1:7" x14ac:dyDescent="0.15">
      <c r="A27" s="63">
        <v>46098</v>
      </c>
      <c r="B27" s="38"/>
      <c r="C27" s="36"/>
      <c r="D27" s="33"/>
      <c r="E27" s="47">
        <v>985</v>
      </c>
      <c r="F27" s="23">
        <f t="shared" si="1"/>
        <v>15652</v>
      </c>
      <c r="G27" s="11">
        <f t="shared" si="0"/>
        <v>485212</v>
      </c>
    </row>
    <row r="28" spans="1:7" x14ac:dyDescent="0.15">
      <c r="A28" s="63">
        <v>46099</v>
      </c>
      <c r="B28" s="38"/>
      <c r="C28" s="36"/>
      <c r="D28" s="33"/>
      <c r="E28" s="47">
        <v>849</v>
      </c>
      <c r="F28" s="23">
        <f t="shared" si="1"/>
        <v>14803</v>
      </c>
      <c r="G28" s="11">
        <f t="shared" si="0"/>
        <v>458893</v>
      </c>
    </row>
    <row r="29" spans="1:7" x14ac:dyDescent="0.15">
      <c r="A29" s="63">
        <v>46100</v>
      </c>
      <c r="B29" s="38"/>
      <c r="C29" s="65">
        <v>1609</v>
      </c>
      <c r="D29" s="34"/>
      <c r="E29" s="47">
        <v>384</v>
      </c>
      <c r="F29" s="23">
        <f t="shared" si="1"/>
        <v>16028</v>
      </c>
      <c r="G29" s="11">
        <f t="shared" si="0"/>
        <v>496868</v>
      </c>
    </row>
    <row r="30" spans="1:7" x14ac:dyDescent="0.15">
      <c r="A30" s="63">
        <v>46101</v>
      </c>
      <c r="B30" s="38"/>
      <c r="C30" s="36"/>
      <c r="D30" s="33"/>
      <c r="E30" s="47">
        <v>218</v>
      </c>
      <c r="F30" s="23">
        <f t="shared" si="1"/>
        <v>15810</v>
      </c>
      <c r="G30" s="11">
        <f t="shared" si="0"/>
        <v>490110</v>
      </c>
    </row>
    <row r="31" spans="1:7" x14ac:dyDescent="0.15">
      <c r="A31" s="63">
        <v>46102</v>
      </c>
      <c r="B31" s="37"/>
      <c r="C31" s="36"/>
      <c r="D31" s="33"/>
      <c r="E31" s="47"/>
      <c r="F31" s="23">
        <f t="shared" si="1"/>
        <v>15810</v>
      </c>
      <c r="G31" s="11">
        <f t="shared" si="0"/>
        <v>490110</v>
      </c>
    </row>
    <row r="32" spans="1:7" x14ac:dyDescent="0.15">
      <c r="A32" s="63">
        <v>46103</v>
      </c>
      <c r="B32" s="38"/>
      <c r="C32" s="36"/>
      <c r="D32" s="33"/>
      <c r="E32" s="47"/>
      <c r="F32" s="23">
        <f t="shared" si="1"/>
        <v>15810</v>
      </c>
      <c r="G32" s="11">
        <f t="shared" si="0"/>
        <v>490110</v>
      </c>
    </row>
    <row r="33" spans="1:7" x14ac:dyDescent="0.15">
      <c r="A33" s="63">
        <v>46104</v>
      </c>
      <c r="B33" s="38"/>
      <c r="C33" s="36"/>
      <c r="D33" s="33"/>
      <c r="E33" s="47"/>
      <c r="F33" s="23">
        <f t="shared" si="1"/>
        <v>15810</v>
      </c>
      <c r="G33" s="11">
        <f t="shared" si="0"/>
        <v>490110</v>
      </c>
    </row>
    <row r="34" spans="1:7" x14ac:dyDescent="0.15">
      <c r="A34" s="63">
        <v>46105</v>
      </c>
      <c r="B34" s="38"/>
      <c r="C34" s="36"/>
      <c r="D34" s="33"/>
      <c r="E34" s="47"/>
      <c r="F34" s="23">
        <f t="shared" si="1"/>
        <v>15810</v>
      </c>
      <c r="G34" s="11">
        <f t="shared" si="0"/>
        <v>490110</v>
      </c>
    </row>
    <row r="35" spans="1:7" x14ac:dyDescent="0.15">
      <c r="A35" s="63">
        <v>46106</v>
      </c>
      <c r="B35" s="41"/>
      <c r="C35" s="36"/>
      <c r="D35" s="33"/>
      <c r="E35" s="47"/>
      <c r="F35" s="23">
        <f t="shared" si="1"/>
        <v>15810</v>
      </c>
      <c r="G35" s="11">
        <f t="shared" si="0"/>
        <v>490110</v>
      </c>
    </row>
    <row r="36" spans="1:7" ht="13.5" customHeight="1" x14ac:dyDescent="0.15">
      <c r="A36" s="63">
        <v>46107</v>
      </c>
      <c r="B36" s="38"/>
      <c r="C36" s="36"/>
      <c r="D36" s="32"/>
      <c r="E36" s="47">
        <v>1230</v>
      </c>
      <c r="F36" s="23">
        <f t="shared" si="1"/>
        <v>14580</v>
      </c>
      <c r="G36" s="11">
        <f t="shared" si="0"/>
        <v>451980</v>
      </c>
    </row>
    <row r="37" spans="1:7" x14ac:dyDescent="0.15">
      <c r="A37" s="63">
        <v>46108</v>
      </c>
      <c r="B37" s="38"/>
      <c r="C37" s="95">
        <f>1478+1332</f>
        <v>2810</v>
      </c>
      <c r="D37" s="32"/>
      <c r="E37" s="47">
        <v>1033</v>
      </c>
      <c r="F37" s="23">
        <f t="shared" si="1"/>
        <v>16357</v>
      </c>
      <c r="G37" s="11">
        <f t="shared" si="0"/>
        <v>507067</v>
      </c>
    </row>
    <row r="38" spans="1:7" x14ac:dyDescent="0.15">
      <c r="A38" s="63">
        <v>46109</v>
      </c>
      <c r="B38" s="41"/>
      <c r="C38" s="36"/>
      <c r="D38" s="32"/>
      <c r="E38" s="47"/>
      <c r="F38" s="23">
        <f t="shared" si="1"/>
        <v>16357</v>
      </c>
      <c r="G38" s="11">
        <f t="shared" si="0"/>
        <v>507067</v>
      </c>
    </row>
    <row r="39" spans="1:7" x14ac:dyDescent="0.15">
      <c r="A39" s="63">
        <v>46110</v>
      </c>
      <c r="B39" s="38"/>
      <c r="C39" s="36"/>
      <c r="D39" s="32"/>
      <c r="E39" s="47"/>
      <c r="F39" s="23">
        <f t="shared" si="1"/>
        <v>16357</v>
      </c>
      <c r="G39" s="11">
        <f t="shared" si="0"/>
        <v>507067</v>
      </c>
    </row>
    <row r="40" spans="1:7" x14ac:dyDescent="0.15">
      <c r="A40" s="63">
        <v>46111</v>
      </c>
      <c r="B40" s="38"/>
      <c r="C40" s="36"/>
      <c r="D40" s="32"/>
      <c r="E40" s="47">
        <v>1003</v>
      </c>
      <c r="F40" s="23">
        <f t="shared" si="1"/>
        <v>15354</v>
      </c>
      <c r="G40" s="11">
        <f t="shared" si="0"/>
        <v>475974</v>
      </c>
    </row>
    <row r="41" spans="1:7" ht="13" thickBot="1" x14ac:dyDescent="0.2">
      <c r="A41" s="63">
        <v>46112</v>
      </c>
      <c r="B41" s="76"/>
      <c r="C41" s="96">
        <v>216</v>
      </c>
      <c r="D41" s="78"/>
      <c r="E41" s="79">
        <f>537+216</f>
        <v>753</v>
      </c>
      <c r="F41" s="23">
        <f t="shared" si="1"/>
        <v>14817</v>
      </c>
      <c r="G41" s="11">
        <f t="shared" si="0"/>
        <v>459327</v>
      </c>
    </row>
    <row r="42" spans="1:7" ht="13" thickBot="1" x14ac:dyDescent="0.2">
      <c r="A42" s="82"/>
      <c r="B42" s="83" t="s">
        <v>13</v>
      </c>
      <c r="C42" s="84">
        <f>SUM(C11:C41)</f>
        <v>9426</v>
      </c>
      <c r="D42" s="85"/>
      <c r="E42" s="86">
        <f>SUM(E10:E41)</f>
        <v>11274</v>
      </c>
      <c r="F42" s="87">
        <f>SUM(F11:F41)</f>
        <v>505363</v>
      </c>
      <c r="G42" s="88">
        <f>SUM(G11:G41)</f>
        <v>15666253</v>
      </c>
    </row>
    <row r="43" spans="1:7" x14ac:dyDescent="0.15">
      <c r="A43" s="71"/>
      <c r="B43" s="74"/>
      <c r="C43" s="72"/>
      <c r="D43" s="72"/>
      <c r="E43" s="72"/>
      <c r="F43" s="72"/>
      <c r="G43" s="73"/>
    </row>
    <row r="44" spans="1:7" x14ac:dyDescent="0.15">
      <c r="A44" s="71"/>
      <c r="B44" s="74"/>
      <c r="C44" s="72"/>
      <c r="D44" s="72"/>
      <c r="E44" s="72"/>
      <c r="F44" s="72"/>
      <c r="G44" s="73"/>
    </row>
    <row r="45" spans="1:7" ht="12" customHeight="1" x14ac:dyDescent="0.15">
      <c r="B45" s="89" t="s">
        <v>35</v>
      </c>
      <c r="C45" s="12">
        <f>C42*F51</f>
        <v>1036860</v>
      </c>
      <c r="D45" s="12" t="s">
        <v>36</v>
      </c>
      <c r="E45" s="12">
        <f>E42*F52</f>
        <v>1240140</v>
      </c>
    </row>
    <row r="46" spans="1:7" x14ac:dyDescent="0.15">
      <c r="B46" s="90"/>
      <c r="C46" s="91"/>
      <c r="D46" s="91"/>
      <c r="E46" s="91"/>
    </row>
    <row r="47" spans="1:7" x14ac:dyDescent="0.15">
      <c r="B47" s="92" t="s">
        <v>37</v>
      </c>
      <c r="C47" s="93">
        <f>C45+E45</f>
        <v>2277000</v>
      </c>
      <c r="D47" s="91"/>
      <c r="E47" s="91"/>
    </row>
    <row r="49" spans="4:7" ht="13" thickBot="1" x14ac:dyDescent="0.2"/>
    <row r="50" spans="4:7" x14ac:dyDescent="0.15">
      <c r="D50" s="49"/>
      <c r="E50" s="50" t="s">
        <v>10</v>
      </c>
      <c r="F50" s="51" t="s">
        <v>11</v>
      </c>
      <c r="G50" s="52" t="s">
        <v>12</v>
      </c>
    </row>
    <row r="51" spans="4:7" ht="25.5" customHeight="1" x14ac:dyDescent="0.15">
      <c r="D51" s="41" t="s">
        <v>2</v>
      </c>
      <c r="E51" s="12">
        <f>C42</f>
        <v>9426</v>
      </c>
      <c r="F51" s="13">
        <v>110</v>
      </c>
      <c r="G51" s="66">
        <f>E51*F51</f>
        <v>1036860</v>
      </c>
    </row>
    <row r="52" spans="4:7" x14ac:dyDescent="0.15">
      <c r="D52" s="41" t="s">
        <v>3</v>
      </c>
      <c r="E52" s="12">
        <f>E42</f>
        <v>11274</v>
      </c>
      <c r="F52" s="13">
        <v>110</v>
      </c>
      <c r="G52" s="66">
        <f t="shared" ref="G52:G53" si="2">E52*F52</f>
        <v>1240140</v>
      </c>
    </row>
    <row r="53" spans="4:7" ht="20.25" customHeight="1" x14ac:dyDescent="0.15">
      <c r="D53" s="41" t="s">
        <v>9</v>
      </c>
      <c r="E53" s="97">
        <f>F42</f>
        <v>505363</v>
      </c>
      <c r="F53" s="98">
        <v>31</v>
      </c>
      <c r="G53" s="66">
        <f t="shared" si="2"/>
        <v>15666253</v>
      </c>
    </row>
    <row r="54" spans="4:7" ht="13.5" customHeight="1" x14ac:dyDescent="0.15">
      <c r="D54" s="41"/>
      <c r="E54" s="12"/>
      <c r="F54" s="13"/>
      <c r="G54" s="53"/>
    </row>
    <row r="55" spans="4:7" ht="11.25" customHeight="1" x14ac:dyDescent="0.15">
      <c r="D55" s="54" t="s">
        <v>18</v>
      </c>
      <c r="E55" s="12">
        <v>347</v>
      </c>
      <c r="F55" s="13">
        <v>900</v>
      </c>
      <c r="G55" s="53">
        <f>F55*E55</f>
        <v>312300</v>
      </c>
    </row>
    <row r="56" spans="4:7" ht="13" thickBot="1" x14ac:dyDescent="0.2">
      <c r="D56" s="55"/>
      <c r="E56" s="56"/>
      <c r="F56" s="57"/>
      <c r="G56" s="58"/>
    </row>
    <row r="57" spans="4:7" ht="13" thickBot="1" x14ac:dyDescent="0.2">
      <c r="D57" s="59"/>
      <c r="E57" s="60"/>
      <c r="F57" s="62" t="s">
        <v>37</v>
      </c>
      <c r="G57" s="61">
        <f>SUM(G51:G56)</f>
        <v>18255553</v>
      </c>
    </row>
    <row r="58" spans="4:7" ht="12.75" customHeight="1" x14ac:dyDescent="0.15">
      <c r="E58" s="16"/>
      <c r="F58" s="17"/>
      <c r="G58" s="18"/>
    </row>
  </sheetData>
  <mergeCells count="5">
    <mergeCell ref="A8:A9"/>
    <mergeCell ref="B8:C8"/>
    <mergeCell ref="D8:E8"/>
    <mergeCell ref="F8:F9"/>
    <mergeCell ref="G8:G9"/>
  </mergeCells>
  <pageMargins left="0.23622047244094491" right="0.23622047244094491" top="0.74803149606299213" bottom="0.74803149606299213" header="0.31496062992125984" footer="0.31496062992125984"/>
  <pageSetup paperSize="9" scale="57" orientation="landscape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81EAB-CF67-044C-92AA-CD778D9245AD}">
  <dimension ref="A1:G58"/>
  <sheetViews>
    <sheetView showGridLines="0" topLeftCell="A29" zoomScale="130" zoomScaleNormal="130" zoomScaleSheetLayoutView="100" workbookViewId="0">
      <selection activeCell="K46" sqref="K46"/>
    </sheetView>
  </sheetViews>
  <sheetFormatPr baseColWidth="10" defaultColWidth="9" defaultRowHeight="12" x14ac:dyDescent="0.15"/>
  <cols>
    <col min="1" max="1" width="10.5" style="5" bestFit="1" customWidth="1"/>
    <col min="2" max="2" width="44.1640625" style="2" customWidth="1"/>
    <col min="3" max="3" width="11.1640625" style="2" bestFit="1" customWidth="1"/>
    <col min="4" max="4" width="17" style="2" bestFit="1" customWidth="1"/>
    <col min="5" max="5" width="13" style="2" customWidth="1"/>
    <col min="6" max="6" width="25.5" style="3" bestFit="1" customWidth="1"/>
    <col min="7" max="7" width="14.33203125" style="4" bestFit="1" customWidth="1"/>
    <col min="8" max="16384" width="9" style="2"/>
  </cols>
  <sheetData>
    <row r="1" spans="1:7" x14ac:dyDescent="0.15">
      <c r="A1" s="1"/>
    </row>
    <row r="3" spans="1:7" x14ac:dyDescent="0.15">
      <c r="A3" s="6"/>
      <c r="B3" s="7"/>
      <c r="E3" s="8"/>
    </row>
    <row r="4" spans="1:7" ht="13" thickBot="1" x14ac:dyDescent="0.2">
      <c r="A4" s="6"/>
      <c r="B4" s="7"/>
      <c r="E4" s="7"/>
      <c r="F4" s="2"/>
      <c r="G4" s="2"/>
    </row>
    <row r="5" spans="1:7" ht="13" thickBot="1" x14ac:dyDescent="0.2">
      <c r="A5" s="2"/>
      <c r="B5" s="29" t="s">
        <v>14</v>
      </c>
      <c r="E5" s="7"/>
      <c r="F5" s="2"/>
      <c r="G5" s="2"/>
    </row>
    <row r="6" spans="1:7" x14ac:dyDescent="0.15">
      <c r="A6" s="27" t="s">
        <v>15</v>
      </c>
      <c r="B6" s="30">
        <v>46082</v>
      </c>
      <c r="E6" s="7"/>
      <c r="F6" s="2"/>
      <c r="G6" s="2"/>
    </row>
    <row r="7" spans="1:7" ht="12" customHeight="1" thickBot="1" x14ac:dyDescent="0.2">
      <c r="A7" s="28" t="s">
        <v>16</v>
      </c>
      <c r="B7" s="31">
        <v>46112</v>
      </c>
      <c r="F7" s="2"/>
      <c r="G7" s="9"/>
    </row>
    <row r="8" spans="1:7" ht="13" thickBot="1" x14ac:dyDescent="0.2">
      <c r="A8" s="101"/>
      <c r="B8" s="103" t="s">
        <v>2</v>
      </c>
      <c r="C8" s="104"/>
      <c r="D8" s="103" t="s">
        <v>3</v>
      </c>
      <c r="E8" s="105"/>
      <c r="F8" s="106" t="s">
        <v>0</v>
      </c>
      <c r="G8" s="108" t="s">
        <v>17</v>
      </c>
    </row>
    <row r="9" spans="1:7" ht="15" customHeight="1" thickBot="1" x14ac:dyDescent="0.2">
      <c r="A9" s="102"/>
      <c r="B9" s="19" t="s">
        <v>6</v>
      </c>
      <c r="C9" s="20" t="s">
        <v>4</v>
      </c>
      <c r="D9" s="21" t="s">
        <v>8</v>
      </c>
      <c r="E9" s="22" t="s">
        <v>1</v>
      </c>
      <c r="F9" s="107"/>
      <c r="G9" s="109"/>
    </row>
    <row r="10" spans="1:7" ht="14.25" customHeight="1" thickBot="1" x14ac:dyDescent="0.2">
      <c r="A10" s="48" t="s">
        <v>5</v>
      </c>
      <c r="B10" s="42" t="s">
        <v>7</v>
      </c>
      <c r="C10" s="43"/>
      <c r="D10" s="43"/>
      <c r="E10" s="44"/>
      <c r="F10" s="25">
        <v>14817</v>
      </c>
      <c r="G10" s="26"/>
    </row>
    <row r="11" spans="1:7" ht="13.5" customHeight="1" x14ac:dyDescent="0.15">
      <c r="A11" s="63">
        <v>46113</v>
      </c>
      <c r="B11" s="35"/>
      <c r="C11" s="65"/>
      <c r="D11" s="46"/>
      <c r="E11" s="47"/>
      <c r="F11" s="23">
        <f>F10+C11-E11</f>
        <v>14817</v>
      </c>
      <c r="G11" s="24">
        <f t="shared" ref="G11:G41" si="0">F11*$F$53</f>
        <v>459327</v>
      </c>
    </row>
    <row r="12" spans="1:7" ht="14.25" customHeight="1" x14ac:dyDescent="0.15">
      <c r="A12" s="63">
        <v>46114</v>
      </c>
      <c r="B12" s="38" t="s">
        <v>40</v>
      </c>
      <c r="C12" s="99">
        <v>1365</v>
      </c>
      <c r="D12" s="32"/>
      <c r="E12" s="47"/>
      <c r="F12" s="23">
        <f>F11+C12-E12</f>
        <v>16182</v>
      </c>
      <c r="G12" s="11">
        <f t="shared" si="0"/>
        <v>501642</v>
      </c>
    </row>
    <row r="13" spans="1:7" ht="13.5" customHeight="1" x14ac:dyDescent="0.15">
      <c r="A13" s="63">
        <v>46115</v>
      </c>
      <c r="B13" s="35" t="s">
        <v>41</v>
      </c>
      <c r="C13" s="65">
        <f>333+760</f>
        <v>1093</v>
      </c>
      <c r="D13" s="32"/>
      <c r="E13" s="47">
        <v>1064</v>
      </c>
      <c r="F13" s="23">
        <f t="shared" ref="F13:F40" si="1">F12+C13-E13</f>
        <v>16211</v>
      </c>
      <c r="G13" s="11">
        <f t="shared" si="0"/>
        <v>502541</v>
      </c>
    </row>
    <row r="14" spans="1:7" x14ac:dyDescent="0.15">
      <c r="A14" s="63">
        <v>46116</v>
      </c>
      <c r="B14" s="38"/>
      <c r="C14" s="65"/>
      <c r="D14" s="32"/>
      <c r="E14" s="47"/>
      <c r="F14" s="23">
        <f t="shared" si="1"/>
        <v>16211</v>
      </c>
      <c r="G14" s="11">
        <f t="shared" si="0"/>
        <v>502541</v>
      </c>
    </row>
    <row r="15" spans="1:7" x14ac:dyDescent="0.15">
      <c r="A15" s="63">
        <v>46117</v>
      </c>
      <c r="B15" s="37"/>
      <c r="C15" s="65"/>
      <c r="D15" s="32"/>
      <c r="E15" s="47"/>
      <c r="F15" s="23">
        <f t="shared" si="1"/>
        <v>16211</v>
      </c>
      <c r="G15" s="11">
        <f t="shared" si="0"/>
        <v>502541</v>
      </c>
    </row>
    <row r="16" spans="1:7" x14ac:dyDescent="0.15">
      <c r="A16" s="63">
        <v>46118</v>
      </c>
      <c r="B16" s="38" t="s">
        <v>42</v>
      </c>
      <c r="C16" s="65">
        <v>1422</v>
      </c>
      <c r="D16" s="32"/>
      <c r="E16" s="47">
        <v>409</v>
      </c>
      <c r="F16" s="23">
        <f t="shared" si="1"/>
        <v>17224</v>
      </c>
      <c r="G16" s="11">
        <f t="shared" si="0"/>
        <v>533944</v>
      </c>
    </row>
    <row r="17" spans="1:7" x14ac:dyDescent="0.15">
      <c r="A17" s="63">
        <v>46119</v>
      </c>
      <c r="B17" s="39"/>
      <c r="C17" s="65"/>
      <c r="D17" s="32"/>
      <c r="E17" s="47"/>
      <c r="F17" s="23">
        <f t="shared" si="1"/>
        <v>17224</v>
      </c>
      <c r="G17" s="11">
        <f t="shared" si="0"/>
        <v>533944</v>
      </c>
    </row>
    <row r="18" spans="1:7" x14ac:dyDescent="0.15">
      <c r="A18" s="63">
        <v>46120</v>
      </c>
      <c r="B18" s="38"/>
      <c r="C18" s="65"/>
      <c r="D18" s="32"/>
      <c r="E18" s="47"/>
      <c r="F18" s="23">
        <f t="shared" si="1"/>
        <v>17224</v>
      </c>
      <c r="G18" s="11">
        <f t="shared" si="0"/>
        <v>533944</v>
      </c>
    </row>
    <row r="19" spans="1:7" ht="13.5" customHeight="1" x14ac:dyDescent="0.15">
      <c r="A19" s="63">
        <v>46121</v>
      </c>
      <c r="B19" s="38"/>
      <c r="C19" s="65"/>
      <c r="D19" s="33"/>
      <c r="E19" s="47"/>
      <c r="F19" s="23">
        <f t="shared" si="1"/>
        <v>17224</v>
      </c>
      <c r="G19" s="11">
        <f t="shared" si="0"/>
        <v>533944</v>
      </c>
    </row>
    <row r="20" spans="1:7" x14ac:dyDescent="0.15">
      <c r="A20" s="63">
        <v>46122</v>
      </c>
      <c r="B20" s="37"/>
      <c r="C20" s="65"/>
      <c r="D20" s="33"/>
      <c r="E20" s="47"/>
      <c r="F20" s="23">
        <f t="shared" si="1"/>
        <v>17224</v>
      </c>
      <c r="G20" s="11">
        <f t="shared" si="0"/>
        <v>533944</v>
      </c>
    </row>
    <row r="21" spans="1:7" x14ac:dyDescent="0.15">
      <c r="A21" s="63">
        <v>46123</v>
      </c>
      <c r="B21" s="40"/>
      <c r="C21" s="65"/>
      <c r="D21" s="33"/>
      <c r="E21" s="47"/>
      <c r="F21" s="23">
        <f t="shared" si="1"/>
        <v>17224</v>
      </c>
      <c r="G21" s="11">
        <f t="shared" si="0"/>
        <v>533944</v>
      </c>
    </row>
    <row r="22" spans="1:7" x14ac:dyDescent="0.15">
      <c r="A22" s="63">
        <v>46124</v>
      </c>
      <c r="B22" s="39"/>
      <c r="C22" s="65"/>
      <c r="D22" s="33"/>
      <c r="E22" s="47"/>
      <c r="F22" s="23">
        <f t="shared" si="1"/>
        <v>17224</v>
      </c>
      <c r="G22" s="11">
        <f t="shared" si="0"/>
        <v>533944</v>
      </c>
    </row>
    <row r="23" spans="1:7" x14ac:dyDescent="0.15">
      <c r="A23" s="63">
        <v>46125</v>
      </c>
      <c r="B23" s="38" t="s">
        <v>43</v>
      </c>
      <c r="C23" s="65">
        <v>1283</v>
      </c>
      <c r="D23" s="33"/>
      <c r="E23" s="47"/>
      <c r="F23" s="23">
        <f t="shared" si="1"/>
        <v>18507</v>
      </c>
      <c r="G23" s="11">
        <f t="shared" si="0"/>
        <v>573717</v>
      </c>
    </row>
    <row r="24" spans="1:7" x14ac:dyDescent="0.15">
      <c r="A24" s="63">
        <v>46126</v>
      </c>
      <c r="B24" s="38"/>
      <c r="C24" s="65"/>
      <c r="D24" s="33"/>
      <c r="E24" s="47">
        <v>806</v>
      </c>
      <c r="F24" s="23">
        <f t="shared" si="1"/>
        <v>17701</v>
      </c>
      <c r="G24" s="11">
        <f t="shared" si="0"/>
        <v>548731</v>
      </c>
    </row>
    <row r="25" spans="1:7" x14ac:dyDescent="0.15">
      <c r="A25" s="63">
        <v>46127</v>
      </c>
      <c r="B25" s="38"/>
      <c r="C25" s="65"/>
      <c r="D25" s="33"/>
      <c r="E25" s="47">
        <v>561</v>
      </c>
      <c r="F25" s="23">
        <f t="shared" si="1"/>
        <v>17140</v>
      </c>
      <c r="G25" s="11">
        <f t="shared" si="0"/>
        <v>531340</v>
      </c>
    </row>
    <row r="26" spans="1:7" ht="13.5" customHeight="1" x14ac:dyDescent="0.15">
      <c r="A26" s="63">
        <v>46128</v>
      </c>
      <c r="B26" s="38"/>
      <c r="C26" s="65"/>
      <c r="D26" s="33"/>
      <c r="E26" s="47"/>
      <c r="F26" s="23">
        <f t="shared" si="1"/>
        <v>17140</v>
      </c>
      <c r="G26" s="11">
        <f t="shared" si="0"/>
        <v>531340</v>
      </c>
    </row>
    <row r="27" spans="1:7" x14ac:dyDescent="0.15">
      <c r="A27" s="63">
        <v>46129</v>
      </c>
      <c r="B27" s="38"/>
      <c r="C27" s="100"/>
      <c r="D27" s="33"/>
      <c r="E27" s="47"/>
      <c r="F27" s="23">
        <f t="shared" si="1"/>
        <v>17140</v>
      </c>
      <c r="G27" s="11">
        <f t="shared" si="0"/>
        <v>531340</v>
      </c>
    </row>
    <row r="28" spans="1:7" x14ac:dyDescent="0.15">
      <c r="A28" s="63">
        <v>46130</v>
      </c>
      <c r="B28" s="38"/>
      <c r="C28" s="100"/>
      <c r="D28" s="33"/>
      <c r="E28" s="47"/>
      <c r="F28" s="23">
        <f t="shared" si="1"/>
        <v>17140</v>
      </c>
      <c r="G28" s="11">
        <f t="shared" si="0"/>
        <v>531340</v>
      </c>
    </row>
    <row r="29" spans="1:7" x14ac:dyDescent="0.15">
      <c r="A29" s="63">
        <v>46131</v>
      </c>
      <c r="B29" s="38"/>
      <c r="C29" s="65"/>
      <c r="D29" s="34"/>
      <c r="E29" s="47"/>
      <c r="F29" s="23">
        <f t="shared" si="1"/>
        <v>17140</v>
      </c>
      <c r="G29" s="11">
        <f t="shared" si="0"/>
        <v>531340</v>
      </c>
    </row>
    <row r="30" spans="1:7" x14ac:dyDescent="0.15">
      <c r="A30" s="63">
        <v>46132</v>
      </c>
      <c r="B30" s="38"/>
      <c r="C30" s="100"/>
      <c r="D30" s="33"/>
      <c r="E30" s="47"/>
      <c r="F30" s="23">
        <f t="shared" si="1"/>
        <v>17140</v>
      </c>
      <c r="G30" s="11">
        <f t="shared" si="0"/>
        <v>531340</v>
      </c>
    </row>
    <row r="31" spans="1:7" x14ac:dyDescent="0.15">
      <c r="A31" s="63">
        <v>46133</v>
      </c>
      <c r="B31" s="37"/>
      <c r="C31" s="100"/>
      <c r="D31" s="33"/>
      <c r="E31" s="47"/>
      <c r="F31" s="23">
        <f t="shared" si="1"/>
        <v>17140</v>
      </c>
      <c r="G31" s="11">
        <f t="shared" si="0"/>
        <v>531340</v>
      </c>
    </row>
    <row r="32" spans="1:7" x14ac:dyDescent="0.15">
      <c r="A32" s="63">
        <v>46134</v>
      </c>
      <c r="B32" s="38" t="s">
        <v>45</v>
      </c>
      <c r="C32" s="65">
        <f>985+1425</f>
        <v>2410</v>
      </c>
      <c r="D32" s="33"/>
      <c r="E32" s="47"/>
      <c r="F32" s="23">
        <f t="shared" si="1"/>
        <v>19550</v>
      </c>
      <c r="G32" s="11">
        <f t="shared" si="0"/>
        <v>606050</v>
      </c>
    </row>
    <row r="33" spans="1:7" x14ac:dyDescent="0.15">
      <c r="A33" s="63">
        <v>46135</v>
      </c>
      <c r="B33" s="38"/>
      <c r="C33" s="36"/>
      <c r="D33" s="33"/>
      <c r="E33" s="47"/>
      <c r="F33" s="23">
        <f t="shared" si="1"/>
        <v>19550</v>
      </c>
      <c r="G33" s="11">
        <f t="shared" si="0"/>
        <v>606050</v>
      </c>
    </row>
    <row r="34" spans="1:7" x14ac:dyDescent="0.15">
      <c r="A34" s="63">
        <v>46136</v>
      </c>
      <c r="B34" s="38"/>
      <c r="C34" s="36"/>
      <c r="D34" s="33"/>
      <c r="E34" s="47"/>
      <c r="F34" s="23">
        <f t="shared" si="1"/>
        <v>19550</v>
      </c>
      <c r="G34" s="11">
        <f t="shared" si="0"/>
        <v>606050</v>
      </c>
    </row>
    <row r="35" spans="1:7" x14ac:dyDescent="0.15">
      <c r="A35" s="63">
        <v>46137</v>
      </c>
      <c r="B35" s="41"/>
      <c r="C35" s="36"/>
      <c r="D35" s="33"/>
      <c r="E35" s="47"/>
      <c r="F35" s="23">
        <f t="shared" si="1"/>
        <v>19550</v>
      </c>
      <c r="G35" s="11">
        <f t="shared" si="0"/>
        <v>606050</v>
      </c>
    </row>
    <row r="36" spans="1:7" ht="13.5" customHeight="1" x14ac:dyDescent="0.15">
      <c r="A36" s="63">
        <v>46138</v>
      </c>
      <c r="B36" s="38"/>
      <c r="C36" s="36"/>
      <c r="D36" s="32"/>
      <c r="E36" s="47"/>
      <c r="F36" s="23">
        <f t="shared" si="1"/>
        <v>19550</v>
      </c>
      <c r="G36" s="11">
        <f t="shared" si="0"/>
        <v>606050</v>
      </c>
    </row>
    <row r="37" spans="1:7" x14ac:dyDescent="0.15">
      <c r="A37" s="63">
        <v>46139</v>
      </c>
      <c r="B37" s="38"/>
      <c r="C37" s="95"/>
      <c r="D37" s="32"/>
      <c r="E37" s="47"/>
      <c r="F37" s="23">
        <f t="shared" si="1"/>
        <v>19550</v>
      </c>
      <c r="G37" s="11">
        <f t="shared" si="0"/>
        <v>606050</v>
      </c>
    </row>
    <row r="38" spans="1:7" x14ac:dyDescent="0.15">
      <c r="A38" s="63">
        <v>46140</v>
      </c>
      <c r="B38" s="41"/>
      <c r="C38" s="36"/>
      <c r="D38" s="32"/>
      <c r="E38" s="47"/>
      <c r="F38" s="23">
        <f t="shared" si="1"/>
        <v>19550</v>
      </c>
      <c r="G38" s="11">
        <f t="shared" si="0"/>
        <v>606050</v>
      </c>
    </row>
    <row r="39" spans="1:7" x14ac:dyDescent="0.15">
      <c r="A39" s="63">
        <v>46141</v>
      </c>
      <c r="B39" s="38"/>
      <c r="C39" s="36"/>
      <c r="D39" s="32"/>
      <c r="E39" s="47">
        <v>296</v>
      </c>
      <c r="F39" s="23">
        <f t="shared" si="1"/>
        <v>19254</v>
      </c>
      <c r="G39" s="11">
        <f t="shared" si="0"/>
        <v>596874</v>
      </c>
    </row>
    <row r="40" spans="1:7" x14ac:dyDescent="0.15">
      <c r="A40" s="63">
        <v>46142</v>
      </c>
      <c r="B40" s="38" t="s">
        <v>46</v>
      </c>
      <c r="C40" s="95">
        <f>280+811+1177</f>
        <v>2268</v>
      </c>
      <c r="D40" s="32"/>
      <c r="E40" s="47">
        <v>1612</v>
      </c>
      <c r="F40" s="23">
        <f t="shared" si="1"/>
        <v>19910</v>
      </c>
      <c r="G40" s="11">
        <f t="shared" si="0"/>
        <v>617210</v>
      </c>
    </row>
    <row r="41" spans="1:7" ht="13" thickBot="1" x14ac:dyDescent="0.2">
      <c r="A41" s="63" t="s">
        <v>44</v>
      </c>
      <c r="B41" s="76"/>
      <c r="C41" s="96"/>
      <c r="D41" s="78"/>
      <c r="E41" s="79"/>
      <c r="F41" s="23"/>
      <c r="G41" s="11">
        <f t="shared" si="0"/>
        <v>0</v>
      </c>
    </row>
    <row r="42" spans="1:7" ht="13" thickBot="1" x14ac:dyDescent="0.2">
      <c r="A42" s="82"/>
      <c r="B42" s="83" t="s">
        <v>13</v>
      </c>
      <c r="C42" s="84">
        <f>SUM(C11:C41)</f>
        <v>9841</v>
      </c>
      <c r="D42" s="85"/>
      <c r="E42" s="86">
        <f>SUM(E10:E41)</f>
        <v>4748</v>
      </c>
      <c r="F42" s="87">
        <f>SUM(F11:F41)</f>
        <v>532402</v>
      </c>
      <c r="G42" s="88">
        <f>SUM(G11:G41)</f>
        <v>16504462</v>
      </c>
    </row>
    <row r="43" spans="1:7" x14ac:dyDescent="0.15">
      <c r="A43" s="71"/>
      <c r="B43" s="74"/>
      <c r="C43" s="72"/>
      <c r="D43" s="72"/>
      <c r="E43" s="72"/>
      <c r="F43" s="72"/>
      <c r="G43" s="73"/>
    </row>
    <row r="44" spans="1:7" x14ac:dyDescent="0.15">
      <c r="A44" s="71"/>
      <c r="B44" s="74"/>
      <c r="C44" s="72"/>
      <c r="D44" s="72"/>
      <c r="E44" s="72"/>
      <c r="F44" s="72"/>
      <c r="G44" s="73"/>
    </row>
    <row r="45" spans="1:7" ht="12" customHeight="1" x14ac:dyDescent="0.15">
      <c r="B45" s="89" t="s">
        <v>35</v>
      </c>
      <c r="C45" s="12">
        <f>C42*F51</f>
        <v>1082510</v>
      </c>
      <c r="D45" s="12" t="s">
        <v>36</v>
      </c>
      <c r="E45" s="12">
        <f>E42*F52</f>
        <v>522280</v>
      </c>
    </row>
    <row r="46" spans="1:7" x14ac:dyDescent="0.15">
      <c r="B46" s="90"/>
      <c r="C46" s="91"/>
      <c r="D46" s="91"/>
      <c r="E46" s="91"/>
    </row>
    <row r="47" spans="1:7" x14ac:dyDescent="0.15">
      <c r="B47" s="92" t="s">
        <v>37</v>
      </c>
      <c r="C47" s="93">
        <f>C45+E45</f>
        <v>1604790</v>
      </c>
      <c r="D47" s="91"/>
      <c r="E47" s="91"/>
    </row>
    <row r="49" spans="4:7" ht="13" thickBot="1" x14ac:dyDescent="0.2"/>
    <row r="50" spans="4:7" x14ac:dyDescent="0.15">
      <c r="D50" s="49"/>
      <c r="E50" s="50" t="s">
        <v>10</v>
      </c>
      <c r="F50" s="51" t="s">
        <v>11</v>
      </c>
      <c r="G50" s="52" t="s">
        <v>12</v>
      </c>
    </row>
    <row r="51" spans="4:7" ht="25.5" customHeight="1" x14ac:dyDescent="0.15">
      <c r="D51" s="41" t="s">
        <v>2</v>
      </c>
      <c r="E51" s="12">
        <f>C42</f>
        <v>9841</v>
      </c>
      <c r="F51" s="13">
        <v>110</v>
      </c>
      <c r="G51" s="66">
        <f>E51*F51</f>
        <v>1082510</v>
      </c>
    </row>
    <row r="52" spans="4:7" x14ac:dyDescent="0.15">
      <c r="D52" s="41" t="s">
        <v>3</v>
      </c>
      <c r="E52" s="12">
        <f>E42</f>
        <v>4748</v>
      </c>
      <c r="F52" s="13">
        <v>110</v>
      </c>
      <c r="G52" s="66">
        <f t="shared" ref="G52:G53" si="2">E52*F52</f>
        <v>522280</v>
      </c>
    </row>
    <row r="53" spans="4:7" ht="20.25" customHeight="1" x14ac:dyDescent="0.15">
      <c r="D53" s="41" t="s">
        <v>9</v>
      </c>
      <c r="E53" s="97">
        <f>F42</f>
        <v>532402</v>
      </c>
      <c r="F53" s="98">
        <v>31</v>
      </c>
      <c r="G53" s="66">
        <f t="shared" si="2"/>
        <v>16504462</v>
      </c>
    </row>
    <row r="54" spans="4:7" ht="13.5" customHeight="1" x14ac:dyDescent="0.15">
      <c r="D54" s="41"/>
      <c r="E54" s="12"/>
      <c r="F54" s="13"/>
      <c r="G54" s="53"/>
    </row>
    <row r="55" spans="4:7" ht="11.25" customHeight="1" x14ac:dyDescent="0.15">
      <c r="D55" s="54" t="s">
        <v>18</v>
      </c>
      <c r="E55" s="12">
        <v>190</v>
      </c>
      <c r="F55" s="13">
        <v>900</v>
      </c>
      <c r="G55" s="53">
        <f>F55*E55</f>
        <v>171000</v>
      </c>
    </row>
    <row r="56" spans="4:7" ht="13" thickBot="1" x14ac:dyDescent="0.2">
      <c r="D56" s="55"/>
      <c r="E56" s="56"/>
      <c r="F56" s="57"/>
      <c r="G56" s="58"/>
    </row>
    <row r="57" spans="4:7" ht="13" thickBot="1" x14ac:dyDescent="0.2">
      <c r="D57" s="59"/>
      <c r="E57" s="60"/>
      <c r="F57" s="62" t="s">
        <v>37</v>
      </c>
      <c r="G57" s="61">
        <f>SUM(G51:G56)</f>
        <v>18280252</v>
      </c>
    </row>
    <row r="58" spans="4:7" ht="12.75" customHeight="1" x14ac:dyDescent="0.15">
      <c r="E58" s="16"/>
      <c r="F58" s="17"/>
      <c r="G58" s="18"/>
    </row>
  </sheetData>
  <mergeCells count="5">
    <mergeCell ref="A8:A9"/>
    <mergeCell ref="B8:C8"/>
    <mergeCell ref="D8:E8"/>
    <mergeCell ref="F8:F9"/>
    <mergeCell ref="G8:G9"/>
  </mergeCells>
  <pageMargins left="0.23622047244094491" right="0.23622047244094491" top="0.74803149606299213" bottom="0.74803149606299213" header="0.31496062992125984" footer="0.31496062992125984"/>
  <pageSetup paperSize="9" scale="57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EF873-C969-4143-A928-A18DD6AC7D36}">
  <dimension ref="A1:G58"/>
  <sheetViews>
    <sheetView showGridLines="0" tabSelected="1" topLeftCell="A35" zoomScale="130" zoomScaleNormal="130" zoomScaleSheetLayoutView="100" workbookViewId="0">
      <selection activeCell="F14" sqref="F14"/>
    </sheetView>
  </sheetViews>
  <sheetFormatPr baseColWidth="10" defaultColWidth="9" defaultRowHeight="12" x14ac:dyDescent="0.15"/>
  <cols>
    <col min="1" max="1" width="10.5" style="5" bestFit="1" customWidth="1"/>
    <col min="2" max="2" width="44.1640625" style="2" customWidth="1"/>
    <col min="3" max="3" width="11.1640625" style="2" bestFit="1" customWidth="1"/>
    <col min="4" max="4" width="17" style="2" bestFit="1" customWidth="1"/>
    <col min="5" max="5" width="13" style="2" customWidth="1"/>
    <col min="6" max="6" width="25.5" style="3" bestFit="1" customWidth="1"/>
    <col min="7" max="7" width="14.33203125" style="4" bestFit="1" customWidth="1"/>
    <col min="8" max="16384" width="9" style="2"/>
  </cols>
  <sheetData>
    <row r="1" spans="1:7" x14ac:dyDescent="0.15">
      <c r="A1" s="1"/>
    </row>
    <row r="3" spans="1:7" x14ac:dyDescent="0.15">
      <c r="A3" s="6"/>
      <c r="B3" s="7"/>
      <c r="E3" s="8"/>
    </row>
    <row r="4" spans="1:7" ht="13" thickBot="1" x14ac:dyDescent="0.2">
      <c r="A4" s="6"/>
      <c r="B4" s="7"/>
      <c r="E4" s="7"/>
      <c r="F4" s="2"/>
      <c r="G4" s="2"/>
    </row>
    <row r="5" spans="1:7" ht="13" thickBot="1" x14ac:dyDescent="0.2">
      <c r="A5" s="2"/>
      <c r="B5" s="29" t="s">
        <v>14</v>
      </c>
      <c r="E5" s="7"/>
      <c r="F5" s="2"/>
      <c r="G5" s="2"/>
    </row>
    <row r="6" spans="1:7" x14ac:dyDescent="0.15">
      <c r="A6" s="27" t="s">
        <v>15</v>
      </c>
      <c r="B6" s="30">
        <v>46143</v>
      </c>
      <c r="E6" s="7"/>
      <c r="F6" s="2"/>
      <c r="G6" s="2"/>
    </row>
    <row r="7" spans="1:7" ht="12" customHeight="1" thickBot="1" x14ac:dyDescent="0.2">
      <c r="A7" s="28" t="s">
        <v>16</v>
      </c>
      <c r="B7" s="31">
        <v>46173</v>
      </c>
      <c r="F7" s="2"/>
      <c r="G7" s="9"/>
    </row>
    <row r="8" spans="1:7" ht="13" thickBot="1" x14ac:dyDescent="0.2">
      <c r="A8" s="101"/>
      <c r="B8" s="103" t="s">
        <v>2</v>
      </c>
      <c r="C8" s="104"/>
      <c r="D8" s="103" t="s">
        <v>3</v>
      </c>
      <c r="E8" s="105"/>
      <c r="F8" s="106" t="s">
        <v>0</v>
      </c>
      <c r="G8" s="108" t="s">
        <v>17</v>
      </c>
    </row>
    <row r="9" spans="1:7" ht="15" customHeight="1" thickBot="1" x14ac:dyDescent="0.2">
      <c r="A9" s="102"/>
      <c r="B9" s="19" t="s">
        <v>6</v>
      </c>
      <c r="C9" s="20" t="s">
        <v>4</v>
      </c>
      <c r="D9" s="21" t="s">
        <v>8</v>
      </c>
      <c r="E9" s="22" t="s">
        <v>1</v>
      </c>
      <c r="F9" s="107"/>
      <c r="G9" s="109"/>
    </row>
    <row r="10" spans="1:7" ht="14.25" customHeight="1" thickBot="1" x14ac:dyDescent="0.2">
      <c r="A10" s="48" t="s">
        <v>5</v>
      </c>
      <c r="B10" s="42" t="s">
        <v>7</v>
      </c>
      <c r="C10" s="43"/>
      <c r="D10" s="43"/>
      <c r="E10" s="44"/>
      <c r="F10" s="25">
        <v>19910</v>
      </c>
      <c r="G10" s="26"/>
    </row>
    <row r="11" spans="1:7" ht="13.5" customHeight="1" x14ac:dyDescent="0.15">
      <c r="A11" s="63">
        <v>46143</v>
      </c>
      <c r="B11" s="35"/>
      <c r="C11" s="65"/>
      <c r="D11" s="46"/>
      <c r="E11" s="47"/>
      <c r="F11" s="23">
        <f>F10+C11-E11</f>
        <v>19910</v>
      </c>
      <c r="G11" s="24">
        <f t="shared" ref="G11:G41" si="0">F11*$F$53</f>
        <v>617210</v>
      </c>
    </row>
    <row r="12" spans="1:7" ht="14.25" customHeight="1" x14ac:dyDescent="0.15">
      <c r="A12" s="63">
        <v>46144</v>
      </c>
      <c r="B12" s="38"/>
      <c r="C12" s="99"/>
      <c r="D12" s="32"/>
      <c r="E12" s="47"/>
      <c r="F12" s="23">
        <f>F11+C12-E12</f>
        <v>19910</v>
      </c>
      <c r="G12" s="11">
        <f t="shared" si="0"/>
        <v>617210</v>
      </c>
    </row>
    <row r="13" spans="1:7" ht="13.5" customHeight="1" x14ac:dyDescent="0.15">
      <c r="A13" s="63">
        <v>46145</v>
      </c>
      <c r="B13" s="35"/>
      <c r="C13" s="65"/>
      <c r="D13" s="32"/>
      <c r="E13" s="47"/>
      <c r="F13" s="23">
        <f t="shared" ref="F13:F41" si="1">F12+C13-E13</f>
        <v>19910</v>
      </c>
      <c r="G13" s="11">
        <f t="shared" si="0"/>
        <v>617210</v>
      </c>
    </row>
    <row r="14" spans="1:7" x14ac:dyDescent="0.15">
      <c r="A14" s="63">
        <v>46146</v>
      </c>
      <c r="B14" s="38"/>
      <c r="C14" s="65"/>
      <c r="D14" s="32"/>
      <c r="E14" s="47">
        <v>476</v>
      </c>
      <c r="F14" s="23">
        <f t="shared" si="1"/>
        <v>19434</v>
      </c>
      <c r="G14" s="11">
        <f t="shared" si="0"/>
        <v>602454</v>
      </c>
    </row>
    <row r="15" spans="1:7" x14ac:dyDescent="0.15">
      <c r="A15" s="63">
        <v>46147</v>
      </c>
      <c r="B15" s="37"/>
      <c r="C15" s="65"/>
      <c r="D15" s="32"/>
      <c r="E15" s="47"/>
      <c r="F15" s="23">
        <f t="shared" si="1"/>
        <v>19434</v>
      </c>
      <c r="G15" s="11">
        <f t="shared" si="0"/>
        <v>602454</v>
      </c>
    </row>
    <row r="16" spans="1:7" x14ac:dyDescent="0.15">
      <c r="A16" s="63">
        <v>46148</v>
      </c>
      <c r="B16" s="38"/>
      <c r="C16" s="65"/>
      <c r="D16" s="32"/>
      <c r="E16" s="47">
        <v>531</v>
      </c>
      <c r="F16" s="23">
        <f t="shared" si="1"/>
        <v>18903</v>
      </c>
      <c r="G16" s="11">
        <f t="shared" si="0"/>
        <v>585993</v>
      </c>
    </row>
    <row r="17" spans="1:7" x14ac:dyDescent="0.15">
      <c r="A17" s="63">
        <v>46149</v>
      </c>
      <c r="B17" s="39"/>
      <c r="C17" s="65"/>
      <c r="D17" s="32"/>
      <c r="E17" s="47"/>
      <c r="F17" s="23">
        <f t="shared" si="1"/>
        <v>18903</v>
      </c>
      <c r="G17" s="11">
        <f t="shared" si="0"/>
        <v>585993</v>
      </c>
    </row>
    <row r="18" spans="1:7" x14ac:dyDescent="0.15">
      <c r="A18" s="63">
        <v>46150</v>
      </c>
      <c r="B18" s="38"/>
      <c r="C18" s="65"/>
      <c r="D18" s="32"/>
      <c r="E18" s="47"/>
      <c r="F18" s="23">
        <f t="shared" si="1"/>
        <v>18903</v>
      </c>
      <c r="G18" s="11">
        <f t="shared" si="0"/>
        <v>585993</v>
      </c>
    </row>
    <row r="19" spans="1:7" ht="13.5" customHeight="1" x14ac:dyDescent="0.15">
      <c r="A19" s="63">
        <v>46151</v>
      </c>
      <c r="B19" s="38"/>
      <c r="C19" s="65"/>
      <c r="D19" s="33"/>
      <c r="E19" s="47"/>
      <c r="F19" s="23">
        <f t="shared" si="1"/>
        <v>18903</v>
      </c>
      <c r="G19" s="11">
        <f t="shared" si="0"/>
        <v>585993</v>
      </c>
    </row>
    <row r="20" spans="1:7" x14ac:dyDescent="0.15">
      <c r="A20" s="63">
        <v>46152</v>
      </c>
      <c r="B20" s="37"/>
      <c r="C20" s="65"/>
      <c r="D20" s="33"/>
      <c r="E20" s="47"/>
      <c r="F20" s="23">
        <f t="shared" si="1"/>
        <v>18903</v>
      </c>
      <c r="G20" s="11">
        <f t="shared" si="0"/>
        <v>585993</v>
      </c>
    </row>
    <row r="21" spans="1:7" x14ac:dyDescent="0.15">
      <c r="A21" s="63">
        <v>46153</v>
      </c>
      <c r="B21" s="40"/>
      <c r="C21" s="65"/>
      <c r="D21" s="33"/>
      <c r="E21" s="47"/>
      <c r="F21" s="23">
        <f t="shared" si="1"/>
        <v>18903</v>
      </c>
      <c r="G21" s="11">
        <f t="shared" si="0"/>
        <v>585993</v>
      </c>
    </row>
    <row r="22" spans="1:7" x14ac:dyDescent="0.15">
      <c r="A22" s="63">
        <v>46154</v>
      </c>
      <c r="B22" s="39"/>
      <c r="C22" s="65"/>
      <c r="D22" s="33"/>
      <c r="E22" s="47"/>
      <c r="F22" s="23">
        <f t="shared" si="1"/>
        <v>18903</v>
      </c>
      <c r="G22" s="11">
        <f t="shared" si="0"/>
        <v>585993</v>
      </c>
    </row>
    <row r="23" spans="1:7" x14ac:dyDescent="0.15">
      <c r="A23" s="63">
        <v>46155</v>
      </c>
      <c r="B23" s="38"/>
      <c r="C23" s="65"/>
      <c r="D23" s="33"/>
      <c r="E23" s="47"/>
      <c r="F23" s="23">
        <f t="shared" si="1"/>
        <v>18903</v>
      </c>
      <c r="G23" s="11">
        <f t="shared" si="0"/>
        <v>585993</v>
      </c>
    </row>
    <row r="24" spans="1:7" x14ac:dyDescent="0.15">
      <c r="A24" s="63">
        <v>46156</v>
      </c>
      <c r="B24" s="38"/>
      <c r="C24" s="65"/>
      <c r="D24" s="33"/>
      <c r="E24" s="47">
        <v>769</v>
      </c>
      <c r="F24" s="23">
        <f t="shared" si="1"/>
        <v>18134</v>
      </c>
      <c r="G24" s="11">
        <f t="shared" si="0"/>
        <v>562154</v>
      </c>
    </row>
    <row r="25" spans="1:7" x14ac:dyDescent="0.15">
      <c r="A25" s="63">
        <v>46157</v>
      </c>
      <c r="B25" s="38" t="s">
        <v>47</v>
      </c>
      <c r="C25" s="65">
        <v>1176</v>
      </c>
      <c r="D25" s="33"/>
      <c r="E25" s="47">
        <v>684</v>
      </c>
      <c r="F25" s="23">
        <f t="shared" si="1"/>
        <v>18626</v>
      </c>
      <c r="G25" s="11">
        <f t="shared" si="0"/>
        <v>577406</v>
      </c>
    </row>
    <row r="26" spans="1:7" ht="13.5" customHeight="1" x14ac:dyDescent="0.15">
      <c r="A26" s="63">
        <v>46158</v>
      </c>
      <c r="B26" s="38"/>
      <c r="C26" s="65"/>
      <c r="D26" s="33"/>
      <c r="E26" s="47"/>
      <c r="F26" s="23">
        <f t="shared" si="1"/>
        <v>18626</v>
      </c>
      <c r="G26" s="11">
        <f t="shared" si="0"/>
        <v>577406</v>
      </c>
    </row>
    <row r="27" spans="1:7" x14ac:dyDescent="0.15">
      <c r="A27" s="63">
        <v>46159</v>
      </c>
      <c r="B27" s="38"/>
      <c r="C27" s="100"/>
      <c r="D27" s="33"/>
      <c r="E27" s="47"/>
      <c r="F27" s="23">
        <f t="shared" si="1"/>
        <v>18626</v>
      </c>
      <c r="G27" s="11">
        <f t="shared" si="0"/>
        <v>577406</v>
      </c>
    </row>
    <row r="28" spans="1:7" x14ac:dyDescent="0.15">
      <c r="A28" s="63">
        <v>46160</v>
      </c>
      <c r="B28" s="38"/>
      <c r="C28" s="100"/>
      <c r="D28" s="33"/>
      <c r="E28" s="47"/>
      <c r="F28" s="23">
        <f t="shared" si="1"/>
        <v>18626</v>
      </c>
      <c r="G28" s="11">
        <f t="shared" si="0"/>
        <v>577406</v>
      </c>
    </row>
    <row r="29" spans="1:7" x14ac:dyDescent="0.15">
      <c r="A29" s="63">
        <v>46161</v>
      </c>
      <c r="B29" s="38" t="s">
        <v>48</v>
      </c>
      <c r="C29" s="65">
        <v>1207</v>
      </c>
      <c r="D29" s="34"/>
      <c r="E29" s="47"/>
      <c r="F29" s="23">
        <f t="shared" si="1"/>
        <v>19833</v>
      </c>
      <c r="G29" s="11">
        <f t="shared" si="0"/>
        <v>614823</v>
      </c>
    </row>
    <row r="30" spans="1:7" x14ac:dyDescent="0.15">
      <c r="A30" s="63">
        <v>46162</v>
      </c>
      <c r="B30" s="38"/>
      <c r="C30" s="100"/>
      <c r="D30" s="33"/>
      <c r="E30" s="47"/>
      <c r="F30" s="23">
        <f t="shared" si="1"/>
        <v>19833</v>
      </c>
      <c r="G30" s="11">
        <f t="shared" si="0"/>
        <v>614823</v>
      </c>
    </row>
    <row r="31" spans="1:7" x14ac:dyDescent="0.15">
      <c r="A31" s="63">
        <v>46163</v>
      </c>
      <c r="B31" s="37"/>
      <c r="C31" s="100"/>
      <c r="D31" s="33"/>
      <c r="E31" s="47"/>
      <c r="F31" s="23">
        <f t="shared" si="1"/>
        <v>19833</v>
      </c>
      <c r="G31" s="11">
        <f t="shared" si="0"/>
        <v>614823</v>
      </c>
    </row>
    <row r="32" spans="1:7" x14ac:dyDescent="0.15">
      <c r="A32" s="63">
        <v>46164</v>
      </c>
      <c r="B32" s="38"/>
      <c r="C32" s="65"/>
      <c r="D32" s="33"/>
      <c r="E32" s="47"/>
      <c r="F32" s="23">
        <f t="shared" si="1"/>
        <v>19833</v>
      </c>
      <c r="G32" s="11">
        <f t="shared" si="0"/>
        <v>614823</v>
      </c>
    </row>
    <row r="33" spans="1:7" x14ac:dyDescent="0.15">
      <c r="A33" s="63">
        <v>46165</v>
      </c>
      <c r="B33" s="38"/>
      <c r="C33" s="36"/>
      <c r="D33" s="33"/>
      <c r="E33" s="47"/>
      <c r="F33" s="23">
        <f t="shared" si="1"/>
        <v>19833</v>
      </c>
      <c r="G33" s="11">
        <f t="shared" si="0"/>
        <v>614823</v>
      </c>
    </row>
    <row r="34" spans="1:7" x14ac:dyDescent="0.15">
      <c r="A34" s="63">
        <v>46166</v>
      </c>
      <c r="B34" s="38"/>
      <c r="C34" s="36"/>
      <c r="D34" s="33"/>
      <c r="E34" s="47"/>
      <c r="F34" s="23">
        <f t="shared" si="1"/>
        <v>19833</v>
      </c>
      <c r="G34" s="11">
        <f t="shared" si="0"/>
        <v>614823</v>
      </c>
    </row>
    <row r="35" spans="1:7" x14ac:dyDescent="0.15">
      <c r="A35" s="63">
        <v>46167</v>
      </c>
      <c r="B35" s="41"/>
      <c r="C35" s="36"/>
      <c r="D35" s="33"/>
      <c r="E35" s="47">
        <v>711</v>
      </c>
      <c r="F35" s="23">
        <f t="shared" si="1"/>
        <v>19122</v>
      </c>
      <c r="G35" s="11">
        <f t="shared" si="0"/>
        <v>592782</v>
      </c>
    </row>
    <row r="36" spans="1:7" ht="13.5" customHeight="1" x14ac:dyDescent="0.15">
      <c r="A36" s="63">
        <v>46168</v>
      </c>
      <c r="B36" s="38"/>
      <c r="C36" s="36"/>
      <c r="D36" s="32"/>
      <c r="E36" s="47">
        <v>1191</v>
      </c>
      <c r="F36" s="23">
        <f t="shared" si="1"/>
        <v>17931</v>
      </c>
      <c r="G36" s="11">
        <f t="shared" si="0"/>
        <v>555861</v>
      </c>
    </row>
    <row r="37" spans="1:7" x14ac:dyDescent="0.15">
      <c r="A37" s="63">
        <v>46169</v>
      </c>
      <c r="B37" s="38"/>
      <c r="C37" s="95"/>
      <c r="D37" s="32"/>
      <c r="E37" s="47"/>
      <c r="F37" s="23">
        <f t="shared" si="1"/>
        <v>17931</v>
      </c>
      <c r="G37" s="11">
        <f t="shared" si="0"/>
        <v>555861</v>
      </c>
    </row>
    <row r="38" spans="1:7" x14ac:dyDescent="0.15">
      <c r="A38" s="63">
        <v>46170</v>
      </c>
      <c r="B38" s="41"/>
      <c r="C38" s="36"/>
      <c r="D38" s="32"/>
      <c r="E38" s="47">
        <v>551</v>
      </c>
      <c r="F38" s="23">
        <f t="shared" si="1"/>
        <v>17380</v>
      </c>
      <c r="G38" s="11">
        <f t="shared" si="0"/>
        <v>538780</v>
      </c>
    </row>
    <row r="39" spans="1:7" x14ac:dyDescent="0.15">
      <c r="A39" s="63">
        <v>46171</v>
      </c>
      <c r="B39" s="38"/>
      <c r="C39" s="36"/>
      <c r="D39" s="32"/>
      <c r="E39" s="47">
        <v>421</v>
      </c>
      <c r="F39" s="23">
        <f>F38+C39-E39</f>
        <v>16959</v>
      </c>
      <c r="G39" s="11">
        <f t="shared" si="0"/>
        <v>525729</v>
      </c>
    </row>
    <row r="40" spans="1:7" x14ac:dyDescent="0.15">
      <c r="A40" s="63">
        <v>46172</v>
      </c>
      <c r="B40" s="38"/>
      <c r="C40" s="95"/>
      <c r="D40" s="32"/>
      <c r="E40" s="47"/>
      <c r="F40" s="23">
        <f>F39+C40-E40</f>
        <v>16959</v>
      </c>
      <c r="G40" s="11">
        <f t="shared" si="0"/>
        <v>525729</v>
      </c>
    </row>
    <row r="41" spans="1:7" ht="13" thickBot="1" x14ac:dyDescent="0.2">
      <c r="A41" s="63">
        <v>46173</v>
      </c>
      <c r="B41" s="76"/>
      <c r="C41" s="96"/>
      <c r="D41" s="78"/>
      <c r="E41" s="79"/>
      <c r="F41" s="23">
        <f t="shared" si="1"/>
        <v>16959</v>
      </c>
      <c r="G41" s="11">
        <f t="shared" si="0"/>
        <v>525729</v>
      </c>
    </row>
    <row r="42" spans="1:7" ht="13" thickBot="1" x14ac:dyDescent="0.2">
      <c r="A42" s="82"/>
      <c r="B42" s="83" t="s">
        <v>13</v>
      </c>
      <c r="C42" s="84">
        <f>SUM(C11:C41)</f>
        <v>2383</v>
      </c>
      <c r="D42" s="85"/>
      <c r="E42" s="86">
        <f>SUM(E10:E41)</f>
        <v>5334</v>
      </c>
      <c r="F42" s="87">
        <f>SUM(F11:F41)</f>
        <v>584699</v>
      </c>
      <c r="G42" s="88">
        <f>SUM(G11:G41)</f>
        <v>18125669</v>
      </c>
    </row>
    <row r="43" spans="1:7" x14ac:dyDescent="0.15">
      <c r="A43" s="71"/>
      <c r="B43" s="74"/>
      <c r="C43" s="72"/>
      <c r="D43" s="72"/>
      <c r="E43" s="72"/>
      <c r="F43" s="72"/>
      <c r="G43" s="73"/>
    </row>
    <row r="44" spans="1:7" x14ac:dyDescent="0.15">
      <c r="A44" s="71"/>
      <c r="B44" s="74"/>
      <c r="C44" s="72"/>
      <c r="D44" s="72"/>
      <c r="E44" s="72"/>
      <c r="F44" s="72"/>
      <c r="G44" s="73"/>
    </row>
    <row r="45" spans="1:7" ht="12" customHeight="1" x14ac:dyDescent="0.15">
      <c r="B45" s="89" t="s">
        <v>35</v>
      </c>
      <c r="C45" s="12">
        <f>C42*F51</f>
        <v>262130</v>
      </c>
      <c r="D45" s="12" t="s">
        <v>36</v>
      </c>
      <c r="E45" s="12">
        <f>E42*F52</f>
        <v>586740</v>
      </c>
    </row>
    <row r="46" spans="1:7" x14ac:dyDescent="0.15">
      <c r="B46" s="90"/>
      <c r="C46" s="91"/>
      <c r="D46" s="91"/>
      <c r="E46" s="91"/>
    </row>
    <row r="47" spans="1:7" x14ac:dyDescent="0.15">
      <c r="B47" s="92" t="s">
        <v>37</v>
      </c>
      <c r="C47" s="93">
        <f>C45+E45</f>
        <v>848870</v>
      </c>
      <c r="D47" s="91"/>
      <c r="E47" s="91"/>
    </row>
    <row r="49" spans="4:7" ht="13" thickBot="1" x14ac:dyDescent="0.2"/>
    <row r="50" spans="4:7" x14ac:dyDescent="0.15">
      <c r="D50" s="49"/>
      <c r="E50" s="50" t="s">
        <v>10</v>
      </c>
      <c r="F50" s="51" t="s">
        <v>11</v>
      </c>
      <c r="G50" s="52" t="s">
        <v>12</v>
      </c>
    </row>
    <row r="51" spans="4:7" ht="25.5" customHeight="1" x14ac:dyDescent="0.15">
      <c r="D51" s="41" t="s">
        <v>2</v>
      </c>
      <c r="E51" s="12">
        <f>C42</f>
        <v>2383</v>
      </c>
      <c r="F51" s="13">
        <v>110</v>
      </c>
      <c r="G51" s="66">
        <f>E51*F51</f>
        <v>262130</v>
      </c>
    </row>
    <row r="52" spans="4:7" x14ac:dyDescent="0.15">
      <c r="D52" s="41" t="s">
        <v>3</v>
      </c>
      <c r="E52" s="12">
        <f>E42</f>
        <v>5334</v>
      </c>
      <c r="F52" s="13">
        <v>110</v>
      </c>
      <c r="G52" s="66">
        <f t="shared" ref="G52:G53" si="2">E52*F52</f>
        <v>586740</v>
      </c>
    </row>
    <row r="53" spans="4:7" ht="20.25" customHeight="1" x14ac:dyDescent="0.15">
      <c r="D53" s="41" t="s">
        <v>9</v>
      </c>
      <c r="E53" s="97">
        <f>F42</f>
        <v>584699</v>
      </c>
      <c r="F53" s="98">
        <v>31</v>
      </c>
      <c r="G53" s="66">
        <f t="shared" si="2"/>
        <v>18125669</v>
      </c>
    </row>
    <row r="54" spans="4:7" ht="13.5" customHeight="1" x14ac:dyDescent="0.15">
      <c r="D54" s="41"/>
      <c r="E54" s="12"/>
      <c r="F54" s="13"/>
      <c r="G54" s="53"/>
    </row>
    <row r="55" spans="4:7" ht="11.25" customHeight="1" x14ac:dyDescent="0.15">
      <c r="D55" s="54" t="s">
        <v>18</v>
      </c>
      <c r="E55" s="12">
        <v>96</v>
      </c>
      <c r="F55" s="13">
        <v>900</v>
      </c>
      <c r="G55" s="53">
        <f>F55*E55</f>
        <v>86400</v>
      </c>
    </row>
    <row r="56" spans="4:7" ht="13" thickBot="1" x14ac:dyDescent="0.2">
      <c r="D56" s="55"/>
      <c r="E56" s="56"/>
      <c r="F56" s="57"/>
      <c r="G56" s="58"/>
    </row>
    <row r="57" spans="4:7" ht="13" thickBot="1" x14ac:dyDescent="0.2">
      <c r="D57" s="59"/>
      <c r="E57" s="60"/>
      <c r="F57" s="62" t="s">
        <v>37</v>
      </c>
      <c r="G57" s="61">
        <f>SUM(G51:G56)</f>
        <v>19060939</v>
      </c>
    </row>
    <row r="58" spans="4:7" ht="12.75" customHeight="1" x14ac:dyDescent="0.15">
      <c r="E58" s="16"/>
      <c r="F58" s="17"/>
      <c r="G58" s="18"/>
    </row>
  </sheetData>
  <mergeCells count="5">
    <mergeCell ref="A8:A9"/>
    <mergeCell ref="B8:C8"/>
    <mergeCell ref="D8:E8"/>
    <mergeCell ref="F8:F9"/>
    <mergeCell ref="G8:G9"/>
  </mergeCells>
  <pageMargins left="0.23622047244094491" right="0.23622047244094491" top="0.74803149606299213" bottom="0.74803149606299213" header="0.31496062992125984" footer="0.31496062992125984"/>
  <pageSetup paperSize="9" scale="5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JANUARY'26</vt:lpstr>
      <vt:lpstr>February'26</vt:lpstr>
      <vt:lpstr>Mart'26</vt:lpstr>
      <vt:lpstr>April'26</vt:lpstr>
      <vt:lpstr>May'26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Branimir Trickovic</dc:creator>
  <cp:lastModifiedBy>harun şarapcıoğlu</cp:lastModifiedBy>
  <cp:lastPrinted>2025-11-07T12:54:34Z</cp:lastPrinted>
  <dcterms:created xsi:type="dcterms:W3CDTF">2019-12-02T09:28:44Z</dcterms:created>
  <dcterms:modified xsi:type="dcterms:W3CDTF">2026-06-02T10:29:15Z</dcterms:modified>
</cp:coreProperties>
</file>