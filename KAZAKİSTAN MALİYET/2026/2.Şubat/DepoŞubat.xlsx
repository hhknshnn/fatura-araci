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kan.yaman\Desktop\TURQUALITY\KAZAKİSTAN\2026.01\Şubat\"/>
    </mc:Choice>
  </mc:AlternateContent>
  <xr:revisionPtr revIDLastSave="0" documentId="8_{EFA312C1-380B-4C7D-A68B-F8F72AA6984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JANUARY'26" sheetId="90" state="hidden" r:id="rId1"/>
    <sheet name="February'26" sheetId="91" r:id="rId2"/>
  </sheets>
  <externalReferences>
    <externalReference r:id="rId3"/>
    <externalReference r:id="rId4"/>
  </externalReferences>
  <definedNames>
    <definedName name="kurs" localSheetId="1">'February''26'!#REF!</definedName>
    <definedName name="kurs" localSheetId="0">'JANUARY''26'!#REF!</definedName>
    <definedName name="kurs">'[1]07'!$H$6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90" l="1"/>
  <c r="F11" i="91" l="1"/>
  <c r="G11" i="91" s="1"/>
  <c r="G55" i="91"/>
  <c r="C42" i="91"/>
  <c r="C45" i="91" s="1"/>
  <c r="E42" i="91"/>
  <c r="F12" i="90"/>
  <c r="E29" i="90"/>
  <c r="E30" i="90"/>
  <c r="E31" i="90"/>
  <c r="E32" i="90"/>
  <c r="E33" i="90"/>
  <c r="E36" i="90"/>
  <c r="E38" i="90"/>
  <c r="E39" i="90"/>
  <c r="E40" i="90"/>
  <c r="E19" i="90"/>
  <c r="E22" i="90"/>
  <c r="E23" i="90"/>
  <c r="E26" i="90"/>
  <c r="E45" i="91" l="1"/>
  <c r="C47" i="91" s="1"/>
  <c r="E52" i="91"/>
  <c r="G52" i="91" s="1"/>
  <c r="E51" i="91"/>
  <c r="G51" i="91" s="1"/>
  <c r="F12" i="91"/>
  <c r="G55" i="90"/>
  <c r="G11" i="90"/>
  <c r="C42" i="90"/>
  <c r="F13" i="91" l="1"/>
  <c r="G12" i="91"/>
  <c r="E51" i="90"/>
  <c r="G51" i="90" s="1"/>
  <c r="C45" i="90"/>
  <c r="E42" i="90"/>
  <c r="E45" i="90" s="1"/>
  <c r="G13" i="91" l="1"/>
  <c r="F14" i="91"/>
  <c r="C47" i="90"/>
  <c r="F13" i="90"/>
  <c r="G12" i="90"/>
  <c r="E52" i="90"/>
  <c r="G52" i="90" s="1"/>
  <c r="G14" i="91" l="1"/>
  <c r="F15" i="91"/>
  <c r="F14" i="90"/>
  <c r="G13" i="90"/>
  <c r="F16" i="91" l="1"/>
  <c r="G15" i="91"/>
  <c r="F15" i="90"/>
  <c r="G14" i="90"/>
  <c r="F17" i="91" l="1"/>
  <c r="G16" i="91"/>
  <c r="F16" i="90"/>
  <c r="G15" i="90"/>
  <c r="G17" i="91" l="1"/>
  <c r="F18" i="91"/>
  <c r="F17" i="90"/>
  <c r="G16" i="90"/>
  <c r="F19" i="91" l="1"/>
  <c r="G18" i="91"/>
  <c r="F18" i="90"/>
  <c r="G17" i="90"/>
  <c r="F20" i="91" l="1"/>
  <c r="G19" i="91"/>
  <c r="F19" i="90"/>
  <c r="G18" i="90"/>
  <c r="F21" i="91" l="1"/>
  <c r="G20" i="91"/>
  <c r="F20" i="90"/>
  <c r="G19" i="90"/>
  <c r="F22" i="91" l="1"/>
  <c r="G21" i="91"/>
  <c r="F21" i="90"/>
  <c r="G20" i="90"/>
  <c r="F23" i="91" l="1"/>
  <c r="G22" i="91"/>
  <c r="F22" i="90"/>
  <c r="G21" i="90"/>
  <c r="F24" i="91" l="1"/>
  <c r="G23" i="91"/>
  <c r="F23" i="90"/>
  <c r="G22" i="90"/>
  <c r="F25" i="91" l="1"/>
  <c r="G24" i="91"/>
  <c r="F24" i="90"/>
  <c r="G23" i="90"/>
  <c r="F26" i="91" l="1"/>
  <c r="G25" i="91"/>
  <c r="F25" i="90"/>
  <c r="G24" i="90"/>
  <c r="F27" i="91" l="1"/>
  <c r="G26" i="91"/>
  <c r="F26" i="90"/>
  <c r="G25" i="90"/>
  <c r="G27" i="91" l="1"/>
  <c r="F28" i="91"/>
  <c r="F27" i="90"/>
  <c r="G26" i="90"/>
  <c r="G28" i="91" l="1"/>
  <c r="F29" i="91"/>
  <c r="F28" i="90"/>
  <c r="G27" i="90"/>
  <c r="F30" i="91" l="1"/>
  <c r="G29" i="91"/>
  <c r="F29" i="90"/>
  <c r="G28" i="90"/>
  <c r="F31" i="91" l="1"/>
  <c r="G30" i="91"/>
  <c r="F30" i="90"/>
  <c r="G29" i="90"/>
  <c r="F32" i="91" l="1"/>
  <c r="G31" i="91"/>
  <c r="F31" i="90"/>
  <c r="G30" i="90"/>
  <c r="F33" i="91" l="1"/>
  <c r="G32" i="91"/>
  <c r="F32" i="90"/>
  <c r="G31" i="90"/>
  <c r="F34" i="91" l="1"/>
  <c r="G33" i="91"/>
  <c r="F33" i="90"/>
  <c r="G32" i="90"/>
  <c r="F35" i="91" l="1"/>
  <c r="G34" i="91"/>
  <c r="F34" i="90"/>
  <c r="G33" i="90"/>
  <c r="F36" i="91" l="1"/>
  <c r="G35" i="91"/>
  <c r="F35" i="90"/>
  <c r="G34" i="90"/>
  <c r="G36" i="91" l="1"/>
  <c r="F37" i="91"/>
  <c r="F36" i="90"/>
  <c r="G35" i="90"/>
  <c r="G37" i="91" l="1"/>
  <c r="F38" i="91"/>
  <c r="F37" i="90"/>
  <c r="G36" i="90"/>
  <c r="G38" i="91" l="1"/>
  <c r="F38" i="90"/>
  <c r="G37" i="90"/>
  <c r="G39" i="91" l="1"/>
  <c r="F39" i="90"/>
  <c r="F40" i="90" s="1"/>
  <c r="G38" i="90"/>
  <c r="G40" i="91" l="1"/>
  <c r="G42" i="91" s="1"/>
  <c r="F42" i="91"/>
  <c r="E53" i="91" s="1"/>
  <c r="G53" i="91" s="1"/>
  <c r="G57" i="91" s="1"/>
  <c r="F42" i="90"/>
  <c r="E53" i="90" s="1"/>
  <c r="G39" i="90"/>
  <c r="G40" i="90" l="1"/>
  <c r="G42" i="90" s="1"/>
  <c r="G53" i="90"/>
  <c r="G57" i="90" s="1"/>
</calcChain>
</file>

<file path=xl/sharedStrings.xml><?xml version="1.0" encoding="utf-8"?>
<sst xmlns="http://schemas.openxmlformats.org/spreadsheetml/2006/main" count="67" uniqueCount="39">
  <si>
    <t>STORAGE BOX</t>
  </si>
  <si>
    <t>No of boxes</t>
  </si>
  <si>
    <t>INBOUND</t>
  </si>
  <si>
    <t>OUTBOUND</t>
  </si>
  <si>
    <t xml:space="preserve">No of boxes </t>
  </si>
  <si>
    <t>Day in month</t>
  </si>
  <si>
    <t>Invoice Numbers</t>
  </si>
  <si>
    <t>Starting Stock</t>
  </si>
  <si>
    <t>Order No</t>
  </si>
  <si>
    <t>STORAGE</t>
  </si>
  <si>
    <t>QTTY</t>
  </si>
  <si>
    <t>UNIT PRICE</t>
  </si>
  <si>
    <t>AMOUNT</t>
  </si>
  <si>
    <t>TOTAL</t>
  </si>
  <si>
    <t>INVOICE PERIOD</t>
  </si>
  <si>
    <t>Start</t>
  </si>
  <si>
    <t>End</t>
  </si>
  <si>
    <t>Daily Storage Cost</t>
  </si>
  <si>
    <t>Shrinkage (Pallet)</t>
  </si>
  <si>
    <t>IHR778</t>
  </si>
  <si>
    <t>IHR776</t>
  </si>
  <si>
    <t>IHR783</t>
  </si>
  <si>
    <t>ANT283</t>
  </si>
  <si>
    <t>ANT277</t>
  </si>
  <si>
    <t>IHR805</t>
  </si>
  <si>
    <t>IHR803</t>
  </si>
  <si>
    <t>IHR821</t>
  </si>
  <si>
    <t>ANT298</t>
  </si>
  <si>
    <t>ANT307</t>
  </si>
  <si>
    <t>IHR845</t>
  </si>
  <si>
    <t>ANT309</t>
  </si>
  <si>
    <t>IHR844</t>
  </si>
  <si>
    <t>IHR865</t>
  </si>
  <si>
    <t>Без номера</t>
  </si>
  <si>
    <t>Нач. ост.</t>
  </si>
  <si>
    <t>INBOUND AMOUNT</t>
  </si>
  <si>
    <t>OUTBOUND AMOUNT</t>
  </si>
  <si>
    <t>TOTAL AMOUNT (Excluding VAT)</t>
  </si>
  <si>
    <t>Mağaza Malzemeleri ve Mobilyaları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</si>
</sst>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dd/mm/yyyy;@"/>
    <numFmt numFmtId="165" formatCode="_-* #,##0.00\ _R_S_D_-;\-* #,##0.00\ _R_S_D_-;_-* &quot;-&quot;??\ _R_S_D_-;_-@_-"/>
    <numFmt numFmtId="166" formatCode="_-* #,##0_-;\-* #,##0_-;_-* &quot;-&quot;??_-;_-@_-"/>
    <numFmt numFmtId="167" formatCode="_-* #,##0.00\ [$₸-43F]_-;\-* #,##0.00\ [$₸-43F]_-;_-* &quot;-&quot;??\ [$₸-43F]_-;_-@_-"/>
    <numFmt numFmtId="168" formatCode="_-* #,##0\ [$₸-43F]_-;\-* #,##0\ [$₸-43F]_-;_-* &quot;-&quot;??\ [$₸-43F]_-;_-@_-"/>
  </numFmts>
  <fonts count="19" x14ac:knownFonts="1">
    <font>
      <sz val="11"/>
      <color theme="1"/>
      <name val="Arial"/>
      <family val="2"/>
      <charset val="238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38"/>
    </font>
    <font>
      <sz val="11"/>
      <color rgb="FF9C5700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b/>
      <sz val="9"/>
      <color indexed="8"/>
      <name val="Arial"/>
      <family val="2"/>
      <charset val="204"/>
    </font>
    <font>
      <sz val="9"/>
      <color theme="1"/>
      <name val="Arial"/>
      <family val="2"/>
      <charset val="238"/>
    </font>
    <font>
      <b/>
      <sz val="9"/>
      <color theme="1"/>
      <name val="Calibri"/>
      <family val="2"/>
      <charset val="238"/>
      <scheme val="minor"/>
    </font>
    <font>
      <b/>
      <sz val="9"/>
      <color indexed="8"/>
      <name val="Arial"/>
      <family val="2"/>
      <charset val="162"/>
    </font>
    <font>
      <b/>
      <sz val="9"/>
      <color theme="1"/>
      <name val="Arial"/>
      <family val="2"/>
      <charset val="162"/>
    </font>
    <font>
      <sz val="9"/>
      <color indexed="8"/>
      <name val="Arial"/>
      <family val="2"/>
      <charset val="204"/>
    </font>
    <font>
      <b/>
      <sz val="9"/>
      <color indexed="8"/>
      <name val="Arial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charset val="204"/>
    </font>
    <font>
      <sz val="9"/>
      <color indexed="55"/>
      <name val="Arial"/>
      <family val="2"/>
      <charset val="238"/>
    </font>
    <font>
      <b/>
      <sz val="9"/>
      <color indexed="8"/>
      <name val="Calibri"/>
      <family val="2"/>
      <charset val="162"/>
    </font>
    <font>
      <sz val="9"/>
      <color theme="1"/>
      <name val="Calibri"/>
      <family val="2"/>
    </font>
    <font>
      <b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1" fontId="3" fillId="0" borderId="0" applyFont="0" applyFill="0" applyBorder="0" applyAlignment="0" applyProtection="0"/>
    <xf numFmtId="0" fontId="2" fillId="0" borderId="0"/>
    <xf numFmtId="0" fontId="4" fillId="4" borderId="0" applyNumberFormat="0" applyBorder="0" applyAlignment="0" applyProtection="0"/>
    <xf numFmtId="0" fontId="1" fillId="0" borderId="0"/>
    <xf numFmtId="0" fontId="5" fillId="0" borderId="0"/>
    <xf numFmtId="43" fontId="3" fillId="0" borderId="0" applyFont="0" applyFill="0" applyBorder="0" applyAlignment="0" applyProtection="0"/>
  </cellStyleXfs>
  <cellXfs count="103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/>
    <xf numFmtId="166" fontId="7" fillId="0" borderId="0" xfId="6" applyNumberFormat="1" applyFont="1" applyAlignment="1">
      <alignment horizontal="left" indent="3"/>
    </xf>
    <xf numFmtId="167" fontId="7" fillId="0" borderId="0" xfId="0" applyNumberFormat="1" applyFont="1"/>
    <xf numFmtId="0" fontId="7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0" xfId="0" applyFont="1"/>
    <xf numFmtId="166" fontId="11" fillId="2" borderId="11" xfId="6" applyNumberFormat="1" applyFont="1" applyFill="1" applyBorder="1" applyAlignment="1">
      <alignment horizontal="left" indent="3"/>
    </xf>
    <xf numFmtId="167" fontId="7" fillId="0" borderId="7" xfId="6" applyNumberFormat="1" applyFont="1" applyBorder="1"/>
    <xf numFmtId="166" fontId="7" fillId="0" borderId="7" xfId="6" applyNumberFormat="1" applyFont="1" applyBorder="1"/>
    <xf numFmtId="166" fontId="7" fillId="0" borderId="7" xfId="6" applyNumberFormat="1" applyFont="1" applyBorder="1" applyAlignment="1">
      <alignment horizontal="left" indent="3"/>
    </xf>
    <xf numFmtId="41" fontId="7" fillId="0" borderId="0" xfId="1" applyFont="1"/>
    <xf numFmtId="165" fontId="7" fillId="0" borderId="0" xfId="0" applyNumberFormat="1" applyFont="1"/>
    <xf numFmtId="2" fontId="15" fillId="0" borderId="0" xfId="0" applyNumberFormat="1" applyFont="1"/>
    <xf numFmtId="166" fontId="15" fillId="0" borderId="0" xfId="6" applyNumberFormat="1" applyFont="1" applyAlignment="1">
      <alignment horizontal="left" indent="3"/>
    </xf>
    <xf numFmtId="167" fontId="15" fillId="0" borderId="0" xfId="0" applyNumberFormat="1" applyFont="1"/>
    <xf numFmtId="0" fontId="9" fillId="2" borderId="15" xfId="0" applyFont="1" applyFill="1" applyBorder="1" applyAlignment="1">
      <alignment wrapText="1"/>
    </xf>
    <xf numFmtId="0" fontId="9" fillId="2" borderId="16" xfId="0" applyFont="1" applyFill="1" applyBorder="1" applyAlignment="1">
      <alignment wrapText="1"/>
    </xf>
    <xf numFmtId="0" fontId="10" fillId="2" borderId="17" xfId="0" applyFont="1" applyFill="1" applyBorder="1" applyAlignment="1">
      <alignment horizontal="left" wrapText="1"/>
    </xf>
    <xf numFmtId="0" fontId="9" fillId="2" borderId="18" xfId="0" applyFont="1" applyFill="1" applyBorder="1" applyAlignment="1">
      <alignment wrapText="1"/>
    </xf>
    <xf numFmtId="166" fontId="11" fillId="2" borderId="13" xfId="6" applyNumberFormat="1" applyFont="1" applyFill="1" applyBorder="1" applyAlignment="1">
      <alignment horizontal="left" indent="3"/>
    </xf>
    <xf numFmtId="167" fontId="7" fillId="0" borderId="14" xfId="6" applyNumberFormat="1" applyFont="1" applyBorder="1"/>
    <xf numFmtId="166" fontId="9" fillId="5" borderId="17" xfId="6" applyNumberFormat="1" applyFont="1" applyFill="1" applyBorder="1" applyAlignment="1">
      <alignment horizontal="left" indent="3"/>
    </xf>
    <xf numFmtId="167" fontId="10" fillId="5" borderId="10" xfId="0" applyNumberFormat="1" applyFont="1" applyFill="1" applyBorder="1"/>
    <xf numFmtId="0" fontId="10" fillId="0" borderId="9" xfId="0" applyFont="1" applyBorder="1" applyAlignment="1">
      <alignment horizontal="right"/>
    </xf>
    <xf numFmtId="0" fontId="10" fillId="0" borderId="12" xfId="0" applyFont="1" applyBorder="1" applyAlignment="1">
      <alignment horizontal="right"/>
    </xf>
    <xf numFmtId="0" fontId="7" fillId="0" borderId="10" xfId="0" applyFont="1" applyBorder="1" applyAlignment="1">
      <alignment horizontal="left"/>
    </xf>
    <xf numFmtId="164" fontId="6" fillId="0" borderId="9" xfId="0" applyNumberFormat="1" applyFont="1" applyBorder="1" applyAlignment="1">
      <alignment horizontal="left"/>
    </xf>
    <xf numFmtId="164" fontId="6" fillId="0" borderId="12" xfId="0" applyNumberFormat="1" applyFont="1" applyBorder="1" applyAlignment="1">
      <alignment horizontal="left"/>
    </xf>
    <xf numFmtId="2" fontId="11" fillId="0" borderId="20" xfId="0" applyNumberFormat="1" applyFont="1" applyBorder="1"/>
    <xf numFmtId="0" fontId="7" fillId="0" borderId="2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3" fillId="0" borderId="24" xfId="0" applyFont="1" applyBorder="1"/>
    <xf numFmtId="2" fontId="11" fillId="0" borderId="21" xfId="0" applyNumberFormat="1" applyFont="1" applyBorder="1"/>
    <xf numFmtId="0" fontId="13" fillId="3" borderId="20" xfId="0" applyFont="1" applyFill="1" applyBorder="1"/>
    <xf numFmtId="0" fontId="13" fillId="0" borderId="20" xfId="0" applyFont="1" applyBorder="1"/>
    <xf numFmtId="0" fontId="7" fillId="0" borderId="20" xfId="0" applyFont="1" applyBorder="1" applyAlignment="1">
      <alignment horizontal="left"/>
    </xf>
    <xf numFmtId="0" fontId="13" fillId="0" borderId="20" xfId="4" applyFont="1" applyBorder="1"/>
    <xf numFmtId="0" fontId="7" fillId="0" borderId="20" xfId="0" applyFont="1" applyBorder="1"/>
    <xf numFmtId="2" fontId="9" fillId="5" borderId="2" xfId="0" applyNumberFormat="1" applyFont="1" applyFill="1" applyBorder="1" applyAlignment="1">
      <alignment vertical="center"/>
    </xf>
    <xf numFmtId="2" fontId="9" fillId="5" borderId="1" xfId="0" applyNumberFormat="1" applyFont="1" applyFill="1" applyBorder="1" applyAlignment="1">
      <alignment vertical="center"/>
    </xf>
    <xf numFmtId="2" fontId="9" fillId="5" borderId="19" xfId="0" applyNumberFormat="1" applyFont="1" applyFill="1" applyBorder="1" applyAlignment="1">
      <alignment vertical="center"/>
    </xf>
    <xf numFmtId="0" fontId="13" fillId="0" borderId="25" xfId="0" applyFont="1" applyBorder="1"/>
    <xf numFmtId="2" fontId="11" fillId="0" borderId="25" xfId="0" applyNumberFormat="1" applyFont="1" applyBorder="1"/>
    <xf numFmtId="0" fontId="7" fillId="0" borderId="8" xfId="0" applyFont="1" applyBorder="1" applyAlignment="1">
      <alignment horizontal="center"/>
    </xf>
    <xf numFmtId="0" fontId="9" fillId="2" borderId="10" xfId="0" applyFont="1" applyFill="1" applyBorder="1" applyAlignment="1">
      <alignment horizontal="center" wrapText="1"/>
    </xf>
    <xf numFmtId="0" fontId="10" fillId="2" borderId="4" xfId="0" applyFont="1" applyFill="1" applyBorder="1"/>
    <xf numFmtId="0" fontId="10" fillId="2" borderId="5" xfId="0" applyFont="1" applyFill="1" applyBorder="1" applyAlignment="1">
      <alignment horizontal="right"/>
    </xf>
    <xf numFmtId="166" fontId="10" fillId="2" borderId="5" xfId="6" applyNumberFormat="1" applyFont="1" applyFill="1" applyBorder="1" applyAlignment="1">
      <alignment horizontal="left" indent="3"/>
    </xf>
    <xf numFmtId="167" fontId="10" fillId="2" borderId="6" xfId="0" applyNumberFormat="1" applyFont="1" applyFill="1" applyBorder="1" applyAlignment="1">
      <alignment horizontal="right"/>
    </xf>
    <xf numFmtId="167" fontId="7" fillId="0" borderId="21" xfId="0" applyNumberFormat="1" applyFont="1" applyBorder="1"/>
    <xf numFmtId="0" fontId="7" fillId="0" borderId="20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66" fontId="7" fillId="0" borderId="27" xfId="6" applyNumberFormat="1" applyFont="1" applyBorder="1"/>
    <xf numFmtId="166" fontId="7" fillId="0" borderId="27" xfId="6" applyNumberFormat="1" applyFont="1" applyBorder="1" applyAlignment="1">
      <alignment horizontal="left" indent="3"/>
    </xf>
    <xf numFmtId="167" fontId="7" fillId="0" borderId="23" xfId="0" applyNumberFormat="1" applyFont="1" applyBorder="1"/>
    <xf numFmtId="0" fontId="7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7" fontId="12" fillId="0" borderId="3" xfId="0" applyNumberFormat="1" applyFont="1" applyBorder="1" applyAlignment="1">
      <alignment vertical="center"/>
    </xf>
    <xf numFmtId="166" fontId="12" fillId="0" borderId="1" xfId="6" applyNumberFormat="1" applyFont="1" applyBorder="1" applyAlignment="1">
      <alignment horizontal="center" vertical="center"/>
    </xf>
    <xf numFmtId="14" fontId="17" fillId="0" borderId="14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 vertical="center"/>
    </xf>
    <xf numFmtId="1" fontId="11" fillId="0" borderId="21" xfId="0" applyNumberFormat="1" applyFont="1" applyBorder="1" applyAlignment="1">
      <alignment horizontal="center" vertical="center"/>
    </xf>
    <xf numFmtId="168" fontId="7" fillId="0" borderId="21" xfId="0" applyNumberFormat="1" applyFont="1" applyBorder="1"/>
    <xf numFmtId="0" fontId="7" fillId="6" borderId="20" xfId="0" applyFont="1" applyFill="1" applyBorder="1"/>
    <xf numFmtId="166" fontId="7" fillId="6" borderId="7" xfId="6" applyNumberFormat="1" applyFont="1" applyFill="1" applyBorder="1"/>
    <xf numFmtId="166" fontId="7" fillId="6" borderId="7" xfId="6" applyNumberFormat="1" applyFont="1" applyFill="1" applyBorder="1" applyAlignment="1">
      <alignment horizontal="left" indent="3"/>
    </xf>
    <xf numFmtId="168" fontId="7" fillId="6" borderId="21" xfId="0" applyNumberFormat="1" applyFont="1" applyFill="1" applyBorder="1"/>
    <xf numFmtId="0" fontId="14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67" fontId="7" fillId="0" borderId="0" xfId="6" applyNumberFormat="1" applyFont="1" applyFill="1" applyBorder="1"/>
    <xf numFmtId="0" fontId="16" fillId="0" borderId="0" xfId="0" applyFont="1" applyAlignment="1">
      <alignment horizontal="center"/>
    </xf>
    <xf numFmtId="14" fontId="17" fillId="0" borderId="28" xfId="0" applyNumberFormat="1" applyFont="1" applyBorder="1" applyAlignment="1">
      <alignment horizontal="center"/>
    </xf>
    <xf numFmtId="0" fontId="13" fillId="0" borderId="29" xfId="0" applyFont="1" applyBorder="1"/>
    <xf numFmtId="2" fontId="11" fillId="0" borderId="30" xfId="0" applyNumberFormat="1" applyFont="1" applyBorder="1"/>
    <xf numFmtId="2" fontId="11" fillId="0" borderId="29" xfId="0" applyNumberFormat="1" applyFont="1" applyBorder="1"/>
    <xf numFmtId="0" fontId="7" fillId="0" borderId="32" xfId="0" applyFont="1" applyBorder="1" applyAlignment="1">
      <alignment horizontal="center"/>
    </xf>
    <xf numFmtId="166" fontId="11" fillId="2" borderId="31" xfId="6" applyNumberFormat="1" applyFont="1" applyFill="1" applyBorder="1" applyAlignment="1">
      <alignment horizontal="left" indent="3"/>
    </xf>
    <xf numFmtId="167" fontId="7" fillId="0" borderId="33" xfId="6" applyNumberFormat="1" applyFont="1" applyBorder="1"/>
    <xf numFmtId="0" fontId="14" fillId="0" borderId="15" xfId="0" applyFont="1" applyBorder="1" applyAlignment="1">
      <alignment horizontal="center"/>
    </xf>
    <xf numFmtId="0" fontId="16" fillId="2" borderId="17" xfId="0" applyFont="1" applyFill="1" applyBorder="1" applyAlignment="1">
      <alignment horizontal="center"/>
    </xf>
    <xf numFmtId="1" fontId="6" fillId="2" borderId="16" xfId="0" applyNumberFormat="1" applyFont="1" applyFill="1" applyBorder="1" applyAlignment="1">
      <alignment horizontal="center"/>
    </xf>
    <xf numFmtId="1" fontId="6" fillId="2" borderId="15" xfId="0" applyNumberFormat="1" applyFont="1" applyFill="1" applyBorder="1" applyAlignment="1">
      <alignment horizontal="center"/>
    </xf>
    <xf numFmtId="1" fontId="6" fillId="2" borderId="18" xfId="0" applyNumberFormat="1" applyFont="1" applyFill="1" applyBorder="1" applyAlignment="1">
      <alignment horizontal="center"/>
    </xf>
    <xf numFmtId="1" fontId="6" fillId="2" borderId="19" xfId="0" applyNumberFormat="1" applyFont="1" applyFill="1" applyBorder="1" applyAlignment="1">
      <alignment horizontal="center"/>
    </xf>
    <xf numFmtId="167" fontId="7" fillId="2" borderId="18" xfId="6" applyNumberFormat="1" applyFont="1" applyFill="1" applyBorder="1"/>
    <xf numFmtId="43" fontId="7" fillId="0" borderId="7" xfId="6" applyFont="1" applyBorder="1"/>
    <xf numFmtId="43" fontId="7" fillId="0" borderId="0" xfId="6" applyFont="1"/>
    <xf numFmtId="166" fontId="7" fillId="0" borderId="0" xfId="6" applyNumberFormat="1" applyFont="1"/>
    <xf numFmtId="43" fontId="18" fillId="0" borderId="7" xfId="6" applyFont="1" applyBorder="1"/>
    <xf numFmtId="166" fontId="18" fillId="0" borderId="7" xfId="6" applyNumberFormat="1" applyFont="1" applyBorder="1"/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 wrapText="1"/>
    </xf>
    <xf numFmtId="0" fontId="9" fillId="2" borderId="12" xfId="0" applyFont="1" applyFill="1" applyBorder="1" applyAlignment="1">
      <alignment horizontal="center" wrapText="1"/>
    </xf>
    <xf numFmtId="167" fontId="10" fillId="2" borderId="9" xfId="0" applyNumberFormat="1" applyFont="1" applyFill="1" applyBorder="1" applyAlignment="1">
      <alignment horizontal="left" vertical="center" wrapText="1"/>
    </xf>
    <xf numFmtId="167" fontId="10" fillId="2" borderId="12" xfId="0" applyNumberFormat="1" applyFont="1" applyFill="1" applyBorder="1" applyAlignment="1">
      <alignment horizontal="left" vertical="center" wrapText="1"/>
    </xf>
    <xf numFmtId="166" fontId="9" fillId="2" borderId="9" xfId="6" applyNumberFormat="1" applyFont="1" applyFill="1" applyBorder="1" applyAlignment="1">
      <alignment horizontal="center" vertical="center" wrapText="1"/>
    </xf>
    <xf numFmtId="166" fontId="9" fillId="2" borderId="12" xfId="6" applyNumberFormat="1" applyFont="1" applyFill="1" applyBorder="1" applyAlignment="1">
      <alignment horizontal="center" vertical="center" wrapText="1"/>
    </xf>
  </cellXfs>
  <cellStyles count="7">
    <cellStyle name="Binlik Ayracı [0]" xfId="1" builtinId="6"/>
    <cellStyle name="Neutral 2" xfId="3" xr:uid="{BD365A22-152B-4E16-B311-3EA9F2E3AB3E}"/>
    <cellStyle name="Normal" xfId="0" builtinId="0"/>
    <cellStyle name="Normal 2" xfId="2" xr:uid="{3315B671-0125-45A0-9626-6D43D38991F1}"/>
    <cellStyle name="Normal 2 2" xfId="5" xr:uid="{F2C2F254-E34F-4E90-AF0D-1ADC508F5698}"/>
    <cellStyle name="Normal 3" xfId="4" xr:uid="{76C9C569-46A5-45EF-822D-D20989109654}"/>
    <cellStyle name="Virgül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axter\Nalozi%20za%20fakturisanje\GrundfosIn&#273;.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harun/Desktop/COCO/Ocak%20Ay&#305;%20Faturas&#305;.xlsx" TargetMode="External"/><Relationship Id="rId1" Type="http://schemas.openxmlformats.org/officeDocument/2006/relationships/externalLinkPath" Target="/Users/harun/Desktop/COCO/Ocak%20Ay&#305;%20Faturas&#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 2015"/>
      <sheetName val="MART2015 ispravka"/>
      <sheetName val="MART2015"/>
      <sheetName val="OKTOBAR2014"/>
      <sheetName val="SEPTEMBAR2014"/>
      <sheetName val="AVGUST2014"/>
      <sheetName val="JUL2014"/>
      <sheetName val="JUN2014"/>
      <sheetName val="JUN2013"/>
      <sheetName val="MAJ2013"/>
      <sheetName val="februar2013"/>
      <sheetName val="Januar2013"/>
      <sheetName val="DECEMBAR2012"/>
      <sheetName val="NOVEMBAR2012"/>
      <sheetName val="OKTOBAR2012"/>
      <sheetName val="SEPTEMB12"/>
      <sheetName val="AVGUST12"/>
      <sheetName val="JUL2012"/>
      <sheetName val="JUN2012"/>
      <sheetName val="MAJ2012"/>
      <sheetName val="APRIL2012"/>
      <sheetName val="MART2012"/>
      <sheetName val="FEB2012"/>
      <sheetName val="JAN2012"/>
      <sheetName val="DEC11"/>
      <sheetName val="NOV11"/>
      <sheetName val="OKB2011"/>
      <sheetName val="SEPT11"/>
      <sheetName val="AVGUST11"/>
      <sheetName val="JUL11"/>
      <sheetName val="JUN11"/>
      <sheetName val="MAJ11"/>
      <sheetName val="APRIL11"/>
      <sheetName val="MART11"/>
      <sheetName val="FEB11"/>
      <sheetName val="JAN11"/>
      <sheetName val="DEC10"/>
      <sheetName val="NOV10"/>
      <sheetName val="oktob10"/>
      <sheetName val="sept10"/>
      <sheetName val="07"/>
      <sheetName val="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H6">
            <v>105.11109999999999</v>
          </cell>
        </row>
      </sheetData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Çıkış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C349-8EB4-4266-8F6F-7CD17573534F}">
  <dimension ref="A1:H58"/>
  <sheetViews>
    <sheetView showGridLines="0" topLeftCell="A24" zoomScale="130" zoomScaleNormal="130" zoomScaleSheetLayoutView="100" workbookViewId="0">
      <selection activeCell="F10" sqref="F10"/>
    </sheetView>
  </sheetViews>
  <sheetFormatPr defaultColWidth="9" defaultRowHeight="12" x14ac:dyDescent="0.2"/>
  <cols>
    <col min="1" max="1" width="10.5" style="5" bestFit="1" customWidth="1"/>
    <col min="2" max="2" width="25.875" style="2" bestFit="1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8" width="14.5" style="2" bestFit="1" customWidth="1"/>
    <col min="9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46023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46053</v>
      </c>
      <c r="F7" s="2"/>
      <c r="G7" s="9"/>
    </row>
    <row r="8" spans="1:7" ht="12.75" thickBot="1" x14ac:dyDescent="0.25">
      <c r="A8" s="97"/>
      <c r="B8" s="94" t="s">
        <v>2</v>
      </c>
      <c r="C8" s="95"/>
      <c r="D8" s="94" t="s">
        <v>3</v>
      </c>
      <c r="E8" s="96"/>
      <c r="F8" s="101" t="s">
        <v>0</v>
      </c>
      <c r="G8" s="99" t="s">
        <v>17</v>
      </c>
    </row>
    <row r="9" spans="1:7" ht="15" customHeight="1" thickBot="1" x14ac:dyDescent="0.25">
      <c r="A9" s="98"/>
      <c r="B9" s="19" t="s">
        <v>6</v>
      </c>
      <c r="C9" s="20" t="s">
        <v>4</v>
      </c>
      <c r="D9" s="21" t="s">
        <v>8</v>
      </c>
      <c r="E9" s="22" t="s">
        <v>1</v>
      </c>
      <c r="F9" s="102"/>
      <c r="G9" s="100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13599</v>
      </c>
      <c r="G10" s="26"/>
    </row>
    <row r="11" spans="1:7" ht="13.5" customHeight="1" x14ac:dyDescent="0.2">
      <c r="A11" s="63">
        <v>46023</v>
      </c>
      <c r="B11" s="45" t="s">
        <v>34</v>
      </c>
      <c r="C11" s="64">
        <v>13354</v>
      </c>
      <c r="D11" s="46"/>
      <c r="E11" s="47"/>
      <c r="F11" s="23">
        <f>F10</f>
        <v>13599</v>
      </c>
      <c r="G11" s="24">
        <f t="shared" ref="G11:G40" si="0">F11*$F$53</f>
        <v>421569</v>
      </c>
    </row>
    <row r="12" spans="1:7" ht="14.25" customHeight="1" x14ac:dyDescent="0.2">
      <c r="A12" s="63">
        <v>46024</v>
      </c>
      <c r="B12" s="35" t="s">
        <v>33</v>
      </c>
      <c r="C12" s="65">
        <v>1187</v>
      </c>
      <c r="D12" s="32"/>
      <c r="E12" s="47"/>
      <c r="F12" s="10">
        <f t="shared" ref="F12:F39" si="1">F11+C12-E12</f>
        <v>14786</v>
      </c>
      <c r="G12" s="11">
        <f t="shared" si="0"/>
        <v>458366</v>
      </c>
    </row>
    <row r="13" spans="1:7" ht="13.5" customHeight="1" x14ac:dyDescent="0.2">
      <c r="A13" s="63">
        <v>46025</v>
      </c>
      <c r="B13" s="37" t="s">
        <v>19</v>
      </c>
      <c r="C13" s="65">
        <v>1337</v>
      </c>
      <c r="D13" s="32"/>
      <c r="E13" s="47"/>
      <c r="F13" s="10">
        <f t="shared" si="1"/>
        <v>16123</v>
      </c>
      <c r="G13" s="11">
        <f t="shared" si="0"/>
        <v>499813</v>
      </c>
    </row>
    <row r="14" spans="1:7" x14ac:dyDescent="0.2">
      <c r="A14" s="63">
        <v>46026</v>
      </c>
      <c r="B14" s="38" t="s">
        <v>20</v>
      </c>
      <c r="C14" s="65">
        <v>1609</v>
      </c>
      <c r="D14" s="32"/>
      <c r="E14" s="47"/>
      <c r="F14" s="10">
        <f t="shared" si="1"/>
        <v>17732</v>
      </c>
      <c r="G14" s="11">
        <f t="shared" si="0"/>
        <v>549692</v>
      </c>
    </row>
    <row r="15" spans="1:7" x14ac:dyDescent="0.2">
      <c r="A15" s="63">
        <v>46027</v>
      </c>
      <c r="B15" s="37" t="s">
        <v>21</v>
      </c>
      <c r="C15" s="65">
        <v>1308</v>
      </c>
      <c r="D15" s="32"/>
      <c r="E15" s="47"/>
      <c r="F15" s="10">
        <f t="shared" si="1"/>
        <v>19040</v>
      </c>
      <c r="G15" s="11">
        <f t="shared" si="0"/>
        <v>590240</v>
      </c>
    </row>
    <row r="16" spans="1:7" x14ac:dyDescent="0.2">
      <c r="A16" s="63">
        <v>46028</v>
      </c>
      <c r="B16" s="38" t="s">
        <v>22</v>
      </c>
      <c r="C16" s="65">
        <v>1114</v>
      </c>
      <c r="D16" s="32"/>
      <c r="E16" s="47"/>
      <c r="F16" s="10">
        <f t="shared" si="1"/>
        <v>20154</v>
      </c>
      <c r="G16" s="11">
        <f t="shared" si="0"/>
        <v>624774</v>
      </c>
    </row>
    <row r="17" spans="1:7" x14ac:dyDescent="0.2">
      <c r="A17" s="63">
        <v>46029</v>
      </c>
      <c r="B17" s="39" t="s">
        <v>23</v>
      </c>
      <c r="C17" s="65">
        <v>65</v>
      </c>
      <c r="D17" s="32"/>
      <c r="E17" s="47"/>
      <c r="F17" s="10">
        <f t="shared" si="1"/>
        <v>20219</v>
      </c>
      <c r="G17" s="11">
        <f t="shared" si="0"/>
        <v>626789</v>
      </c>
    </row>
    <row r="18" spans="1:7" x14ac:dyDescent="0.2">
      <c r="A18" s="63">
        <v>46030</v>
      </c>
      <c r="B18" s="38" t="s">
        <v>24</v>
      </c>
      <c r="C18" s="65">
        <v>1568</v>
      </c>
      <c r="D18" s="32"/>
      <c r="E18" s="47"/>
      <c r="F18" s="10">
        <f t="shared" si="1"/>
        <v>21787</v>
      </c>
      <c r="G18" s="11">
        <f t="shared" si="0"/>
        <v>675397</v>
      </c>
    </row>
    <row r="19" spans="1:7" ht="13.5" customHeight="1" x14ac:dyDescent="0.2">
      <c r="A19" s="63">
        <v>46031</v>
      </c>
      <c r="B19" s="38" t="s">
        <v>25</v>
      </c>
      <c r="C19" s="65">
        <v>1022</v>
      </c>
      <c r="D19" s="33"/>
      <c r="E19" s="47">
        <f>VLOOKUP(A19,[2]Çıkış!$A:$H,8,FALSE)</f>
        <v>1441</v>
      </c>
      <c r="F19" s="10">
        <f t="shared" si="1"/>
        <v>21368</v>
      </c>
      <c r="G19" s="11">
        <f t="shared" si="0"/>
        <v>662408</v>
      </c>
    </row>
    <row r="20" spans="1:7" x14ac:dyDescent="0.2">
      <c r="A20" s="63">
        <v>46032</v>
      </c>
      <c r="B20" s="37" t="s">
        <v>26</v>
      </c>
      <c r="C20" s="65">
        <v>943</v>
      </c>
      <c r="D20" s="33"/>
      <c r="E20" s="47"/>
      <c r="F20" s="10">
        <f t="shared" si="1"/>
        <v>22311</v>
      </c>
      <c r="G20" s="11">
        <f t="shared" si="0"/>
        <v>691641</v>
      </c>
    </row>
    <row r="21" spans="1:7" x14ac:dyDescent="0.2">
      <c r="A21" s="63">
        <v>46033</v>
      </c>
      <c r="B21" s="40" t="s">
        <v>27</v>
      </c>
      <c r="C21" s="65">
        <v>134</v>
      </c>
      <c r="D21" s="33"/>
      <c r="E21" s="47"/>
      <c r="F21" s="10">
        <f t="shared" si="1"/>
        <v>22445</v>
      </c>
      <c r="G21" s="11">
        <f t="shared" si="0"/>
        <v>695795</v>
      </c>
    </row>
    <row r="22" spans="1:7" x14ac:dyDescent="0.2">
      <c r="A22" s="63">
        <v>46034</v>
      </c>
      <c r="B22" s="39" t="s">
        <v>28</v>
      </c>
      <c r="C22" s="65">
        <v>1131</v>
      </c>
      <c r="D22" s="33"/>
      <c r="E22" s="47">
        <f>VLOOKUP(A22,[2]Çıkış!$A:$H,8,FALSE)</f>
        <v>964</v>
      </c>
      <c r="F22" s="10">
        <f t="shared" si="1"/>
        <v>22612</v>
      </c>
      <c r="G22" s="11">
        <f t="shared" si="0"/>
        <v>700972</v>
      </c>
    </row>
    <row r="23" spans="1:7" x14ac:dyDescent="0.2">
      <c r="A23" s="63">
        <v>46035</v>
      </c>
      <c r="B23" s="38" t="s">
        <v>29</v>
      </c>
      <c r="C23" s="65">
        <v>490</v>
      </c>
      <c r="D23" s="33"/>
      <c r="E23" s="47">
        <f>VLOOKUP(A23,[2]Çıkış!$A:$H,8,FALSE)</f>
        <v>205</v>
      </c>
      <c r="F23" s="10">
        <f t="shared" si="1"/>
        <v>22897</v>
      </c>
      <c r="G23" s="11">
        <f t="shared" si="0"/>
        <v>709807</v>
      </c>
    </row>
    <row r="24" spans="1:7" x14ac:dyDescent="0.2">
      <c r="A24" s="63">
        <v>46036</v>
      </c>
      <c r="B24" s="38" t="s">
        <v>30</v>
      </c>
      <c r="C24" s="65">
        <v>724</v>
      </c>
      <c r="D24" s="33"/>
      <c r="E24" s="47"/>
      <c r="F24" s="10">
        <f t="shared" si="1"/>
        <v>23621</v>
      </c>
      <c r="G24" s="11">
        <f t="shared" si="0"/>
        <v>732251</v>
      </c>
    </row>
    <row r="25" spans="1:7" x14ac:dyDescent="0.2">
      <c r="A25" s="63">
        <v>46037</v>
      </c>
      <c r="B25" s="38" t="s">
        <v>31</v>
      </c>
      <c r="C25" s="65">
        <v>1285</v>
      </c>
      <c r="D25" s="33"/>
      <c r="E25" s="47"/>
      <c r="F25" s="10">
        <f t="shared" si="1"/>
        <v>24906</v>
      </c>
      <c r="G25" s="11">
        <f t="shared" si="0"/>
        <v>772086</v>
      </c>
    </row>
    <row r="26" spans="1:7" ht="13.5" customHeight="1" x14ac:dyDescent="0.2">
      <c r="A26" s="63">
        <v>46038</v>
      </c>
      <c r="B26" s="38" t="s">
        <v>32</v>
      </c>
      <c r="C26" s="65">
        <v>1058</v>
      </c>
      <c r="D26" s="33"/>
      <c r="E26" s="47">
        <f>VLOOKUP(A26,[2]Çıkış!$A:$H,8,FALSE)</f>
        <v>381</v>
      </c>
      <c r="F26" s="10">
        <f t="shared" si="1"/>
        <v>25583</v>
      </c>
      <c r="G26" s="11">
        <f t="shared" si="0"/>
        <v>793073</v>
      </c>
    </row>
    <row r="27" spans="1:7" x14ac:dyDescent="0.2">
      <c r="A27" s="63">
        <v>46039</v>
      </c>
      <c r="B27" s="38"/>
      <c r="C27" s="36"/>
      <c r="D27" s="33"/>
      <c r="E27" s="47"/>
      <c r="F27" s="10">
        <f t="shared" si="1"/>
        <v>25583</v>
      </c>
      <c r="G27" s="11">
        <f t="shared" si="0"/>
        <v>793073</v>
      </c>
    </row>
    <row r="28" spans="1:7" x14ac:dyDescent="0.2">
      <c r="A28" s="63">
        <v>46040</v>
      </c>
      <c r="B28" s="38"/>
      <c r="C28" s="36"/>
      <c r="D28" s="33"/>
      <c r="E28" s="47"/>
      <c r="F28" s="10">
        <f t="shared" si="1"/>
        <v>25583</v>
      </c>
      <c r="G28" s="11">
        <f t="shared" si="0"/>
        <v>793073</v>
      </c>
    </row>
    <row r="29" spans="1:7" x14ac:dyDescent="0.2">
      <c r="A29" s="63">
        <v>46041</v>
      </c>
      <c r="B29" s="38"/>
      <c r="C29" s="36"/>
      <c r="D29" s="34"/>
      <c r="E29" s="47">
        <f>VLOOKUP(A29,[2]Çıkış!$A:$H,8,FALSE)</f>
        <v>690</v>
      </c>
      <c r="F29" s="10">
        <f t="shared" si="1"/>
        <v>24893</v>
      </c>
      <c r="G29" s="11">
        <f t="shared" si="0"/>
        <v>771683</v>
      </c>
    </row>
    <row r="30" spans="1:7" x14ac:dyDescent="0.2">
      <c r="A30" s="63">
        <v>46042</v>
      </c>
      <c r="B30" s="38"/>
      <c r="C30" s="36"/>
      <c r="D30" s="33"/>
      <c r="E30" s="47">
        <f>VLOOKUP(A30,[2]Çıkış!$A:$H,8,FALSE)</f>
        <v>894</v>
      </c>
      <c r="F30" s="10">
        <f t="shared" si="1"/>
        <v>23999</v>
      </c>
      <c r="G30" s="11">
        <f t="shared" si="0"/>
        <v>743969</v>
      </c>
    </row>
    <row r="31" spans="1:7" x14ac:dyDescent="0.2">
      <c r="A31" s="63">
        <v>46043</v>
      </c>
      <c r="B31" s="37"/>
      <c r="C31" s="36"/>
      <c r="D31" s="33"/>
      <c r="E31" s="47">
        <f>VLOOKUP(A31,[2]Çıkış!$A:$H,8,FALSE)</f>
        <v>1103</v>
      </c>
      <c r="F31" s="10">
        <f t="shared" si="1"/>
        <v>22896</v>
      </c>
      <c r="G31" s="11">
        <f t="shared" si="0"/>
        <v>709776</v>
      </c>
    </row>
    <row r="32" spans="1:7" x14ac:dyDescent="0.2">
      <c r="A32" s="63">
        <v>46044</v>
      </c>
      <c r="B32" s="38"/>
      <c r="C32" s="36"/>
      <c r="D32" s="33"/>
      <c r="E32" s="47">
        <f>VLOOKUP(A32,[2]Çıkış!$A:$H,8,FALSE)</f>
        <v>1163</v>
      </c>
      <c r="F32" s="10">
        <f t="shared" si="1"/>
        <v>21733</v>
      </c>
      <c r="G32" s="11">
        <f t="shared" si="0"/>
        <v>673723</v>
      </c>
    </row>
    <row r="33" spans="1:8" x14ac:dyDescent="0.2">
      <c r="A33" s="63">
        <v>46045</v>
      </c>
      <c r="B33" s="38"/>
      <c r="C33" s="36"/>
      <c r="D33" s="33"/>
      <c r="E33" s="47">
        <f>VLOOKUP(A33,[2]Çıkış!$A:$H,8,FALSE)</f>
        <v>1487</v>
      </c>
      <c r="F33" s="10">
        <f t="shared" si="1"/>
        <v>20246</v>
      </c>
      <c r="G33" s="11">
        <f t="shared" si="0"/>
        <v>627626</v>
      </c>
    </row>
    <row r="34" spans="1:8" x14ac:dyDescent="0.2">
      <c r="A34" s="63">
        <v>46046</v>
      </c>
      <c r="B34" s="38"/>
      <c r="C34" s="36"/>
      <c r="D34" s="33"/>
      <c r="E34" s="47"/>
      <c r="F34" s="10">
        <f t="shared" si="1"/>
        <v>20246</v>
      </c>
      <c r="G34" s="11">
        <f t="shared" si="0"/>
        <v>627626</v>
      </c>
    </row>
    <row r="35" spans="1:8" x14ac:dyDescent="0.2">
      <c r="A35" s="63">
        <v>46047</v>
      </c>
      <c r="B35" s="41"/>
      <c r="C35" s="36"/>
      <c r="D35" s="33"/>
      <c r="E35" s="47"/>
      <c r="F35" s="10">
        <f t="shared" si="1"/>
        <v>20246</v>
      </c>
      <c r="G35" s="11">
        <f t="shared" si="0"/>
        <v>627626</v>
      </c>
    </row>
    <row r="36" spans="1:8" ht="13.5" customHeight="1" x14ac:dyDescent="0.2">
      <c r="A36" s="63">
        <v>46048</v>
      </c>
      <c r="B36" s="38"/>
      <c r="C36" s="36"/>
      <c r="D36" s="32"/>
      <c r="E36" s="47">
        <f>VLOOKUP(A36,[2]Çıkış!$A:$H,8,FALSE)</f>
        <v>277</v>
      </c>
      <c r="F36" s="10">
        <f t="shared" si="1"/>
        <v>19969</v>
      </c>
      <c r="G36" s="11">
        <f t="shared" si="0"/>
        <v>619039</v>
      </c>
    </row>
    <row r="37" spans="1:8" x14ac:dyDescent="0.2">
      <c r="A37" s="63">
        <v>46049</v>
      </c>
      <c r="B37" s="38"/>
      <c r="C37" s="36"/>
      <c r="D37" s="32"/>
      <c r="E37" s="47"/>
      <c r="F37" s="10">
        <f t="shared" si="1"/>
        <v>19969</v>
      </c>
      <c r="G37" s="11">
        <f t="shared" si="0"/>
        <v>619039</v>
      </c>
    </row>
    <row r="38" spans="1:8" x14ac:dyDescent="0.2">
      <c r="A38" s="63">
        <v>46050</v>
      </c>
      <c r="B38" s="41"/>
      <c r="C38" s="36"/>
      <c r="D38" s="32"/>
      <c r="E38" s="47">
        <f>VLOOKUP(A38,[2]Çıkış!$A:$H,8,FALSE)</f>
        <v>893</v>
      </c>
      <c r="F38" s="10">
        <f t="shared" si="1"/>
        <v>19076</v>
      </c>
      <c r="G38" s="11">
        <f t="shared" si="0"/>
        <v>591356</v>
      </c>
    </row>
    <row r="39" spans="1:8" x14ac:dyDescent="0.2">
      <c r="A39" s="63">
        <v>46051</v>
      </c>
      <c r="B39" s="38"/>
      <c r="C39" s="36"/>
      <c r="D39" s="32"/>
      <c r="E39" s="47">
        <f>VLOOKUP(A39,[2]Çıkış!$A:$H,8,FALSE)</f>
        <v>1815</v>
      </c>
      <c r="F39" s="10">
        <f t="shared" si="1"/>
        <v>17261</v>
      </c>
      <c r="G39" s="11">
        <f t="shared" si="0"/>
        <v>535091</v>
      </c>
    </row>
    <row r="40" spans="1:8" x14ac:dyDescent="0.2">
      <c r="A40" s="63">
        <v>46052</v>
      </c>
      <c r="B40" s="38"/>
      <c r="C40" s="36"/>
      <c r="D40" s="32"/>
      <c r="E40" s="47">
        <f>VLOOKUP(A40,[2]Çıkış!$A:$H,8,FALSE)</f>
        <v>608</v>
      </c>
      <c r="F40" s="10">
        <f>F39+C40-E40</f>
        <v>16653</v>
      </c>
      <c r="G40" s="11">
        <f t="shared" si="0"/>
        <v>516243</v>
      </c>
    </row>
    <row r="41" spans="1:8" ht="12.75" thickBot="1" x14ac:dyDescent="0.25">
      <c r="A41" s="75">
        <v>46053</v>
      </c>
      <c r="B41" s="76"/>
      <c r="C41" s="77"/>
      <c r="D41" s="78"/>
      <c r="E41" s="79"/>
      <c r="F41" s="80"/>
      <c r="G41" s="81"/>
    </row>
    <row r="42" spans="1:8" ht="12.75" thickBot="1" x14ac:dyDescent="0.25">
      <c r="A42" s="82"/>
      <c r="B42" s="83" t="s">
        <v>13</v>
      </c>
      <c r="C42" s="84">
        <f>SUM(C11:C41)</f>
        <v>28329</v>
      </c>
      <c r="D42" s="85"/>
      <c r="E42" s="86">
        <f>SUM(E10:E41)</f>
        <v>11921</v>
      </c>
      <c r="F42" s="87">
        <f>SUM(F11:F41)</f>
        <v>627536</v>
      </c>
      <c r="G42" s="88">
        <f>SUM(G11:G41)</f>
        <v>19453616</v>
      </c>
    </row>
    <row r="43" spans="1:8" x14ac:dyDescent="0.2">
      <c r="A43" s="71"/>
      <c r="B43" s="74"/>
      <c r="C43" s="72"/>
      <c r="D43" s="72"/>
      <c r="E43" s="72"/>
      <c r="F43" s="72"/>
      <c r="G43" s="73"/>
    </row>
    <row r="44" spans="1:8" x14ac:dyDescent="0.2">
      <c r="A44" s="71"/>
      <c r="B44" s="74"/>
      <c r="C44" s="72"/>
      <c r="D44" s="72"/>
      <c r="E44" s="72"/>
      <c r="F44" s="72"/>
      <c r="G44" s="73"/>
    </row>
    <row r="45" spans="1:8" ht="12" customHeight="1" x14ac:dyDescent="0.2">
      <c r="B45" s="89" t="s">
        <v>35</v>
      </c>
      <c r="C45" s="12">
        <f>C42*F51</f>
        <v>3116190</v>
      </c>
      <c r="D45" s="12" t="s">
        <v>36</v>
      </c>
      <c r="E45" s="12">
        <f>E42*F52</f>
        <v>1311310</v>
      </c>
    </row>
    <row r="46" spans="1:8" x14ac:dyDescent="0.2">
      <c r="B46" s="90"/>
      <c r="C46" s="91"/>
      <c r="D46" s="91"/>
      <c r="E46" s="91"/>
    </row>
    <row r="47" spans="1:8" x14ac:dyDescent="0.2">
      <c r="B47" s="92" t="s">
        <v>37</v>
      </c>
      <c r="C47" s="93">
        <f>C45+E45</f>
        <v>4427500</v>
      </c>
      <c r="D47" s="91"/>
      <c r="E47" s="91"/>
    </row>
    <row r="48" spans="1:8" x14ac:dyDescent="0.2">
      <c r="H48" s="14"/>
    </row>
    <row r="49" spans="4:8" ht="12.75" thickBot="1" x14ac:dyDescent="0.25"/>
    <row r="50" spans="4:8" x14ac:dyDescent="0.2">
      <c r="D50" s="49"/>
      <c r="E50" s="50" t="s">
        <v>10</v>
      </c>
      <c r="F50" s="51" t="s">
        <v>11</v>
      </c>
      <c r="G50" s="52" t="s">
        <v>12</v>
      </c>
    </row>
    <row r="51" spans="4:8" ht="25.5" customHeight="1" x14ac:dyDescent="0.2">
      <c r="D51" s="41" t="s">
        <v>2</v>
      </c>
      <c r="E51" s="12">
        <f>C42</f>
        <v>28329</v>
      </c>
      <c r="F51" s="13">
        <v>110</v>
      </c>
      <c r="G51" s="66">
        <f>E51*F51</f>
        <v>3116190</v>
      </c>
    </row>
    <row r="52" spans="4:8" x14ac:dyDescent="0.2">
      <c r="D52" s="41" t="s">
        <v>3</v>
      </c>
      <c r="E52" s="12">
        <f>E42</f>
        <v>11921</v>
      </c>
      <c r="F52" s="13">
        <v>110</v>
      </c>
      <c r="G52" s="66">
        <f t="shared" ref="G52:G53" si="2">E52*F52</f>
        <v>1311310</v>
      </c>
      <c r="H52" s="14"/>
    </row>
    <row r="53" spans="4:8" ht="20.25" customHeight="1" x14ac:dyDescent="0.2">
      <c r="D53" s="67" t="s">
        <v>9</v>
      </c>
      <c r="E53" s="68">
        <f>F42</f>
        <v>627536</v>
      </c>
      <c r="F53" s="69">
        <v>31</v>
      </c>
      <c r="G53" s="70">
        <f t="shared" si="2"/>
        <v>19453616</v>
      </c>
      <c r="H53" s="15"/>
    </row>
    <row r="54" spans="4:8" ht="13.5" customHeight="1" x14ac:dyDescent="0.2">
      <c r="D54" s="41"/>
      <c r="E54" s="12"/>
      <c r="F54" s="13"/>
      <c r="G54" s="53"/>
    </row>
    <row r="55" spans="4:8" ht="11.25" customHeight="1" x14ac:dyDescent="0.2">
      <c r="D55" s="54" t="s">
        <v>18</v>
      </c>
      <c r="E55" s="12">
        <v>0</v>
      </c>
      <c r="F55" s="13">
        <v>900</v>
      </c>
      <c r="G55" s="53">
        <f>F55*E55</f>
        <v>0</v>
      </c>
    </row>
    <row r="56" spans="4:8" ht="12.75" thickBot="1" x14ac:dyDescent="0.25">
      <c r="D56" s="55"/>
      <c r="E56" s="56"/>
      <c r="F56" s="57"/>
      <c r="G56" s="58"/>
    </row>
    <row r="57" spans="4:8" ht="12.75" thickBot="1" x14ac:dyDescent="0.25">
      <c r="D57" s="59"/>
      <c r="E57" s="60"/>
      <c r="F57" s="62" t="s">
        <v>37</v>
      </c>
      <c r="G57" s="61">
        <f>SUM(G51:G56)</f>
        <v>23881116</v>
      </c>
    </row>
    <row r="58" spans="4:8" ht="12.75" customHeight="1" x14ac:dyDescent="0.2">
      <c r="E58" s="16"/>
      <c r="F58" s="17"/>
      <c r="G58" s="18"/>
    </row>
  </sheetData>
  <mergeCells count="5">
    <mergeCell ref="B8:C8"/>
    <mergeCell ref="D8:E8"/>
    <mergeCell ref="A8:A9"/>
    <mergeCell ref="G8:G9"/>
    <mergeCell ref="F8:F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7D1F-5FC4-8549-91E3-5A4E440CE53B}">
  <dimension ref="A1:H58"/>
  <sheetViews>
    <sheetView showGridLines="0" tabSelected="1" zoomScale="115" zoomScaleNormal="115" zoomScaleSheetLayoutView="100" workbookViewId="0">
      <selection activeCell="A4" sqref="A4"/>
    </sheetView>
  </sheetViews>
  <sheetFormatPr defaultColWidth="9" defaultRowHeight="12" x14ac:dyDescent="0.2"/>
  <cols>
    <col min="1" max="1" width="10.5" style="5" bestFit="1" customWidth="1"/>
    <col min="2" max="2" width="25.875" style="2" bestFit="1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8" width="14.5" style="2" bestFit="1" customWidth="1"/>
    <col min="9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46054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46081</v>
      </c>
      <c r="F7" s="2"/>
      <c r="G7" s="9"/>
    </row>
    <row r="8" spans="1:7" ht="12.75" thickBot="1" x14ac:dyDescent="0.25">
      <c r="A8" s="97"/>
      <c r="B8" s="94" t="s">
        <v>2</v>
      </c>
      <c r="C8" s="95"/>
      <c r="D8" s="94" t="s">
        <v>3</v>
      </c>
      <c r="E8" s="96"/>
      <c r="F8" s="101" t="s">
        <v>0</v>
      </c>
      <c r="G8" s="99" t="s">
        <v>17</v>
      </c>
    </row>
    <row r="9" spans="1:7" ht="15" customHeight="1" thickBot="1" x14ac:dyDescent="0.25">
      <c r="A9" s="98"/>
      <c r="B9" s="19" t="s">
        <v>6</v>
      </c>
      <c r="C9" s="20" t="s">
        <v>4</v>
      </c>
      <c r="D9" s="21" t="s">
        <v>8</v>
      </c>
      <c r="E9" s="22" t="s">
        <v>1</v>
      </c>
      <c r="F9" s="102"/>
      <c r="G9" s="100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16653</v>
      </c>
      <c r="G10" s="26"/>
    </row>
    <row r="11" spans="1:7" ht="13.5" customHeight="1" x14ac:dyDescent="0.2">
      <c r="A11" s="63">
        <v>46054</v>
      </c>
      <c r="B11" s="45"/>
      <c r="C11" s="64"/>
      <c r="D11" s="46"/>
      <c r="E11" s="47"/>
      <c r="F11" s="23">
        <f>F10</f>
        <v>16653</v>
      </c>
      <c r="G11" s="24">
        <f t="shared" ref="G11:G40" si="0">F11*$F$53</f>
        <v>516243</v>
      </c>
    </row>
    <row r="12" spans="1:7" ht="14.25" customHeight="1" x14ac:dyDescent="0.2">
      <c r="A12" s="63">
        <v>46055</v>
      </c>
      <c r="B12" s="35" t="s">
        <v>38</v>
      </c>
      <c r="C12" s="65">
        <v>565</v>
      </c>
      <c r="D12" s="32"/>
      <c r="E12" s="47"/>
      <c r="F12" s="10">
        <f>F11+C12-E12</f>
        <v>17218</v>
      </c>
      <c r="G12" s="11">
        <f t="shared" si="0"/>
        <v>533758</v>
      </c>
    </row>
    <row r="13" spans="1:7" ht="13.5" customHeight="1" x14ac:dyDescent="0.2">
      <c r="A13" s="63">
        <v>46056</v>
      </c>
      <c r="B13" s="37"/>
      <c r="C13" s="65">
        <v>1381</v>
      </c>
      <c r="D13" s="32"/>
      <c r="E13" s="47"/>
      <c r="F13" s="10">
        <f t="shared" ref="F13:F38" si="1">F12+C13-E13</f>
        <v>18599</v>
      </c>
      <c r="G13" s="11">
        <f t="shared" si="0"/>
        <v>576569</v>
      </c>
    </row>
    <row r="14" spans="1:7" x14ac:dyDescent="0.2">
      <c r="A14" s="63">
        <v>46057</v>
      </c>
      <c r="B14" s="38"/>
      <c r="C14" s="65">
        <v>1225</v>
      </c>
      <c r="D14" s="32"/>
      <c r="E14" s="47">
        <v>443</v>
      </c>
      <c r="F14" s="10">
        <f t="shared" si="1"/>
        <v>19381</v>
      </c>
      <c r="G14" s="11">
        <f t="shared" si="0"/>
        <v>600811</v>
      </c>
    </row>
    <row r="15" spans="1:7" x14ac:dyDescent="0.2">
      <c r="A15" s="63">
        <v>46058</v>
      </c>
      <c r="B15" s="37"/>
      <c r="C15" s="65"/>
      <c r="D15" s="32"/>
      <c r="E15" s="47">
        <v>1316</v>
      </c>
      <c r="F15" s="10">
        <f t="shared" si="1"/>
        <v>18065</v>
      </c>
      <c r="G15" s="11">
        <f t="shared" si="0"/>
        <v>560015</v>
      </c>
    </row>
    <row r="16" spans="1:7" x14ac:dyDescent="0.2">
      <c r="A16" s="63">
        <v>46059</v>
      </c>
      <c r="B16" s="38"/>
      <c r="C16" s="65"/>
      <c r="D16" s="32"/>
      <c r="E16" s="47">
        <v>1149</v>
      </c>
      <c r="F16" s="10">
        <f t="shared" si="1"/>
        <v>16916</v>
      </c>
      <c r="G16" s="11">
        <f t="shared" si="0"/>
        <v>524396</v>
      </c>
    </row>
    <row r="17" spans="1:7" x14ac:dyDescent="0.2">
      <c r="A17" s="63">
        <v>46060</v>
      </c>
      <c r="B17" s="39"/>
      <c r="C17" s="65"/>
      <c r="D17" s="32"/>
      <c r="E17" s="47"/>
      <c r="F17" s="10">
        <f t="shared" si="1"/>
        <v>16916</v>
      </c>
      <c r="G17" s="11">
        <f t="shared" si="0"/>
        <v>524396</v>
      </c>
    </row>
    <row r="18" spans="1:7" x14ac:dyDescent="0.2">
      <c r="A18" s="63">
        <v>46061</v>
      </c>
      <c r="B18" s="38"/>
      <c r="C18" s="65"/>
      <c r="D18" s="32"/>
      <c r="E18" s="47"/>
      <c r="F18" s="10">
        <f t="shared" si="1"/>
        <v>16916</v>
      </c>
      <c r="G18" s="11">
        <f t="shared" si="0"/>
        <v>524396</v>
      </c>
    </row>
    <row r="19" spans="1:7" ht="13.5" customHeight="1" x14ac:dyDescent="0.2">
      <c r="A19" s="63">
        <v>46062</v>
      </c>
      <c r="B19" s="38"/>
      <c r="C19" s="65"/>
      <c r="D19" s="33"/>
      <c r="E19" s="47"/>
      <c r="F19" s="10">
        <f t="shared" si="1"/>
        <v>16916</v>
      </c>
      <c r="G19" s="11">
        <f t="shared" si="0"/>
        <v>524396</v>
      </c>
    </row>
    <row r="20" spans="1:7" x14ac:dyDescent="0.2">
      <c r="A20" s="63">
        <v>46063</v>
      </c>
      <c r="B20" s="37"/>
      <c r="C20" s="65">
        <v>1168</v>
      </c>
      <c r="D20" s="33"/>
      <c r="E20" s="47"/>
      <c r="F20" s="10">
        <f t="shared" si="1"/>
        <v>18084</v>
      </c>
      <c r="G20" s="11">
        <f t="shared" si="0"/>
        <v>560604</v>
      </c>
    </row>
    <row r="21" spans="1:7" x14ac:dyDescent="0.2">
      <c r="A21" s="63">
        <v>46064</v>
      </c>
      <c r="B21" s="40"/>
      <c r="C21" s="65"/>
      <c r="D21" s="33"/>
      <c r="E21" s="47">
        <v>744</v>
      </c>
      <c r="F21" s="10">
        <f t="shared" si="1"/>
        <v>17340</v>
      </c>
      <c r="G21" s="11">
        <f t="shared" si="0"/>
        <v>537540</v>
      </c>
    </row>
    <row r="22" spans="1:7" x14ac:dyDescent="0.2">
      <c r="A22" s="63">
        <v>46065</v>
      </c>
      <c r="B22" s="39"/>
      <c r="C22" s="65"/>
      <c r="D22" s="33"/>
      <c r="E22" s="47">
        <v>608</v>
      </c>
      <c r="F22" s="10">
        <f t="shared" si="1"/>
        <v>16732</v>
      </c>
      <c r="G22" s="11">
        <f t="shared" si="0"/>
        <v>518692</v>
      </c>
    </row>
    <row r="23" spans="1:7" x14ac:dyDescent="0.2">
      <c r="A23" s="63">
        <v>46066</v>
      </c>
      <c r="B23" s="38"/>
      <c r="C23" s="65"/>
      <c r="D23" s="33"/>
      <c r="E23" s="47"/>
      <c r="F23" s="10">
        <f t="shared" si="1"/>
        <v>16732</v>
      </c>
      <c r="G23" s="11">
        <f t="shared" si="0"/>
        <v>518692</v>
      </c>
    </row>
    <row r="24" spans="1:7" x14ac:dyDescent="0.2">
      <c r="A24" s="63">
        <v>46067</v>
      </c>
      <c r="B24" s="38"/>
      <c r="C24" s="65"/>
      <c r="D24" s="33"/>
      <c r="E24" s="47"/>
      <c r="F24" s="10">
        <f t="shared" si="1"/>
        <v>16732</v>
      </c>
      <c r="G24" s="11">
        <f t="shared" si="0"/>
        <v>518692</v>
      </c>
    </row>
    <row r="25" spans="1:7" x14ac:dyDescent="0.2">
      <c r="A25" s="63">
        <v>46068</v>
      </c>
      <c r="B25" s="38"/>
      <c r="C25" s="65"/>
      <c r="D25" s="33"/>
      <c r="E25" s="47"/>
      <c r="F25" s="10">
        <f t="shared" si="1"/>
        <v>16732</v>
      </c>
      <c r="G25" s="11">
        <f t="shared" si="0"/>
        <v>518692</v>
      </c>
    </row>
    <row r="26" spans="1:7" ht="13.5" customHeight="1" x14ac:dyDescent="0.2">
      <c r="A26" s="63">
        <v>46069</v>
      </c>
      <c r="B26" s="38"/>
      <c r="C26" s="65"/>
      <c r="D26" s="33"/>
      <c r="E26" s="47">
        <v>470</v>
      </c>
      <c r="F26" s="10">
        <f t="shared" si="1"/>
        <v>16262</v>
      </c>
      <c r="G26" s="11">
        <f t="shared" si="0"/>
        <v>504122</v>
      </c>
    </row>
    <row r="27" spans="1:7" x14ac:dyDescent="0.2">
      <c r="A27" s="63">
        <v>46070</v>
      </c>
      <c r="B27" s="38"/>
      <c r="C27" s="36"/>
      <c r="D27" s="33"/>
      <c r="E27" s="47">
        <v>480</v>
      </c>
      <c r="F27" s="10">
        <f t="shared" si="1"/>
        <v>15782</v>
      </c>
      <c r="G27" s="11">
        <f t="shared" si="0"/>
        <v>489242</v>
      </c>
    </row>
    <row r="28" spans="1:7" x14ac:dyDescent="0.2">
      <c r="A28" s="63">
        <v>46071</v>
      </c>
      <c r="B28" s="38"/>
      <c r="C28" s="36"/>
      <c r="D28" s="33"/>
      <c r="E28" s="47"/>
      <c r="F28" s="10">
        <f t="shared" si="1"/>
        <v>15782</v>
      </c>
      <c r="G28" s="11">
        <f t="shared" si="0"/>
        <v>489242</v>
      </c>
    </row>
    <row r="29" spans="1:7" x14ac:dyDescent="0.2">
      <c r="A29" s="63">
        <v>46072</v>
      </c>
      <c r="B29" s="38"/>
      <c r="C29" s="65">
        <v>1999</v>
      </c>
      <c r="D29" s="34"/>
      <c r="E29" s="47">
        <v>642</v>
      </c>
      <c r="F29" s="10">
        <f t="shared" si="1"/>
        <v>17139</v>
      </c>
      <c r="G29" s="11">
        <f t="shared" si="0"/>
        <v>531309</v>
      </c>
    </row>
    <row r="30" spans="1:7" x14ac:dyDescent="0.2">
      <c r="A30" s="63">
        <v>46073</v>
      </c>
      <c r="B30" s="38"/>
      <c r="C30" s="36"/>
      <c r="D30" s="33"/>
      <c r="E30" s="47">
        <v>474</v>
      </c>
      <c r="F30" s="10">
        <f t="shared" si="1"/>
        <v>16665</v>
      </c>
      <c r="G30" s="11">
        <f t="shared" si="0"/>
        <v>516615</v>
      </c>
    </row>
    <row r="31" spans="1:7" x14ac:dyDescent="0.2">
      <c r="A31" s="63">
        <v>46074</v>
      </c>
      <c r="B31" s="37"/>
      <c r="C31" s="36"/>
      <c r="D31" s="33"/>
      <c r="E31" s="47"/>
      <c r="F31" s="10">
        <f t="shared" si="1"/>
        <v>16665</v>
      </c>
      <c r="G31" s="11">
        <f t="shared" si="0"/>
        <v>516615</v>
      </c>
    </row>
    <row r="32" spans="1:7" x14ac:dyDescent="0.2">
      <c r="A32" s="63">
        <v>46075</v>
      </c>
      <c r="B32" s="38"/>
      <c r="C32" s="36"/>
      <c r="D32" s="33"/>
      <c r="E32" s="47"/>
      <c r="F32" s="10">
        <f t="shared" si="1"/>
        <v>16665</v>
      </c>
      <c r="G32" s="11">
        <f t="shared" si="0"/>
        <v>516615</v>
      </c>
    </row>
    <row r="33" spans="1:8" x14ac:dyDescent="0.2">
      <c r="A33" s="63">
        <v>46076</v>
      </c>
      <c r="B33" s="38"/>
      <c r="C33" s="36"/>
      <c r="D33" s="33"/>
      <c r="E33" s="47"/>
      <c r="F33" s="10">
        <f t="shared" si="1"/>
        <v>16665</v>
      </c>
      <c r="G33" s="11">
        <f t="shared" si="0"/>
        <v>516615</v>
      </c>
    </row>
    <row r="34" spans="1:8" x14ac:dyDescent="0.2">
      <c r="A34" s="63">
        <v>46077</v>
      </c>
      <c r="B34" s="38"/>
      <c r="C34" s="36"/>
      <c r="D34" s="33"/>
      <c r="E34" s="47"/>
      <c r="F34" s="10">
        <f t="shared" si="1"/>
        <v>16665</v>
      </c>
      <c r="G34" s="11">
        <f t="shared" si="0"/>
        <v>516615</v>
      </c>
    </row>
    <row r="35" spans="1:8" x14ac:dyDescent="0.2">
      <c r="A35" s="63">
        <v>46078</v>
      </c>
      <c r="B35" s="41"/>
      <c r="C35" s="36"/>
      <c r="D35" s="33"/>
      <c r="E35" s="47"/>
      <c r="F35" s="10">
        <f t="shared" si="1"/>
        <v>16665</v>
      </c>
      <c r="G35" s="11">
        <f t="shared" si="0"/>
        <v>516615</v>
      </c>
    </row>
    <row r="36" spans="1:8" ht="13.5" customHeight="1" x14ac:dyDescent="0.2">
      <c r="A36" s="63">
        <v>46079</v>
      </c>
      <c r="B36" s="38"/>
      <c r="C36" s="36"/>
      <c r="D36" s="32"/>
      <c r="E36" s="47"/>
      <c r="F36" s="10">
        <f t="shared" si="1"/>
        <v>16665</v>
      </c>
      <c r="G36" s="11">
        <f t="shared" si="0"/>
        <v>516615</v>
      </c>
    </row>
    <row r="37" spans="1:8" x14ac:dyDescent="0.2">
      <c r="A37" s="63">
        <v>46080</v>
      </c>
      <c r="B37" s="38"/>
      <c r="C37" s="36"/>
      <c r="D37" s="32"/>
      <c r="E37" s="47"/>
      <c r="F37" s="10">
        <f t="shared" si="1"/>
        <v>16665</v>
      </c>
      <c r="G37" s="11">
        <f t="shared" si="0"/>
        <v>516615</v>
      </c>
    </row>
    <row r="38" spans="1:8" x14ac:dyDescent="0.2">
      <c r="A38" s="63">
        <v>46081</v>
      </c>
      <c r="B38" s="41"/>
      <c r="C38" s="36"/>
      <c r="D38" s="32"/>
      <c r="E38" s="47"/>
      <c r="F38" s="10">
        <f t="shared" si="1"/>
        <v>16665</v>
      </c>
      <c r="G38" s="11">
        <f t="shared" si="0"/>
        <v>516615</v>
      </c>
    </row>
    <row r="39" spans="1:8" x14ac:dyDescent="0.2">
      <c r="A39" s="63"/>
      <c r="B39" s="38"/>
      <c r="C39" s="36"/>
      <c r="D39" s="32"/>
      <c r="E39" s="47"/>
      <c r="F39" s="10"/>
      <c r="G39" s="11">
        <f t="shared" si="0"/>
        <v>0</v>
      </c>
    </row>
    <row r="40" spans="1:8" x14ac:dyDescent="0.2">
      <c r="A40" s="63"/>
      <c r="B40" s="38"/>
      <c r="C40" s="36"/>
      <c r="D40" s="32"/>
      <c r="E40" s="47"/>
      <c r="F40" s="10"/>
      <c r="G40" s="11">
        <f t="shared" si="0"/>
        <v>0</v>
      </c>
    </row>
    <row r="41" spans="1:8" ht="12.75" thickBot="1" x14ac:dyDescent="0.25">
      <c r="A41" s="63"/>
      <c r="B41" s="76"/>
      <c r="C41" s="77"/>
      <c r="D41" s="78"/>
      <c r="E41" s="79"/>
      <c r="F41" s="80"/>
      <c r="G41" s="81"/>
    </row>
    <row r="42" spans="1:8" ht="12.75" thickBot="1" x14ac:dyDescent="0.25">
      <c r="A42" s="82"/>
      <c r="B42" s="83" t="s">
        <v>13</v>
      </c>
      <c r="C42" s="84">
        <f>SUM(C11:C41)</f>
        <v>6338</v>
      </c>
      <c r="D42" s="85"/>
      <c r="E42" s="86">
        <f>SUM(E10:E41)</f>
        <v>6326</v>
      </c>
      <c r="F42" s="87">
        <f>SUM(F11:F41)</f>
        <v>474882</v>
      </c>
      <c r="G42" s="88">
        <f>SUM(G11:G41)</f>
        <v>14721342</v>
      </c>
    </row>
    <row r="43" spans="1:8" x14ac:dyDescent="0.2">
      <c r="A43" s="71"/>
      <c r="B43" s="74"/>
      <c r="C43" s="72"/>
      <c r="D43" s="72"/>
      <c r="E43" s="72"/>
      <c r="F43" s="72"/>
      <c r="G43" s="73"/>
    </row>
    <row r="44" spans="1:8" x14ac:dyDescent="0.2">
      <c r="A44" s="71"/>
      <c r="B44" s="74"/>
      <c r="C44" s="72"/>
      <c r="D44" s="72"/>
      <c r="E44" s="72"/>
      <c r="F44" s="72"/>
      <c r="G44" s="73"/>
    </row>
    <row r="45" spans="1:8" ht="12" customHeight="1" x14ac:dyDescent="0.2">
      <c r="B45" s="89" t="s">
        <v>35</v>
      </c>
      <c r="C45" s="12">
        <f>C42*F51</f>
        <v>697180</v>
      </c>
      <c r="D45" s="12" t="s">
        <v>36</v>
      </c>
      <c r="E45" s="12">
        <f>E42*F52</f>
        <v>695860</v>
      </c>
    </row>
    <row r="46" spans="1:8" x14ac:dyDescent="0.2">
      <c r="B46" s="90"/>
      <c r="C46" s="91"/>
      <c r="D46" s="91"/>
      <c r="E46" s="91"/>
    </row>
    <row r="47" spans="1:8" x14ac:dyDescent="0.2">
      <c r="B47" s="92" t="s">
        <v>37</v>
      </c>
      <c r="C47" s="93">
        <f>C45+E45</f>
        <v>1393040</v>
      </c>
      <c r="D47" s="91"/>
      <c r="E47" s="91"/>
    </row>
    <row r="48" spans="1:8" x14ac:dyDescent="0.2">
      <c r="H48" s="14"/>
    </row>
    <row r="49" spans="4:8" ht="12.75" thickBot="1" x14ac:dyDescent="0.25"/>
    <row r="50" spans="4:8" x14ac:dyDescent="0.2">
      <c r="D50" s="49"/>
      <c r="E50" s="50" t="s">
        <v>10</v>
      </c>
      <c r="F50" s="51" t="s">
        <v>11</v>
      </c>
      <c r="G50" s="52" t="s">
        <v>12</v>
      </c>
    </row>
    <row r="51" spans="4:8" ht="25.5" customHeight="1" x14ac:dyDescent="0.2">
      <c r="D51" s="41" t="s">
        <v>2</v>
      </c>
      <c r="E51" s="12">
        <f>C42</f>
        <v>6338</v>
      </c>
      <c r="F51" s="13">
        <v>110</v>
      </c>
      <c r="G51" s="66">
        <f>E51*F51</f>
        <v>697180</v>
      </c>
    </row>
    <row r="52" spans="4:8" x14ac:dyDescent="0.2">
      <c r="D52" s="41" t="s">
        <v>3</v>
      </c>
      <c r="E52" s="12">
        <f>E42</f>
        <v>6326</v>
      </c>
      <c r="F52" s="13">
        <v>110</v>
      </c>
      <c r="G52" s="66">
        <f t="shared" ref="G52:G53" si="2">E52*F52</f>
        <v>695860</v>
      </c>
      <c r="H52" s="14"/>
    </row>
    <row r="53" spans="4:8" ht="20.25" customHeight="1" x14ac:dyDescent="0.2">
      <c r="D53" s="67" t="s">
        <v>9</v>
      </c>
      <c r="E53" s="68">
        <f>F42</f>
        <v>474882</v>
      </c>
      <c r="F53" s="69">
        <v>31</v>
      </c>
      <c r="G53" s="70">
        <f t="shared" si="2"/>
        <v>14721342</v>
      </c>
      <c r="H53" s="15"/>
    </row>
    <row r="54" spans="4:8" ht="13.5" customHeight="1" x14ac:dyDescent="0.2">
      <c r="D54" s="41"/>
      <c r="E54" s="12"/>
      <c r="F54" s="13"/>
      <c r="G54" s="53"/>
    </row>
    <row r="55" spans="4:8" ht="11.25" customHeight="1" x14ac:dyDescent="0.2">
      <c r="D55" s="54" t="s">
        <v>18</v>
      </c>
      <c r="E55" s="12">
        <v>211</v>
      </c>
      <c r="F55" s="13">
        <v>900</v>
      </c>
      <c r="G55" s="53">
        <f>F55*E55</f>
        <v>189900</v>
      </c>
    </row>
    <row r="56" spans="4:8" ht="12.75" thickBot="1" x14ac:dyDescent="0.25">
      <c r="D56" s="55"/>
      <c r="E56" s="56"/>
      <c r="F56" s="57"/>
      <c r="G56" s="58"/>
    </row>
    <row r="57" spans="4:8" ht="12.75" thickBot="1" x14ac:dyDescent="0.25">
      <c r="D57" s="59"/>
      <c r="E57" s="60"/>
      <c r="F57" s="62" t="s">
        <v>37</v>
      </c>
      <c r="G57" s="61">
        <f>SUM(G51:G56)</f>
        <v>16304282</v>
      </c>
    </row>
    <row r="58" spans="4:8" ht="12.75" customHeight="1" x14ac:dyDescent="0.2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JANUARY'26</vt:lpstr>
      <vt:lpstr>February'26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Özkan Yaman</cp:lastModifiedBy>
  <cp:lastPrinted>2025-11-07T12:54:34Z</cp:lastPrinted>
  <dcterms:created xsi:type="dcterms:W3CDTF">2019-12-02T09:28:44Z</dcterms:created>
  <dcterms:modified xsi:type="dcterms:W3CDTF">2026-03-04T11:51:28Z</dcterms:modified>
</cp:coreProperties>
</file>