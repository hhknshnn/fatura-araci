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TURQUALITY\KAZAKİSTAN\2026\4.Nisan\"/>
    </mc:Choice>
  </mc:AlternateContent>
  <xr:revisionPtr revIDLastSave="0" documentId="13_ncr:1_{C27DF92B-DEC2-404B-AE45-61DC71B1EDE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JANUARY'26" sheetId="90" r:id="rId1"/>
    <sheet name="February'26" sheetId="91" r:id="rId2"/>
    <sheet name="Mart'26" sheetId="92" r:id="rId3"/>
    <sheet name="April'26" sheetId="93" r:id="rId4"/>
  </sheets>
  <externalReferences>
    <externalReference r:id="rId5"/>
    <externalReference r:id="rId6"/>
  </externalReferences>
  <definedNames>
    <definedName name="kurs" localSheetId="3">'April''26'!#REF!</definedName>
    <definedName name="kurs" localSheetId="1">'February''26'!#REF!</definedName>
    <definedName name="kurs" localSheetId="0">'JANUARY''26'!#REF!</definedName>
    <definedName name="kurs" localSheetId="2">'Mart''26'!#REF!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93" l="1"/>
  <c r="C40" i="93"/>
  <c r="C42" i="93" s="1"/>
  <c r="C32" i="93"/>
  <c r="C13" i="93"/>
  <c r="F11" i="93"/>
  <c r="G55" i="93"/>
  <c r="E42" i="93"/>
  <c r="E41" i="92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C45" i="93" l="1"/>
  <c r="E51" i="93"/>
  <c r="G51" i="93" s="1"/>
  <c r="E45" i="93"/>
  <c r="E52" i="93"/>
  <c r="G52" i="93" s="1"/>
  <c r="G11" i="93"/>
  <c r="F12" i="93"/>
  <c r="G40" i="92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F13" i="93" l="1"/>
  <c r="G12" i="93"/>
  <c r="C47" i="93"/>
  <c r="G13" i="92"/>
  <c r="E45" i="91"/>
  <c r="C47" i="91" s="1"/>
  <c r="E52" i="91"/>
  <c r="G52" i="91" s="1"/>
  <c r="E51" i="91"/>
  <c r="G51" i="91" s="1"/>
  <c r="F12" i="91"/>
  <c r="G55" i="90"/>
  <c r="G11" i="90"/>
  <c r="C42" i="90"/>
  <c r="F14" i="93" l="1"/>
  <c r="G13" i="93"/>
  <c r="G14" i="92"/>
  <c r="F13" i="91"/>
  <c r="G12" i="91"/>
  <c r="E51" i="90"/>
  <c r="G51" i="90" s="1"/>
  <c r="C45" i="90"/>
  <c r="E42" i="90"/>
  <c r="E45" i="90" s="1"/>
  <c r="F15" i="93" l="1"/>
  <c r="G14" i="93"/>
  <c r="G15" i="92"/>
  <c r="G13" i="91"/>
  <c r="F14" i="91"/>
  <c r="C47" i="90"/>
  <c r="F13" i="90"/>
  <c r="G12" i="90"/>
  <c r="E52" i="90"/>
  <c r="G52" i="90" s="1"/>
  <c r="G57" i="90" s="1"/>
  <c r="G58" i="90" s="1"/>
  <c r="F16" i="93" l="1"/>
  <c r="G15" i="93"/>
  <c r="G16" i="92"/>
  <c r="G14" i="91"/>
  <c r="F15" i="91"/>
  <c r="F14" i="90"/>
  <c r="G13" i="90"/>
  <c r="F17" i="93" l="1"/>
  <c r="G16" i="93"/>
  <c r="G17" i="92"/>
  <c r="F16" i="91"/>
  <c r="G15" i="91"/>
  <c r="F15" i="90"/>
  <c r="G14" i="90"/>
  <c r="F18" i="93" l="1"/>
  <c r="G17" i="93"/>
  <c r="G18" i="92"/>
  <c r="F17" i="91"/>
  <c r="G16" i="91"/>
  <c r="F16" i="90"/>
  <c r="G15" i="90"/>
  <c r="F19" i="93" l="1"/>
  <c r="G18" i="93"/>
  <c r="G19" i="92"/>
  <c r="G17" i="91"/>
  <c r="F18" i="91"/>
  <c r="F17" i="90"/>
  <c r="G16" i="90"/>
  <c r="F20" i="93" l="1"/>
  <c r="G19" i="93"/>
  <c r="G20" i="92"/>
  <c r="F19" i="91"/>
  <c r="G18" i="91"/>
  <c r="F18" i="90"/>
  <c r="G17" i="90"/>
  <c r="F21" i="93" l="1"/>
  <c r="G20" i="93"/>
  <c r="G21" i="92"/>
  <c r="F20" i="91"/>
  <c r="G19" i="91"/>
  <c r="F19" i="90"/>
  <c r="G18" i="90"/>
  <c r="F22" i="93" l="1"/>
  <c r="G21" i="93"/>
  <c r="G22" i="92"/>
  <c r="F21" i="91"/>
  <c r="G20" i="91"/>
  <c r="F20" i="90"/>
  <c r="G19" i="90"/>
  <c r="F23" i="93" l="1"/>
  <c r="G22" i="93"/>
  <c r="G23" i="92"/>
  <c r="F22" i="91"/>
  <c r="G21" i="91"/>
  <c r="F21" i="90"/>
  <c r="G20" i="90"/>
  <c r="F24" i="93" l="1"/>
  <c r="G23" i="93"/>
  <c r="G24" i="92"/>
  <c r="F23" i="91"/>
  <c r="G22" i="91"/>
  <c r="F22" i="90"/>
  <c r="G21" i="90"/>
  <c r="F25" i="93" l="1"/>
  <c r="G24" i="93"/>
  <c r="G25" i="92"/>
  <c r="F24" i="91"/>
  <c r="G23" i="91"/>
  <c r="F23" i="90"/>
  <c r="G22" i="90"/>
  <c r="F26" i="93" l="1"/>
  <c r="G25" i="93"/>
  <c r="G26" i="92"/>
  <c r="F25" i="91"/>
  <c r="G24" i="91"/>
  <c r="F24" i="90"/>
  <c r="G23" i="90"/>
  <c r="F27" i="93" l="1"/>
  <c r="G26" i="93"/>
  <c r="G27" i="92"/>
  <c r="F26" i="91"/>
  <c r="G25" i="91"/>
  <c r="F25" i="90"/>
  <c r="G24" i="90"/>
  <c r="F28" i="93" l="1"/>
  <c r="G27" i="93"/>
  <c r="G28" i="92"/>
  <c r="F27" i="91"/>
  <c r="G26" i="91"/>
  <c r="F26" i="90"/>
  <c r="G25" i="90"/>
  <c r="F29" i="93" l="1"/>
  <c r="G28" i="93"/>
  <c r="G29" i="92"/>
  <c r="G27" i="91"/>
  <c r="F28" i="91"/>
  <c r="F27" i="90"/>
  <c r="G26" i="90"/>
  <c r="F30" i="93" l="1"/>
  <c r="G29" i="93"/>
  <c r="G30" i="92"/>
  <c r="G28" i="91"/>
  <c r="F29" i="91"/>
  <c r="F28" i="90"/>
  <c r="G27" i="90"/>
  <c r="F31" i="93" l="1"/>
  <c r="G30" i="93"/>
  <c r="G31" i="92"/>
  <c r="F30" i="91"/>
  <c r="G29" i="91"/>
  <c r="F29" i="90"/>
  <c r="G28" i="90"/>
  <c r="F32" i="93" l="1"/>
  <c r="G31" i="93"/>
  <c r="G32" i="92"/>
  <c r="F31" i="91"/>
  <c r="G30" i="91"/>
  <c r="F30" i="90"/>
  <c r="G29" i="90"/>
  <c r="F33" i="93" l="1"/>
  <c r="G32" i="93"/>
  <c r="G33" i="92"/>
  <c r="F32" i="91"/>
  <c r="G31" i="91"/>
  <c r="F31" i="90"/>
  <c r="G30" i="90"/>
  <c r="F34" i="93" l="1"/>
  <c r="G33" i="93"/>
  <c r="G34" i="92"/>
  <c r="F33" i="91"/>
  <c r="G32" i="91"/>
  <c r="F32" i="90"/>
  <c r="G31" i="90"/>
  <c r="F35" i="93" l="1"/>
  <c r="G34" i="93"/>
  <c r="G35" i="92"/>
  <c r="F34" i="91"/>
  <c r="G33" i="91"/>
  <c r="F33" i="90"/>
  <c r="G32" i="90"/>
  <c r="F36" i="93" l="1"/>
  <c r="G35" i="93"/>
  <c r="G36" i="92"/>
  <c r="F35" i="91"/>
  <c r="G34" i="91"/>
  <c r="F34" i="90"/>
  <c r="G33" i="90"/>
  <c r="F37" i="93" l="1"/>
  <c r="G36" i="93"/>
  <c r="G37" i="92"/>
  <c r="F36" i="91"/>
  <c r="G35" i="91"/>
  <c r="F35" i="90"/>
  <c r="G34" i="90"/>
  <c r="F38" i="93" l="1"/>
  <c r="G37" i="93"/>
  <c r="G38" i="92"/>
  <c r="G42" i="92" s="1"/>
  <c r="F42" i="92"/>
  <c r="E53" i="92" s="1"/>
  <c r="G53" i="92" s="1"/>
  <c r="G57" i="92" s="1"/>
  <c r="G36" i="91"/>
  <c r="F37" i="91"/>
  <c r="F36" i="90"/>
  <c r="G35" i="90"/>
  <c r="F39" i="93" l="1"/>
  <c r="G38" i="93"/>
  <c r="G37" i="91"/>
  <c r="F38" i="91"/>
  <c r="F37" i="90"/>
  <c r="G36" i="90"/>
  <c r="G39" i="93" l="1"/>
  <c r="F40" i="93"/>
  <c r="G38" i="91"/>
  <c r="F38" i="90"/>
  <c r="G37" i="90"/>
  <c r="G40" i="93" l="1"/>
  <c r="G39" i="91"/>
  <c r="F39" i="90"/>
  <c r="F40" i="90" s="1"/>
  <c r="G38" i="90"/>
  <c r="G42" i="93" l="1"/>
  <c r="F42" i="93"/>
  <c r="E53" i="93" s="1"/>
  <c r="G53" i="93" s="1"/>
  <c r="G57" i="93" s="1"/>
  <c r="G40" i="9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r>
          <rPr>
            <sz val="11"/>
            <color theme="1"/>
            <rFont val="Arial"/>
            <family val="2"/>
            <charset val="238"/>
          </rPr>
  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  </r>
      </text>
    </comment>
  </commentList>
</comments>
</file>

<file path=xl/sharedStrings.xml><?xml version="1.0" encoding="utf-8"?>
<sst xmlns="http://schemas.openxmlformats.org/spreadsheetml/2006/main" count="126" uniqueCount="47">
  <si>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</si>
  <si>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</si>
  <si>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</si>
  <si>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</si>
  <si>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</si>
  <si>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</si>
  <si>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</si>
  <si>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</si>
  <si>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</si>
  <si>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</si>
  <si>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</si>
  <si>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</si>
  <si>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</si>
  <si>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</si>
  <si>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</si>
  <si>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</si>
  <si>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</si>
  <si>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</si>
  <si>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</si>
  <si>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</si>
  <si>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</si>
  <si>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</si>
  <si>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</si>
  <si>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</si>
  <si>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</si>
  <si>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</si>
  <si>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</si>
  <si>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</si>
  <si>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</si>
  <si>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</si>
  <si>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</si>
  <si>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</si>
  <si>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</si>
  <si>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</si>
  <si>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</si>
  <si>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</si>
  <si>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</si>
  <si>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</si>
  <si>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</si>
  <si>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</si>
  <si>
    <t>IHR2026000000095</t>
  </si>
  <si>
    <t>IHR2026000000088 - ANT2026000000039</t>
  </si>
  <si>
    <t>IHR2026000000080</t>
  </si>
  <si>
    <t>IHR2026000000104</t>
  </si>
  <si>
    <t>31.04.2026</t>
  </si>
  <si>
    <t>ANT2026000000047+IHR2026000000106</t>
  </si>
  <si>
    <t>IHR2026000000134 - ANT2026000000055+IHR2026000000124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</si>
</sst>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_-* #,##0.00\ _R_S_D_-;\-* #,##0.00\ _R_S_D_-;_-* &quot;-&quot;??\ _R_S_D_-;_-@_-"/>
    <numFmt numFmtId="166" formatCode="_-* #,##0_-;\-* #,##0_-;_-* &quot;-&quot;??_-;_-@_-"/>
    <numFmt numFmtId="167" formatCode="_-* #,##0.00\ [$₸-43F]_-;\-* #,##0.00\ [$₸-43F]_-;_-* &quot;-&quot;??\ [$₸-43F]_-;_-@_-"/>
    <numFmt numFmtId="168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43" fontId="3" fillId="0" borderId="0" applyFont="0" applyFill="0" applyBorder="0" applyAlignment="0" applyProtection="0"/>
  </cellStyleXfs>
  <cellXfs count="110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6" fontId="7" fillId="0" borderId="0" xfId="6" applyNumberFormat="1" applyFont="1" applyAlignment="1">
      <alignment horizontal="left" indent="3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6" fontId="11" fillId="2" borderId="11" xfId="6" applyNumberFormat="1" applyFont="1" applyFill="1" applyBorder="1" applyAlignment="1">
      <alignment horizontal="left" indent="3"/>
    </xf>
    <xf numFmtId="167" fontId="7" fillId="0" borderId="7" xfId="6" applyNumberFormat="1" applyFont="1" applyBorder="1"/>
    <xf numFmtId="166" fontId="7" fillId="0" borderId="7" xfId="6" applyNumberFormat="1" applyFont="1" applyBorder="1"/>
    <xf numFmtId="166" fontId="7" fillId="0" borderId="7" xfId="6" applyNumberFormat="1" applyFont="1" applyBorder="1" applyAlignment="1">
      <alignment horizontal="left" indent="3"/>
    </xf>
    <xf numFmtId="41" fontId="7" fillId="0" borderId="0" xfId="1" applyFont="1"/>
    <xf numFmtId="165" fontId="7" fillId="0" borderId="0" xfId="0" applyNumberFormat="1" applyFont="1"/>
    <xf numFmtId="2" fontId="15" fillId="0" borderId="0" xfId="0" applyNumberFormat="1" applyFont="1"/>
    <xf numFmtId="166" fontId="15" fillId="0" borderId="0" xfId="6" applyNumberFormat="1" applyFont="1" applyAlignment="1">
      <alignment horizontal="left" indent="3"/>
    </xf>
    <xf numFmtId="167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6" fontId="11" fillId="2" borderId="13" xfId="6" applyNumberFormat="1" applyFont="1" applyFill="1" applyBorder="1" applyAlignment="1">
      <alignment horizontal="left" indent="3"/>
    </xf>
    <xf numFmtId="167" fontId="7" fillId="0" borderId="14" xfId="6" applyNumberFormat="1" applyFont="1" applyBorder="1"/>
    <xf numFmtId="166" fontId="9" fillId="5" borderId="17" xfId="6" applyNumberFormat="1" applyFont="1" applyFill="1" applyBorder="1" applyAlignment="1">
      <alignment horizontal="left" indent="3"/>
    </xf>
    <xf numFmtId="167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6" fontId="10" fillId="2" borderId="5" xfId="6" applyNumberFormat="1" applyFont="1" applyFill="1" applyBorder="1" applyAlignment="1">
      <alignment horizontal="left" indent="3"/>
    </xf>
    <xf numFmtId="167" fontId="10" fillId="2" borderId="6" xfId="0" applyNumberFormat="1" applyFont="1" applyFill="1" applyBorder="1" applyAlignment="1">
      <alignment horizontal="right"/>
    </xf>
    <xf numFmtId="167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6" fontId="7" fillId="0" borderId="27" xfId="6" applyNumberFormat="1" applyFont="1" applyBorder="1"/>
    <xf numFmtId="166" fontId="7" fillId="0" borderId="27" xfId="6" applyNumberFormat="1" applyFont="1" applyBorder="1" applyAlignment="1">
      <alignment horizontal="left" indent="3"/>
    </xf>
    <xf numFmtId="167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12" fillId="0" borderId="3" xfId="0" applyNumberFormat="1" applyFont="1" applyBorder="1" applyAlignment="1">
      <alignment vertical="center"/>
    </xf>
    <xf numFmtId="166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8" fontId="7" fillId="0" borderId="21" xfId="0" applyNumberFormat="1" applyFont="1" applyBorder="1"/>
    <xf numFmtId="0" fontId="7" fillId="6" borderId="20" xfId="0" applyFont="1" applyFill="1" applyBorder="1"/>
    <xf numFmtId="166" fontId="7" fillId="6" borderId="7" xfId="6" applyNumberFormat="1" applyFont="1" applyFill="1" applyBorder="1"/>
    <xf numFmtId="166" fontId="7" fillId="6" borderId="7" xfId="6" applyNumberFormat="1" applyFont="1" applyFill="1" applyBorder="1" applyAlignment="1">
      <alignment horizontal="left" indent="3"/>
    </xf>
    <xf numFmtId="168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6" fontId="11" fillId="2" borderId="31" xfId="6" applyNumberFormat="1" applyFont="1" applyFill="1" applyBorder="1" applyAlignment="1">
      <alignment horizontal="left" indent="3"/>
    </xf>
    <xf numFmtId="167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7" fontId="7" fillId="2" borderId="18" xfId="6" applyNumberFormat="1" applyFont="1" applyFill="1" applyBorder="1"/>
    <xf numFmtId="43" fontId="7" fillId="0" borderId="7" xfId="6" applyFont="1" applyBorder="1"/>
    <xf numFmtId="43" fontId="7" fillId="0" borderId="0" xfId="6" applyFont="1"/>
    <xf numFmtId="166" fontId="7" fillId="0" borderId="0" xfId="6" applyNumberFormat="1" applyFont="1"/>
    <xf numFmtId="43" fontId="18" fillId="0" borderId="7" xfId="6" applyFont="1" applyBorder="1"/>
    <xf numFmtId="166" fontId="18" fillId="0" borderId="7" xfId="6" applyNumberFormat="1" applyFont="1" applyBorder="1"/>
    <xf numFmtId="167" fontId="7" fillId="6" borderId="0" xfId="0" applyNumberFormat="1" applyFont="1" applyFill="1"/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166" fontId="7" fillId="0" borderId="7" xfId="6" applyNumberFormat="1" applyFont="1" applyFill="1" applyBorder="1"/>
    <xf numFmtId="166" fontId="7" fillId="0" borderId="7" xfId="6" applyNumberFormat="1" applyFont="1" applyFill="1" applyBorder="1" applyAlignment="1">
      <alignment horizontal="left" indent="3"/>
    </xf>
    <xf numFmtId="0" fontId="7" fillId="0" borderId="0" xfId="0" applyFont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6" fontId="9" fillId="2" borderId="9" xfId="6" applyNumberFormat="1" applyFont="1" applyFill="1" applyBorder="1" applyAlignment="1">
      <alignment horizontal="center" vertical="center" wrapText="1"/>
    </xf>
    <xf numFmtId="166" fontId="9" fillId="2" borderId="12" xfId="6" applyNumberFormat="1" applyFont="1" applyFill="1" applyBorder="1" applyAlignment="1">
      <alignment horizontal="center" vertical="center" wrapText="1"/>
    </xf>
    <xf numFmtId="167" fontId="10" fillId="2" borderId="9" xfId="0" applyNumberFormat="1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left" vertical="center" wrapText="1"/>
    </xf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Çıkış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46053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2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2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2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2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2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2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2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2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2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2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2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2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2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2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2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2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2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2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2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2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2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2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2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2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2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2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2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2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2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2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2.75" thickBot="1" x14ac:dyDescent="0.25">
      <c r="A41" s="75">
        <v>46053</v>
      </c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4427500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2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2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2">
      <c r="E58" s="16"/>
      <c r="F58" s="17" t="s">
        <v>39</v>
      </c>
      <c r="G58" s="18">
        <f>G57*1.16</f>
        <v>22535900</v>
      </c>
    </row>
    <row r="59" spans="4:8" x14ac:dyDescent="0.2">
      <c r="G59" s="94">
        <v>5135900</v>
      </c>
    </row>
    <row r="60" spans="4:8" x14ac:dyDescent="0.2">
      <c r="G60" s="94">
        <v>7400000</v>
      </c>
    </row>
    <row r="61" spans="4:8" x14ac:dyDescent="0.2">
      <c r="G61" s="94">
        <v>2500000</v>
      </c>
    </row>
    <row r="62" spans="4:8" x14ac:dyDescent="0.2">
      <c r="G62" s="94">
        <v>5000000</v>
      </c>
    </row>
    <row r="63" spans="4:8" x14ac:dyDescent="0.2">
      <c r="G63" s="94">
        <v>2500000</v>
      </c>
    </row>
    <row r="64" spans="4:8" x14ac:dyDescent="0.2">
      <c r="G64" s="4">
        <v>5912967</v>
      </c>
    </row>
    <row r="67" spans="7:7" x14ac:dyDescent="0.2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dimension ref="A1:H58"/>
  <sheetViews>
    <sheetView showGridLines="0" topLeftCell="A27" zoomScale="130" zoomScaleNormal="130" zoomScaleSheetLayoutView="100" workbookViewId="0">
      <selection activeCell="B12" sqref="B12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46081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2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2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2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2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2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2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2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2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2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2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2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2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2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2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2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2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2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2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2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2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2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2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2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2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2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2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2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2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2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2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2.75" thickBot="1" x14ac:dyDescent="0.25">
      <c r="A41" s="63"/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1393040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2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2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dimension ref="A1:G58"/>
  <sheetViews>
    <sheetView showGridLines="0" zoomScale="130" zoomScaleNormal="130" zoomScaleSheetLayoutView="100" workbookViewId="0">
      <selection activeCell="I55" sqref="I55"/>
    </sheetView>
  </sheetViews>
  <sheetFormatPr defaultColWidth="9" defaultRowHeight="12" x14ac:dyDescent="0.2"/>
  <cols>
    <col min="1" max="1" width="10.5" style="5" bestFit="1" customWidth="1"/>
    <col min="2" max="2" width="26.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46112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2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2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2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x14ac:dyDescent="0.2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x14ac:dyDescent="0.2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x14ac:dyDescent="0.2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x14ac:dyDescent="0.2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x14ac:dyDescent="0.2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2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x14ac:dyDescent="0.2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x14ac:dyDescent="0.2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x14ac:dyDescent="0.2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x14ac:dyDescent="0.2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x14ac:dyDescent="0.2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x14ac:dyDescent="0.2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2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x14ac:dyDescent="0.2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x14ac:dyDescent="0.2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x14ac:dyDescent="0.2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x14ac:dyDescent="0.2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x14ac:dyDescent="0.2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x14ac:dyDescent="0.2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x14ac:dyDescent="0.2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x14ac:dyDescent="0.2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x14ac:dyDescent="0.2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2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x14ac:dyDescent="0.2">
      <c r="A37" s="63">
        <v>46108</v>
      </c>
      <c r="B37" s="38"/>
      <c r="C37" s="95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x14ac:dyDescent="0.2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x14ac:dyDescent="0.2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x14ac:dyDescent="0.2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2.75" thickBot="1" x14ac:dyDescent="0.25">
      <c r="A41" s="63">
        <v>46112</v>
      </c>
      <c r="B41" s="76"/>
      <c r="C41" s="96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2.75" thickBot="1" x14ac:dyDescent="0.25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2277000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2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2">
      <c r="D53" s="41" t="s">
        <v>9</v>
      </c>
      <c r="E53" s="97">
        <f>F42</f>
        <v>505363</v>
      </c>
      <c r="F53" s="98">
        <v>31</v>
      </c>
      <c r="G53" s="66">
        <f t="shared" si="2"/>
        <v>15666253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EAB-CF67-044C-92AA-CD778D9245AD}">
  <dimension ref="A1:G58"/>
  <sheetViews>
    <sheetView showGridLines="0" tabSelected="1" zoomScale="130" zoomScaleNormal="130" zoomScaleSheetLayoutView="100" workbookViewId="0">
      <selection activeCell="D4" sqref="D4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46113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46142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14817</v>
      </c>
      <c r="G10" s="26"/>
    </row>
    <row r="11" spans="1:7" ht="13.5" customHeight="1" x14ac:dyDescent="0.2">
      <c r="A11" s="63">
        <v>46113</v>
      </c>
      <c r="B11" s="35"/>
      <c r="C11" s="65"/>
      <c r="D11" s="46"/>
      <c r="E11" s="47"/>
      <c r="F11" s="23">
        <f>F10+C11-E11</f>
        <v>14817</v>
      </c>
      <c r="G11" s="24">
        <f t="shared" ref="G11:G41" si="0">F11*$F$53</f>
        <v>459327</v>
      </c>
    </row>
    <row r="12" spans="1:7" ht="14.25" customHeight="1" x14ac:dyDescent="0.2">
      <c r="A12" s="63">
        <v>46114</v>
      </c>
      <c r="B12" s="38" t="s">
        <v>40</v>
      </c>
      <c r="C12" s="99">
        <v>1365</v>
      </c>
      <c r="D12" s="32"/>
      <c r="E12" s="47"/>
      <c r="F12" s="23">
        <f>F11+C12-E12</f>
        <v>16182</v>
      </c>
      <c r="G12" s="11">
        <f t="shared" si="0"/>
        <v>501642</v>
      </c>
    </row>
    <row r="13" spans="1:7" ht="13.5" customHeight="1" x14ac:dyDescent="0.2">
      <c r="A13" s="63">
        <v>46115</v>
      </c>
      <c r="B13" s="35" t="s">
        <v>41</v>
      </c>
      <c r="C13" s="65">
        <f>333+760</f>
        <v>1093</v>
      </c>
      <c r="D13" s="32"/>
      <c r="E13" s="47">
        <v>1064</v>
      </c>
      <c r="F13" s="23">
        <f t="shared" ref="F13:F40" si="1">F12+C13-E13</f>
        <v>16211</v>
      </c>
      <c r="G13" s="11">
        <f t="shared" si="0"/>
        <v>502541</v>
      </c>
    </row>
    <row r="14" spans="1:7" x14ac:dyDescent="0.2">
      <c r="A14" s="63">
        <v>46116</v>
      </c>
      <c r="B14" s="38"/>
      <c r="C14" s="65"/>
      <c r="D14" s="32"/>
      <c r="E14" s="47"/>
      <c r="F14" s="23">
        <f t="shared" si="1"/>
        <v>16211</v>
      </c>
      <c r="G14" s="11">
        <f t="shared" si="0"/>
        <v>502541</v>
      </c>
    </row>
    <row r="15" spans="1:7" x14ac:dyDescent="0.2">
      <c r="A15" s="63">
        <v>46117</v>
      </c>
      <c r="B15" s="37"/>
      <c r="C15" s="65"/>
      <c r="D15" s="32"/>
      <c r="E15" s="47"/>
      <c r="F15" s="23">
        <f t="shared" si="1"/>
        <v>16211</v>
      </c>
      <c r="G15" s="11">
        <f t="shared" si="0"/>
        <v>502541</v>
      </c>
    </row>
    <row r="16" spans="1:7" x14ac:dyDescent="0.2">
      <c r="A16" s="63">
        <v>46118</v>
      </c>
      <c r="B16" s="38" t="s">
        <v>42</v>
      </c>
      <c r="C16" s="65">
        <v>1422</v>
      </c>
      <c r="D16" s="32"/>
      <c r="E16" s="47">
        <v>409</v>
      </c>
      <c r="F16" s="23">
        <f t="shared" si="1"/>
        <v>17224</v>
      </c>
      <c r="G16" s="11">
        <f t="shared" si="0"/>
        <v>533944</v>
      </c>
    </row>
    <row r="17" spans="1:7" x14ac:dyDescent="0.2">
      <c r="A17" s="63">
        <v>46119</v>
      </c>
      <c r="B17" s="39"/>
      <c r="C17" s="65"/>
      <c r="D17" s="32"/>
      <c r="E17" s="47"/>
      <c r="F17" s="23">
        <f t="shared" si="1"/>
        <v>17224</v>
      </c>
      <c r="G17" s="11">
        <f t="shared" si="0"/>
        <v>533944</v>
      </c>
    </row>
    <row r="18" spans="1:7" x14ac:dyDescent="0.2">
      <c r="A18" s="63">
        <v>46120</v>
      </c>
      <c r="B18" s="38"/>
      <c r="C18" s="65"/>
      <c r="D18" s="32"/>
      <c r="E18" s="47"/>
      <c r="F18" s="23">
        <f t="shared" si="1"/>
        <v>17224</v>
      </c>
      <c r="G18" s="11">
        <f t="shared" si="0"/>
        <v>533944</v>
      </c>
    </row>
    <row r="19" spans="1:7" ht="13.5" customHeight="1" x14ac:dyDescent="0.2">
      <c r="A19" s="63">
        <v>46121</v>
      </c>
      <c r="B19" s="38"/>
      <c r="C19" s="65"/>
      <c r="D19" s="33"/>
      <c r="E19" s="47"/>
      <c r="F19" s="23">
        <f t="shared" si="1"/>
        <v>17224</v>
      </c>
      <c r="G19" s="11">
        <f t="shared" si="0"/>
        <v>533944</v>
      </c>
    </row>
    <row r="20" spans="1:7" x14ac:dyDescent="0.2">
      <c r="A20" s="63">
        <v>46122</v>
      </c>
      <c r="B20" s="37"/>
      <c r="C20" s="65"/>
      <c r="D20" s="33"/>
      <c r="E20" s="47"/>
      <c r="F20" s="23">
        <f t="shared" si="1"/>
        <v>17224</v>
      </c>
      <c r="G20" s="11">
        <f t="shared" si="0"/>
        <v>533944</v>
      </c>
    </row>
    <row r="21" spans="1:7" x14ac:dyDescent="0.2">
      <c r="A21" s="63">
        <v>46123</v>
      </c>
      <c r="B21" s="40"/>
      <c r="C21" s="65"/>
      <c r="D21" s="33"/>
      <c r="E21" s="47"/>
      <c r="F21" s="23">
        <f t="shared" si="1"/>
        <v>17224</v>
      </c>
      <c r="G21" s="11">
        <f t="shared" si="0"/>
        <v>533944</v>
      </c>
    </row>
    <row r="22" spans="1:7" x14ac:dyDescent="0.2">
      <c r="A22" s="63">
        <v>46124</v>
      </c>
      <c r="B22" s="39"/>
      <c r="C22" s="65"/>
      <c r="D22" s="33"/>
      <c r="E22" s="47"/>
      <c r="F22" s="23">
        <f t="shared" si="1"/>
        <v>17224</v>
      </c>
      <c r="G22" s="11">
        <f t="shared" si="0"/>
        <v>533944</v>
      </c>
    </row>
    <row r="23" spans="1:7" x14ac:dyDescent="0.2">
      <c r="A23" s="63">
        <v>46125</v>
      </c>
      <c r="B23" s="38" t="s">
        <v>43</v>
      </c>
      <c r="C23" s="65">
        <v>1283</v>
      </c>
      <c r="D23" s="33"/>
      <c r="E23" s="47"/>
      <c r="F23" s="23">
        <f t="shared" si="1"/>
        <v>18507</v>
      </c>
      <c r="G23" s="11">
        <f t="shared" si="0"/>
        <v>573717</v>
      </c>
    </row>
    <row r="24" spans="1:7" x14ac:dyDescent="0.2">
      <c r="A24" s="63">
        <v>46126</v>
      </c>
      <c r="B24" s="38"/>
      <c r="C24" s="65"/>
      <c r="D24" s="33"/>
      <c r="E24" s="47">
        <v>806</v>
      </c>
      <c r="F24" s="23">
        <f t="shared" si="1"/>
        <v>17701</v>
      </c>
      <c r="G24" s="11">
        <f t="shared" si="0"/>
        <v>548731</v>
      </c>
    </row>
    <row r="25" spans="1:7" x14ac:dyDescent="0.2">
      <c r="A25" s="63">
        <v>46127</v>
      </c>
      <c r="B25" s="38"/>
      <c r="C25" s="65"/>
      <c r="D25" s="33"/>
      <c r="E25" s="47">
        <v>561</v>
      </c>
      <c r="F25" s="23">
        <f t="shared" si="1"/>
        <v>17140</v>
      </c>
      <c r="G25" s="11">
        <f t="shared" si="0"/>
        <v>531340</v>
      </c>
    </row>
    <row r="26" spans="1:7" ht="13.5" customHeight="1" x14ac:dyDescent="0.2">
      <c r="A26" s="63">
        <v>46128</v>
      </c>
      <c r="B26" s="38"/>
      <c r="C26" s="65"/>
      <c r="D26" s="33"/>
      <c r="E26" s="47"/>
      <c r="F26" s="23">
        <f t="shared" si="1"/>
        <v>17140</v>
      </c>
      <c r="G26" s="11">
        <f t="shared" si="0"/>
        <v>531340</v>
      </c>
    </row>
    <row r="27" spans="1:7" x14ac:dyDescent="0.2">
      <c r="A27" s="63">
        <v>46129</v>
      </c>
      <c r="B27" s="38"/>
      <c r="C27" s="100"/>
      <c r="D27" s="33"/>
      <c r="E27" s="47"/>
      <c r="F27" s="23">
        <f t="shared" si="1"/>
        <v>17140</v>
      </c>
      <c r="G27" s="11">
        <f t="shared" si="0"/>
        <v>531340</v>
      </c>
    </row>
    <row r="28" spans="1:7" x14ac:dyDescent="0.2">
      <c r="A28" s="63">
        <v>46130</v>
      </c>
      <c r="B28" s="38"/>
      <c r="C28" s="100"/>
      <c r="D28" s="33"/>
      <c r="E28" s="47"/>
      <c r="F28" s="23">
        <f t="shared" si="1"/>
        <v>17140</v>
      </c>
      <c r="G28" s="11">
        <f t="shared" si="0"/>
        <v>531340</v>
      </c>
    </row>
    <row r="29" spans="1:7" x14ac:dyDescent="0.2">
      <c r="A29" s="63">
        <v>46131</v>
      </c>
      <c r="B29" s="38"/>
      <c r="C29" s="65"/>
      <c r="D29" s="34"/>
      <c r="E29" s="47"/>
      <c r="F29" s="23">
        <f t="shared" si="1"/>
        <v>17140</v>
      </c>
      <c r="G29" s="11">
        <f t="shared" si="0"/>
        <v>531340</v>
      </c>
    </row>
    <row r="30" spans="1:7" x14ac:dyDescent="0.2">
      <c r="A30" s="63">
        <v>46132</v>
      </c>
      <c r="B30" s="38"/>
      <c r="C30" s="100"/>
      <c r="D30" s="33"/>
      <c r="E30" s="47"/>
      <c r="F30" s="23">
        <f t="shared" si="1"/>
        <v>17140</v>
      </c>
      <c r="G30" s="11">
        <f t="shared" si="0"/>
        <v>531340</v>
      </c>
    </row>
    <row r="31" spans="1:7" x14ac:dyDescent="0.2">
      <c r="A31" s="63">
        <v>46133</v>
      </c>
      <c r="B31" s="37"/>
      <c r="C31" s="100"/>
      <c r="D31" s="33"/>
      <c r="E31" s="47"/>
      <c r="F31" s="23">
        <f t="shared" si="1"/>
        <v>17140</v>
      </c>
      <c r="G31" s="11">
        <f t="shared" si="0"/>
        <v>531340</v>
      </c>
    </row>
    <row r="32" spans="1:7" x14ac:dyDescent="0.2">
      <c r="A32" s="63">
        <v>46134</v>
      </c>
      <c r="B32" s="38" t="s">
        <v>45</v>
      </c>
      <c r="C32" s="65">
        <f>985+1425</f>
        <v>2410</v>
      </c>
      <c r="D32" s="33"/>
      <c r="E32" s="47"/>
      <c r="F32" s="23">
        <f t="shared" si="1"/>
        <v>19550</v>
      </c>
      <c r="G32" s="11">
        <f t="shared" si="0"/>
        <v>606050</v>
      </c>
    </row>
    <row r="33" spans="1:7" x14ac:dyDescent="0.2">
      <c r="A33" s="63">
        <v>46135</v>
      </c>
      <c r="B33" s="38"/>
      <c r="C33" s="36"/>
      <c r="D33" s="33"/>
      <c r="E33" s="47"/>
      <c r="F33" s="23">
        <f t="shared" si="1"/>
        <v>19550</v>
      </c>
      <c r="G33" s="11">
        <f t="shared" si="0"/>
        <v>606050</v>
      </c>
    </row>
    <row r="34" spans="1:7" x14ac:dyDescent="0.2">
      <c r="A34" s="63">
        <v>46136</v>
      </c>
      <c r="B34" s="38"/>
      <c r="C34" s="36"/>
      <c r="D34" s="33"/>
      <c r="E34" s="47"/>
      <c r="F34" s="23">
        <f t="shared" si="1"/>
        <v>19550</v>
      </c>
      <c r="G34" s="11">
        <f t="shared" si="0"/>
        <v>606050</v>
      </c>
    </row>
    <row r="35" spans="1:7" x14ac:dyDescent="0.2">
      <c r="A35" s="63">
        <v>46137</v>
      </c>
      <c r="B35" s="41"/>
      <c r="C35" s="36"/>
      <c r="D35" s="33"/>
      <c r="E35" s="47"/>
      <c r="F35" s="23">
        <f t="shared" si="1"/>
        <v>19550</v>
      </c>
      <c r="G35" s="11">
        <f t="shared" si="0"/>
        <v>606050</v>
      </c>
    </row>
    <row r="36" spans="1:7" ht="13.5" customHeight="1" x14ac:dyDescent="0.2">
      <c r="A36" s="63">
        <v>46138</v>
      </c>
      <c r="B36" s="38"/>
      <c r="C36" s="36"/>
      <c r="D36" s="32"/>
      <c r="E36" s="47"/>
      <c r="F36" s="23">
        <f t="shared" si="1"/>
        <v>19550</v>
      </c>
      <c r="G36" s="11">
        <f t="shared" si="0"/>
        <v>606050</v>
      </c>
    </row>
    <row r="37" spans="1:7" x14ac:dyDescent="0.2">
      <c r="A37" s="63">
        <v>46139</v>
      </c>
      <c r="B37" s="38"/>
      <c r="C37" s="95"/>
      <c r="D37" s="32"/>
      <c r="E37" s="47"/>
      <c r="F37" s="23">
        <f t="shared" si="1"/>
        <v>19550</v>
      </c>
      <c r="G37" s="11">
        <f t="shared" si="0"/>
        <v>606050</v>
      </c>
    </row>
    <row r="38" spans="1:7" x14ac:dyDescent="0.2">
      <c r="A38" s="63">
        <v>46140</v>
      </c>
      <c r="B38" s="41"/>
      <c r="C38" s="36"/>
      <c r="D38" s="32"/>
      <c r="E38" s="47"/>
      <c r="F38" s="23">
        <f t="shared" si="1"/>
        <v>19550</v>
      </c>
      <c r="G38" s="11">
        <f t="shared" si="0"/>
        <v>606050</v>
      </c>
    </row>
    <row r="39" spans="1:7" x14ac:dyDescent="0.2">
      <c r="A39" s="63">
        <v>46141</v>
      </c>
      <c r="B39" s="38"/>
      <c r="C39" s="36"/>
      <c r="D39" s="32"/>
      <c r="E39" s="47">
        <v>296</v>
      </c>
      <c r="F39" s="23">
        <f t="shared" si="1"/>
        <v>19254</v>
      </c>
      <c r="G39" s="11">
        <f t="shared" si="0"/>
        <v>596874</v>
      </c>
    </row>
    <row r="40" spans="1:7" x14ac:dyDescent="0.2">
      <c r="A40" s="63">
        <v>46142</v>
      </c>
      <c r="B40" s="38" t="s">
        <v>46</v>
      </c>
      <c r="C40" s="95">
        <f>280+811+1177</f>
        <v>2268</v>
      </c>
      <c r="D40" s="32"/>
      <c r="E40" s="47">
        <v>1612</v>
      </c>
      <c r="F40" s="23">
        <f t="shared" si="1"/>
        <v>19910</v>
      </c>
      <c r="G40" s="11">
        <f t="shared" si="0"/>
        <v>617210</v>
      </c>
    </row>
    <row r="41" spans="1:7" ht="12.75" thickBot="1" x14ac:dyDescent="0.25">
      <c r="A41" s="63" t="s">
        <v>44</v>
      </c>
      <c r="B41" s="76"/>
      <c r="C41" s="96"/>
      <c r="D41" s="78"/>
      <c r="E41" s="79"/>
      <c r="F41" s="23"/>
      <c r="G41" s="11">
        <f t="shared" si="0"/>
        <v>0</v>
      </c>
    </row>
    <row r="42" spans="1:7" ht="12.75" thickBot="1" x14ac:dyDescent="0.25">
      <c r="A42" s="82"/>
      <c r="B42" s="83" t="s">
        <v>13</v>
      </c>
      <c r="C42" s="84">
        <f>SUM(C11:C41)</f>
        <v>9841</v>
      </c>
      <c r="D42" s="85"/>
      <c r="E42" s="86">
        <f>SUM(E10:E41)</f>
        <v>4748</v>
      </c>
      <c r="F42" s="87">
        <f>SUM(F11:F41)</f>
        <v>532402</v>
      </c>
      <c r="G42" s="88">
        <f>SUM(G11:G41)</f>
        <v>16504462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1082510</v>
      </c>
      <c r="D45" s="12" t="s">
        <v>36</v>
      </c>
      <c r="E45" s="12">
        <f>E42*F52</f>
        <v>522280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1604790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9841</v>
      </c>
      <c r="F51" s="13">
        <v>110</v>
      </c>
      <c r="G51" s="66">
        <f>E51*F51</f>
        <v>1082510</v>
      </c>
    </row>
    <row r="52" spans="4:7" x14ac:dyDescent="0.2">
      <c r="D52" s="41" t="s">
        <v>3</v>
      </c>
      <c r="E52" s="12">
        <f>E42</f>
        <v>4748</v>
      </c>
      <c r="F52" s="13">
        <v>110</v>
      </c>
      <c r="G52" s="66">
        <f t="shared" ref="G52:G53" si="2">E52*F52</f>
        <v>522280</v>
      </c>
    </row>
    <row r="53" spans="4:7" ht="20.25" customHeight="1" x14ac:dyDescent="0.2">
      <c r="D53" s="41" t="s">
        <v>9</v>
      </c>
      <c r="E53" s="97">
        <f>F42</f>
        <v>532402</v>
      </c>
      <c r="F53" s="98">
        <v>31</v>
      </c>
      <c r="G53" s="66">
        <f t="shared" si="2"/>
        <v>16504462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190</v>
      </c>
      <c r="F55" s="13">
        <v>900</v>
      </c>
      <c r="G55" s="53">
        <f>F55*E55</f>
        <v>171000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18280252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JANUARY'26</vt:lpstr>
      <vt:lpstr>February'26</vt:lpstr>
      <vt:lpstr>Mart'26</vt:lpstr>
      <vt:lpstr>April'26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cp:lastPrinted>2025-11-07T12:54:34Z</cp:lastPrinted>
  <dcterms:created xsi:type="dcterms:W3CDTF">2019-12-02T09:28:44Z</dcterms:created>
  <dcterms:modified xsi:type="dcterms:W3CDTF">2026-05-11T11:12:55Z</dcterms:modified>
</cp:coreProperties>
</file>