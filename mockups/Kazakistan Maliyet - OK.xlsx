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MCAD1\foreign_trade\0.EXPORT\2025_ihracat_Operasyon_Takip_Raporu\"/>
    </mc:Choice>
  </mc:AlternateContent>
  <bookViews>
    <workbookView xWindow="-110" yWindow="-110" windowWidth="19420" windowHeight="10420" tabRatio="567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Sayfa1!$A$1:$AC$146</definedName>
  </definedName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6" i="1" l="1"/>
  <c r="Q145" i="1"/>
  <c r="Q144" i="1"/>
  <c r="S145" i="1"/>
  <c r="S144" i="1"/>
  <c r="S146" i="1" l="1"/>
  <c r="S143" i="1"/>
  <c r="N134" i="1"/>
  <c r="N133" i="1" l="1"/>
  <c r="Q135" i="1"/>
  <c r="Q134" i="1"/>
  <c r="Q138" i="1"/>
  <c r="Q137" i="1"/>
  <c r="Q141" i="1"/>
  <c r="Q140" i="1"/>
  <c r="S138" i="1"/>
  <c r="S137" i="1"/>
  <c r="S141" i="1"/>
  <c r="S140" i="1"/>
  <c r="S139" i="1"/>
  <c r="S142" i="1"/>
  <c r="V146" i="1"/>
  <c r="U146" i="1"/>
  <c r="R146" i="1"/>
  <c r="W146" i="1" s="1"/>
  <c r="L146" i="1"/>
  <c r="V145" i="1"/>
  <c r="U145" i="1"/>
  <c r="R145" i="1"/>
  <c r="W145" i="1" s="1"/>
  <c r="L145" i="1"/>
  <c r="V144" i="1"/>
  <c r="U144" i="1"/>
  <c r="R144" i="1"/>
  <c r="W144" i="1" s="1"/>
  <c r="L144" i="1"/>
  <c r="S121" i="1" l="1"/>
  <c r="V143" i="1"/>
  <c r="U143" i="1"/>
  <c r="R143" i="1"/>
  <c r="W143" i="1" s="1"/>
  <c r="L143" i="1"/>
  <c r="S135" i="1"/>
  <c r="S134" i="1"/>
  <c r="N116" i="1" l="1"/>
  <c r="N112" i="1"/>
  <c r="Q124" i="1" l="1"/>
  <c r="Q123" i="1"/>
  <c r="Q131" i="1"/>
  <c r="S131" i="1"/>
  <c r="S128" i="1"/>
  <c r="Q128" i="1"/>
  <c r="Q130" i="1"/>
  <c r="S130" i="1"/>
  <c r="Q132" i="1"/>
  <c r="S132" i="1"/>
  <c r="O140" i="1"/>
  <c r="V142" i="1"/>
  <c r="U142" i="1"/>
  <c r="R142" i="1"/>
  <c r="L142" i="1"/>
  <c r="V141" i="1"/>
  <c r="U141" i="1"/>
  <c r="R141" i="1"/>
  <c r="L141" i="1"/>
  <c r="V140" i="1"/>
  <c r="U140" i="1"/>
  <c r="R140" i="1"/>
  <c r="L140" i="1"/>
  <c r="V139" i="1"/>
  <c r="U139" i="1"/>
  <c r="R139" i="1"/>
  <c r="L139" i="1"/>
  <c r="S133" i="1"/>
  <c r="Q133" i="1"/>
  <c r="Q136" i="1"/>
  <c r="S136" i="1"/>
  <c r="W139" i="1" l="1"/>
  <c r="W141" i="1"/>
  <c r="W140" i="1"/>
  <c r="W142" i="1"/>
  <c r="O138" i="1"/>
  <c r="V138" i="1"/>
  <c r="U138" i="1"/>
  <c r="R138" i="1"/>
  <c r="L138" i="1"/>
  <c r="V137" i="1"/>
  <c r="U137" i="1"/>
  <c r="R137" i="1"/>
  <c r="L137" i="1"/>
  <c r="S126" i="1"/>
  <c r="S129" i="1"/>
  <c r="Q127" i="1"/>
  <c r="S127" i="1"/>
  <c r="O127" i="1"/>
  <c r="O132" i="1"/>
  <c r="O130" i="1"/>
  <c r="O133" i="1"/>
  <c r="O131" i="1"/>
  <c r="V135" i="1"/>
  <c r="U135" i="1"/>
  <c r="R135" i="1"/>
  <c r="L135" i="1"/>
  <c r="V134" i="1"/>
  <c r="U134" i="1"/>
  <c r="R134" i="1"/>
  <c r="L134" i="1"/>
  <c r="V136" i="1"/>
  <c r="U136" i="1"/>
  <c r="R136" i="1"/>
  <c r="L136" i="1"/>
  <c r="S124" i="1"/>
  <c r="S123" i="1"/>
  <c r="Q125" i="1"/>
  <c r="S125" i="1"/>
  <c r="V133" i="1"/>
  <c r="U133" i="1"/>
  <c r="R133" i="1"/>
  <c r="L133" i="1"/>
  <c r="V132" i="1"/>
  <c r="U132" i="1"/>
  <c r="R132" i="1"/>
  <c r="L132" i="1"/>
  <c r="V131" i="1"/>
  <c r="U131" i="1"/>
  <c r="R131" i="1"/>
  <c r="L131" i="1"/>
  <c r="V130" i="1"/>
  <c r="U130" i="1"/>
  <c r="R130" i="1"/>
  <c r="L130" i="1"/>
  <c r="W135" i="1" l="1"/>
  <c r="W137" i="1"/>
  <c r="W136" i="1"/>
  <c r="W138" i="1"/>
  <c r="W130" i="1"/>
  <c r="W133" i="1"/>
  <c r="W131" i="1"/>
  <c r="W134" i="1"/>
  <c r="W132" i="1"/>
  <c r="Q120" i="1"/>
  <c r="S120" i="1"/>
  <c r="Q119" i="1"/>
  <c r="Q118" i="1"/>
  <c r="S118" i="1"/>
  <c r="S119" i="1"/>
  <c r="V129" i="1"/>
  <c r="U129" i="1"/>
  <c r="R129" i="1"/>
  <c r="L129" i="1"/>
  <c r="V128" i="1"/>
  <c r="U128" i="1"/>
  <c r="R128" i="1"/>
  <c r="L128" i="1"/>
  <c r="O128" i="1"/>
  <c r="V127" i="1"/>
  <c r="U127" i="1"/>
  <c r="R127" i="1"/>
  <c r="L127" i="1"/>
  <c r="O126" i="1"/>
  <c r="V126" i="1"/>
  <c r="U126" i="1"/>
  <c r="R126" i="1"/>
  <c r="L126" i="1"/>
  <c r="O129" i="1"/>
  <c r="O125" i="1"/>
  <c r="O123" i="1"/>
  <c r="O124" i="1"/>
  <c r="W127" i="1" l="1"/>
  <c r="W129" i="1"/>
  <c r="W128" i="1"/>
  <c r="W126" i="1"/>
  <c r="N105" i="1"/>
  <c r="Q122" i="1" l="1"/>
  <c r="S122" i="1"/>
  <c r="Q115" i="1" l="1"/>
  <c r="Q114" i="1"/>
  <c r="S115" i="1"/>
  <c r="S114" i="1"/>
  <c r="Q113" i="1"/>
  <c r="Q112" i="1"/>
  <c r="S112" i="1"/>
  <c r="S113" i="1"/>
  <c r="Q109" i="1"/>
  <c r="S109" i="1"/>
  <c r="Q117" i="1"/>
  <c r="R117" i="1" s="1"/>
  <c r="S117" i="1"/>
  <c r="U117" i="1" s="1"/>
  <c r="O119" i="1"/>
  <c r="O121" i="1"/>
  <c r="O122" i="1"/>
  <c r="V125" i="1"/>
  <c r="U125" i="1"/>
  <c r="R125" i="1"/>
  <c r="L125" i="1"/>
  <c r="V124" i="1"/>
  <c r="U124" i="1"/>
  <c r="R124" i="1"/>
  <c r="W124" i="1" s="1"/>
  <c r="L124" i="1"/>
  <c r="V123" i="1"/>
  <c r="U123" i="1"/>
  <c r="R123" i="1"/>
  <c r="L123" i="1"/>
  <c r="Q116" i="1"/>
  <c r="R116" i="1" s="1"/>
  <c r="S116" i="1"/>
  <c r="U116" i="1" s="1"/>
  <c r="Q111" i="1"/>
  <c r="S111" i="1"/>
  <c r="Q110" i="1"/>
  <c r="S110" i="1"/>
  <c r="O115" i="1"/>
  <c r="O113" i="1"/>
  <c r="V122" i="1"/>
  <c r="U122" i="1"/>
  <c r="R122" i="1"/>
  <c r="L122" i="1"/>
  <c r="V121" i="1"/>
  <c r="U121" i="1"/>
  <c r="R121" i="1"/>
  <c r="L121" i="1"/>
  <c r="Q108" i="1"/>
  <c r="S108" i="1"/>
  <c r="O116" i="1"/>
  <c r="O117" i="1"/>
  <c r="O114" i="1"/>
  <c r="O112" i="1"/>
  <c r="O111" i="1"/>
  <c r="V119" i="1"/>
  <c r="U119" i="1"/>
  <c r="R119" i="1"/>
  <c r="L119" i="1"/>
  <c r="V118" i="1"/>
  <c r="U118" i="1"/>
  <c r="R118" i="1"/>
  <c r="L118" i="1"/>
  <c r="V120" i="1"/>
  <c r="U120" i="1"/>
  <c r="R120" i="1"/>
  <c r="L120" i="1"/>
  <c r="Q107" i="1"/>
  <c r="S107" i="1"/>
  <c r="Q104" i="1"/>
  <c r="S104" i="1"/>
  <c r="T104" i="1"/>
  <c r="O110" i="1"/>
  <c r="O109" i="1"/>
  <c r="O108" i="1"/>
  <c r="V117" i="1"/>
  <c r="L117" i="1"/>
  <c r="V116" i="1"/>
  <c r="L116" i="1"/>
  <c r="W121" i="1" l="1"/>
  <c r="W120" i="1"/>
  <c r="W123" i="1"/>
  <c r="W125" i="1"/>
  <c r="W122" i="1"/>
  <c r="W119" i="1"/>
  <c r="W117" i="1"/>
  <c r="W118" i="1"/>
  <c r="W116" i="1"/>
  <c r="V115" i="1"/>
  <c r="U115" i="1"/>
  <c r="R115" i="1"/>
  <c r="L115" i="1"/>
  <c r="V114" i="1"/>
  <c r="U114" i="1"/>
  <c r="R114" i="1"/>
  <c r="L114" i="1"/>
  <c r="V113" i="1"/>
  <c r="U113" i="1"/>
  <c r="R113" i="1"/>
  <c r="L113" i="1"/>
  <c r="V112" i="1"/>
  <c r="U112" i="1"/>
  <c r="R112" i="1"/>
  <c r="L112" i="1"/>
  <c r="W114" i="1" l="1"/>
  <c r="W113" i="1"/>
  <c r="W115" i="1"/>
  <c r="W112" i="1"/>
  <c r="Q101" i="1"/>
  <c r="S101" i="1"/>
  <c r="V111" i="1"/>
  <c r="U111" i="1"/>
  <c r="R111" i="1"/>
  <c r="L111" i="1"/>
  <c r="V110" i="1"/>
  <c r="U110" i="1"/>
  <c r="R110" i="1"/>
  <c r="L110" i="1"/>
  <c r="V109" i="1"/>
  <c r="U109" i="1"/>
  <c r="R109" i="1"/>
  <c r="L109" i="1"/>
  <c r="W109" i="1" l="1"/>
  <c r="W111" i="1"/>
  <c r="W110" i="1"/>
  <c r="O106" i="1"/>
  <c r="O104" i="1"/>
  <c r="Q99" i="1"/>
  <c r="Q98" i="1"/>
  <c r="S98" i="1"/>
  <c r="S99" i="1"/>
  <c r="Q102" i="1"/>
  <c r="S102" i="1"/>
  <c r="Q100" i="1"/>
  <c r="S100" i="1"/>
  <c r="V108" i="1"/>
  <c r="U108" i="1"/>
  <c r="R108" i="1"/>
  <c r="L108" i="1"/>
  <c r="V107" i="1"/>
  <c r="U107" i="1"/>
  <c r="R107" i="1"/>
  <c r="L107" i="1"/>
  <c r="W107" i="1" l="1"/>
  <c r="W108" i="1"/>
  <c r="Q103" i="1"/>
  <c r="S103" i="1"/>
  <c r="L106" i="1" l="1"/>
  <c r="L105" i="1"/>
  <c r="Q105" i="1" l="1"/>
  <c r="R105" i="1" s="1"/>
  <c r="T105" i="1"/>
  <c r="V105" i="1" s="1"/>
  <c r="S105" i="1"/>
  <c r="U105" i="1" s="1"/>
  <c r="Q106" i="1"/>
  <c r="R106" i="1" s="1"/>
  <c r="T106" i="1"/>
  <c r="V106" i="1" s="1"/>
  <c r="S106" i="1"/>
  <c r="U106" i="1" s="1"/>
  <c r="Q97" i="1"/>
  <c r="Q96" i="1"/>
  <c r="S97" i="1"/>
  <c r="S96" i="1"/>
  <c r="W106" i="1" l="1"/>
  <c r="W105" i="1"/>
  <c r="V104" i="1"/>
  <c r="U104" i="1"/>
  <c r="R104" i="1"/>
  <c r="L104" i="1"/>
  <c r="W104" i="1" l="1"/>
  <c r="O103" i="1"/>
  <c r="S95" i="1"/>
  <c r="Q94" i="1"/>
  <c r="S94" i="1"/>
  <c r="Q92" i="1"/>
  <c r="Q91" i="1"/>
  <c r="S92" i="1"/>
  <c r="S91" i="1"/>
  <c r="Q93" i="1"/>
  <c r="S93" i="1"/>
  <c r="V103" i="1"/>
  <c r="U103" i="1"/>
  <c r="R103" i="1"/>
  <c r="L103" i="1"/>
  <c r="V102" i="1"/>
  <c r="U102" i="1"/>
  <c r="R102" i="1"/>
  <c r="L102" i="1"/>
  <c r="V101" i="1"/>
  <c r="U101" i="1"/>
  <c r="R101" i="1"/>
  <c r="L101" i="1"/>
  <c r="V100" i="1"/>
  <c r="U100" i="1"/>
  <c r="R100" i="1"/>
  <c r="L100" i="1"/>
  <c r="V99" i="1"/>
  <c r="U99" i="1"/>
  <c r="R99" i="1"/>
  <c r="L99" i="1"/>
  <c r="V98" i="1"/>
  <c r="U98" i="1"/>
  <c r="R98" i="1"/>
  <c r="L98" i="1"/>
  <c r="V97" i="1"/>
  <c r="U97" i="1"/>
  <c r="R97" i="1"/>
  <c r="L97" i="1"/>
  <c r="V96" i="1"/>
  <c r="U96" i="1"/>
  <c r="R96" i="1"/>
  <c r="L96" i="1"/>
  <c r="O95" i="1"/>
  <c r="O93" i="1"/>
  <c r="Q88" i="1"/>
  <c r="Q87" i="1"/>
  <c r="S88" i="1"/>
  <c r="S87" i="1"/>
  <c r="W97" i="1" l="1"/>
  <c r="W99" i="1"/>
  <c r="W101" i="1"/>
  <c r="W100" i="1"/>
  <c r="W98" i="1"/>
  <c r="W102" i="1"/>
  <c r="W96" i="1"/>
  <c r="W103" i="1"/>
  <c r="V95" i="1"/>
  <c r="U95" i="1"/>
  <c r="R95" i="1"/>
  <c r="L95" i="1"/>
  <c r="V94" i="1"/>
  <c r="U94" i="1"/>
  <c r="R94" i="1"/>
  <c r="L94" i="1"/>
  <c r="V92" i="1"/>
  <c r="U92" i="1"/>
  <c r="R92" i="1"/>
  <c r="L92" i="1"/>
  <c r="V91" i="1"/>
  <c r="U91" i="1"/>
  <c r="R91" i="1"/>
  <c r="L91" i="1"/>
  <c r="V93" i="1"/>
  <c r="U93" i="1"/>
  <c r="R93" i="1"/>
  <c r="L93" i="1"/>
  <c r="S82" i="1"/>
  <c r="T82" i="1"/>
  <c r="L90" i="1"/>
  <c r="L89" i="1"/>
  <c r="O88" i="1"/>
  <c r="O87" i="1"/>
  <c r="Q86" i="1"/>
  <c r="S86" i="1"/>
  <c r="T90" i="1" l="1"/>
  <c r="V90" i="1" s="1"/>
  <c r="Q90" i="1"/>
  <c r="R90" i="1" s="1"/>
  <c r="S90" i="1"/>
  <c r="U90" i="1" s="1"/>
  <c r="S89" i="1"/>
  <c r="U89" i="1" s="1"/>
  <c r="T89" i="1"/>
  <c r="V89" i="1" s="1"/>
  <c r="Q89" i="1"/>
  <c r="R89" i="1" s="1"/>
  <c r="W94" i="1"/>
  <c r="W92" i="1"/>
  <c r="W91" i="1"/>
  <c r="W95" i="1"/>
  <c r="W93" i="1"/>
  <c r="Q85" i="1"/>
  <c r="R85" i="1" s="1"/>
  <c r="S85" i="1"/>
  <c r="U85" i="1" s="1"/>
  <c r="T85" i="1"/>
  <c r="V85" i="1" s="1"/>
  <c r="Q83" i="1"/>
  <c r="S83" i="1"/>
  <c r="Q84" i="1"/>
  <c r="S84" i="1"/>
  <c r="R87" i="1"/>
  <c r="Q81" i="1"/>
  <c r="S81" i="1"/>
  <c r="V88" i="1"/>
  <c r="U88" i="1"/>
  <c r="R88" i="1"/>
  <c r="L88" i="1"/>
  <c r="V87" i="1"/>
  <c r="U87" i="1"/>
  <c r="L87" i="1"/>
  <c r="S78" i="1"/>
  <c r="T78" i="1"/>
  <c r="V86" i="1"/>
  <c r="U86" i="1"/>
  <c r="R86" i="1"/>
  <c r="L86" i="1"/>
  <c r="Q80" i="1"/>
  <c r="Q79" i="1"/>
  <c r="S80" i="1"/>
  <c r="S79" i="1"/>
  <c r="T80" i="1"/>
  <c r="T79" i="1"/>
  <c r="Q76" i="1"/>
  <c r="S76" i="1"/>
  <c r="L85" i="1"/>
  <c r="W90" i="1" l="1"/>
  <c r="W89" i="1"/>
  <c r="W86" i="1"/>
  <c r="W85" i="1"/>
  <c r="W87" i="1"/>
  <c r="W88" i="1"/>
  <c r="O83" i="1"/>
  <c r="O84" i="1"/>
  <c r="S77" i="1"/>
  <c r="O82" i="1"/>
  <c r="V84" i="1"/>
  <c r="U84" i="1"/>
  <c r="R84" i="1"/>
  <c r="L84" i="1"/>
  <c r="W84" i="1" l="1"/>
  <c r="V83" i="1"/>
  <c r="U83" i="1"/>
  <c r="R83" i="1"/>
  <c r="L83" i="1"/>
  <c r="S74" i="1"/>
  <c r="Q74" i="1"/>
  <c r="Q73" i="1"/>
  <c r="S73" i="1"/>
  <c r="S71" i="1"/>
  <c r="S70" i="1"/>
  <c r="T71" i="1"/>
  <c r="T70" i="1"/>
  <c r="Q71" i="1"/>
  <c r="Q70" i="1"/>
  <c r="S72" i="1"/>
  <c r="S75" i="1"/>
  <c r="T75" i="1"/>
  <c r="Q75" i="1"/>
  <c r="V82" i="1"/>
  <c r="U82" i="1"/>
  <c r="R82" i="1"/>
  <c r="L82" i="1"/>
  <c r="V81" i="1"/>
  <c r="U81" i="1"/>
  <c r="R81" i="1"/>
  <c r="L81" i="1"/>
  <c r="W81" i="1" l="1"/>
  <c r="W83" i="1"/>
  <c r="W82" i="1"/>
  <c r="L80" i="1"/>
  <c r="L79" i="1"/>
  <c r="V80" i="1"/>
  <c r="U80" i="1"/>
  <c r="R80" i="1"/>
  <c r="V79" i="1"/>
  <c r="U79" i="1"/>
  <c r="R79" i="1"/>
  <c r="O75" i="1"/>
  <c r="O74" i="1"/>
  <c r="W79" i="1" l="1"/>
  <c r="W80" i="1"/>
  <c r="V78" i="1"/>
  <c r="U78" i="1"/>
  <c r="R78" i="1"/>
  <c r="L78" i="1"/>
  <c r="W78" i="1" l="1"/>
  <c r="O73" i="1"/>
  <c r="V77" i="1"/>
  <c r="U77" i="1"/>
  <c r="R77" i="1"/>
  <c r="L77" i="1"/>
  <c r="V76" i="1"/>
  <c r="U76" i="1"/>
  <c r="R76" i="1"/>
  <c r="L76" i="1"/>
  <c r="O72" i="1"/>
  <c r="O70" i="1"/>
  <c r="S66" i="1"/>
  <c r="Q67" i="1"/>
  <c r="Q66" i="1"/>
  <c r="S67" i="1"/>
  <c r="V75" i="1"/>
  <c r="U75" i="1"/>
  <c r="R75" i="1"/>
  <c r="L75" i="1"/>
  <c r="W77" i="1" l="1"/>
  <c r="W75" i="1"/>
  <c r="W76" i="1"/>
  <c r="V74" i="1"/>
  <c r="U74" i="1"/>
  <c r="R74" i="1"/>
  <c r="W74" i="1" s="1"/>
  <c r="L74" i="1"/>
  <c r="V73" i="1"/>
  <c r="U73" i="1"/>
  <c r="R73" i="1"/>
  <c r="L73" i="1"/>
  <c r="W73" i="1" l="1"/>
  <c r="Q69" i="1"/>
  <c r="Q68" i="1"/>
  <c r="S69" i="1"/>
  <c r="S68" i="1"/>
  <c r="R72" i="1" l="1"/>
  <c r="V72" i="1"/>
  <c r="U72" i="1"/>
  <c r="L72" i="1"/>
  <c r="W72" i="1" l="1"/>
  <c r="V71" i="1"/>
  <c r="U71" i="1"/>
  <c r="R71" i="1"/>
  <c r="L71" i="1"/>
  <c r="V70" i="1"/>
  <c r="U70" i="1"/>
  <c r="R70" i="1"/>
  <c r="L70" i="1"/>
  <c r="W70" i="1" l="1"/>
  <c r="W71" i="1"/>
  <c r="S65" i="1"/>
  <c r="S64" i="1"/>
  <c r="Q65" i="1"/>
  <c r="Q64" i="1"/>
  <c r="Q63" i="1" l="1"/>
  <c r="S63" i="1"/>
  <c r="Q59" i="1" l="1"/>
  <c r="S59" i="1"/>
  <c r="T59" i="1"/>
  <c r="V67" i="1"/>
  <c r="U67" i="1"/>
  <c r="R67" i="1"/>
  <c r="L67" i="1"/>
  <c r="V66" i="1"/>
  <c r="U66" i="1"/>
  <c r="R66" i="1"/>
  <c r="L66" i="1"/>
  <c r="W66" i="1" l="1"/>
  <c r="W67" i="1"/>
  <c r="Q48" i="1"/>
  <c r="S48" i="1"/>
  <c r="V69" i="1"/>
  <c r="U69" i="1"/>
  <c r="R69" i="1"/>
  <c r="L69" i="1"/>
  <c r="V68" i="1"/>
  <c r="U68" i="1"/>
  <c r="R68" i="1"/>
  <c r="L68" i="1"/>
  <c r="W68" i="1" l="1"/>
  <c r="W69" i="1"/>
  <c r="S46" i="1"/>
  <c r="S61" i="1"/>
  <c r="V65" i="1" l="1"/>
  <c r="U65" i="1"/>
  <c r="R65" i="1"/>
  <c r="L65" i="1"/>
  <c r="V64" i="1"/>
  <c r="U64" i="1"/>
  <c r="R64" i="1"/>
  <c r="L64" i="1"/>
  <c r="W64" i="1" l="1"/>
  <c r="W65" i="1"/>
  <c r="Q60" i="1"/>
  <c r="S60" i="1"/>
  <c r="Q62" i="1"/>
  <c r="R62" i="1" s="1"/>
  <c r="V63" i="1"/>
  <c r="U63" i="1"/>
  <c r="R63" i="1"/>
  <c r="L63" i="1"/>
  <c r="S62" i="1"/>
  <c r="U62" i="1" s="1"/>
  <c r="N47" i="1"/>
  <c r="Q55" i="1"/>
  <c r="S55" i="1"/>
  <c r="Q58" i="1"/>
  <c r="Q57" i="1"/>
  <c r="S58" i="1"/>
  <c r="S57" i="1"/>
  <c r="Q56" i="1"/>
  <c r="S56" i="1"/>
  <c r="S53" i="1"/>
  <c r="Q54" i="1"/>
  <c r="Q53" i="1"/>
  <c r="S54" i="1"/>
  <c r="V62" i="1"/>
  <c r="L62" i="1"/>
  <c r="V61" i="1"/>
  <c r="U61" i="1"/>
  <c r="R61" i="1"/>
  <c r="L61" i="1"/>
  <c r="W63" i="1" l="1"/>
  <c r="W61" i="1"/>
  <c r="W62" i="1"/>
  <c r="V60" i="1"/>
  <c r="U60" i="1"/>
  <c r="R60" i="1"/>
  <c r="W60" i="1" s="1"/>
  <c r="L60" i="1"/>
  <c r="V59" i="1" l="1"/>
  <c r="U59" i="1"/>
  <c r="R59" i="1"/>
  <c r="L59" i="1"/>
  <c r="O55" i="1"/>
  <c r="V58" i="1"/>
  <c r="U58" i="1"/>
  <c r="R58" i="1"/>
  <c r="L58" i="1"/>
  <c r="V57" i="1"/>
  <c r="U57" i="1"/>
  <c r="R57" i="1"/>
  <c r="L57" i="1"/>
  <c r="W59" i="1" l="1"/>
  <c r="W57" i="1"/>
  <c r="W58" i="1"/>
  <c r="V56" i="1"/>
  <c r="U56" i="1"/>
  <c r="R56" i="1"/>
  <c r="L56" i="1"/>
  <c r="W56" i="1" l="1"/>
  <c r="V55" i="1"/>
  <c r="U55" i="1"/>
  <c r="R55" i="1"/>
  <c r="W55" i="1" s="1"/>
  <c r="L55" i="1"/>
  <c r="S52" i="1" l="1"/>
  <c r="Q50" i="1" l="1"/>
  <c r="Q49" i="1"/>
  <c r="S50" i="1"/>
  <c r="S49" i="1"/>
  <c r="V54" i="1"/>
  <c r="U54" i="1"/>
  <c r="R54" i="1"/>
  <c r="W54" i="1" s="1"/>
  <c r="L54" i="1"/>
  <c r="V53" i="1"/>
  <c r="U53" i="1"/>
  <c r="R53" i="1"/>
  <c r="W53" i="1" s="1"/>
  <c r="L53" i="1"/>
  <c r="Q51" i="1" l="1"/>
  <c r="S51" i="1"/>
  <c r="O51" i="1" l="1"/>
  <c r="Q47" i="1"/>
  <c r="S47" i="1"/>
  <c r="Q45" i="1"/>
  <c r="Q44" i="1"/>
  <c r="S45" i="1"/>
  <c r="S44" i="1"/>
  <c r="Q43" i="1"/>
  <c r="S43" i="1"/>
  <c r="V52" i="1" l="1"/>
  <c r="U52" i="1"/>
  <c r="R52" i="1"/>
  <c r="L52" i="1"/>
  <c r="W52" i="1" l="1"/>
  <c r="U51" i="1"/>
  <c r="V51" i="1"/>
  <c r="R51" i="1"/>
  <c r="L51" i="1"/>
  <c r="W51" i="1" l="1"/>
  <c r="V50" i="1"/>
  <c r="U50" i="1"/>
  <c r="R50" i="1"/>
  <c r="L50" i="1"/>
  <c r="V49" i="1"/>
  <c r="U49" i="1"/>
  <c r="R49" i="1"/>
  <c r="L49" i="1"/>
  <c r="W50" i="1" l="1"/>
  <c r="W49" i="1"/>
  <c r="V48" i="1"/>
  <c r="U48" i="1"/>
  <c r="R48" i="1"/>
  <c r="L48" i="1"/>
  <c r="W48" i="1" l="1"/>
  <c r="S40" i="1"/>
  <c r="T40" i="1"/>
  <c r="Q42" i="1"/>
  <c r="S42" i="1"/>
  <c r="V47" i="1" l="1"/>
  <c r="U47" i="1"/>
  <c r="R47" i="1"/>
  <c r="L47" i="1"/>
  <c r="W47" i="1" l="1"/>
  <c r="O45" i="1"/>
  <c r="V46" i="1"/>
  <c r="U46" i="1"/>
  <c r="R46" i="1"/>
  <c r="L46" i="1"/>
  <c r="W46" i="1" l="1"/>
  <c r="Q35" i="1"/>
  <c r="S35" i="1"/>
  <c r="Q38" i="1"/>
  <c r="S38" i="1"/>
  <c r="S39" i="1"/>
  <c r="T39" i="1"/>
  <c r="Q41" i="1"/>
  <c r="S41" i="1"/>
  <c r="V45" i="1" l="1"/>
  <c r="U45" i="1"/>
  <c r="R45" i="1"/>
  <c r="L45" i="1"/>
  <c r="V44" i="1"/>
  <c r="U44" i="1"/>
  <c r="R44" i="1"/>
  <c r="L44" i="1"/>
  <c r="W45" i="1" l="1"/>
  <c r="W44" i="1"/>
  <c r="U43" i="1"/>
  <c r="V43" i="1"/>
  <c r="R43" i="1"/>
  <c r="W43" i="1" l="1"/>
  <c r="Q33" i="1"/>
  <c r="S33" i="1"/>
  <c r="S37" i="1"/>
  <c r="Q37" i="1"/>
  <c r="Q36" i="1"/>
  <c r="S36" i="1"/>
  <c r="S34" i="1"/>
  <c r="Q26" i="1"/>
  <c r="S26" i="1"/>
  <c r="S31" i="1"/>
  <c r="V42" i="1"/>
  <c r="U42" i="1"/>
  <c r="R42" i="1"/>
  <c r="L42" i="1"/>
  <c r="V41" i="1"/>
  <c r="U41" i="1"/>
  <c r="R41" i="1"/>
  <c r="L41" i="1"/>
  <c r="Q32" i="1"/>
  <c r="S32" i="1"/>
  <c r="S27" i="1"/>
  <c r="T27" i="1"/>
  <c r="Q27" i="1"/>
  <c r="S30" i="1"/>
  <c r="S23" i="1"/>
  <c r="Q23" i="1"/>
  <c r="S28" i="1"/>
  <c r="Q28" i="1"/>
  <c r="Q29" i="1"/>
  <c r="S29" i="1"/>
  <c r="R35" i="1"/>
  <c r="W42" i="1" l="1"/>
  <c r="W41" i="1"/>
  <c r="V40" i="1"/>
  <c r="U40" i="1"/>
  <c r="R40" i="1"/>
  <c r="L40" i="1"/>
  <c r="S20" i="1"/>
  <c r="W40" i="1" l="1"/>
  <c r="V39" i="1"/>
  <c r="U39" i="1"/>
  <c r="R39" i="1"/>
  <c r="L39" i="1"/>
  <c r="V38" i="1"/>
  <c r="U38" i="1"/>
  <c r="R38" i="1"/>
  <c r="L38" i="1"/>
  <c r="Q22" i="1"/>
  <c r="S22" i="1"/>
  <c r="V37" i="1"/>
  <c r="U37" i="1"/>
  <c r="R37" i="1"/>
  <c r="L37" i="1"/>
  <c r="V36" i="1"/>
  <c r="U36" i="1"/>
  <c r="R36" i="1"/>
  <c r="L36" i="1"/>
  <c r="V35" i="1"/>
  <c r="U35" i="1"/>
  <c r="W35" i="1" s="1"/>
  <c r="L35" i="1"/>
  <c r="W39" i="1" l="1"/>
  <c r="W36" i="1"/>
  <c r="W38" i="1"/>
  <c r="W37" i="1"/>
  <c r="V34" i="1"/>
  <c r="U34" i="1"/>
  <c r="R34" i="1"/>
  <c r="L34" i="1"/>
  <c r="W34" i="1" l="1"/>
  <c r="Q25" i="1"/>
  <c r="S25" i="1"/>
  <c r="V33" i="1"/>
  <c r="U33" i="1"/>
  <c r="R33" i="1"/>
  <c r="L33" i="1"/>
  <c r="O30" i="1"/>
  <c r="Q24" i="1"/>
  <c r="S24" i="1"/>
  <c r="Q21" i="1"/>
  <c r="S21" i="1"/>
  <c r="V32" i="1"/>
  <c r="U32" i="1"/>
  <c r="R32" i="1"/>
  <c r="L32" i="1"/>
  <c r="V31" i="1"/>
  <c r="U31" i="1"/>
  <c r="R31" i="1"/>
  <c r="L31" i="1"/>
  <c r="W31" i="1" l="1"/>
  <c r="W32" i="1"/>
  <c r="W33" i="1"/>
  <c r="Q19" i="1"/>
  <c r="S19" i="1"/>
  <c r="V30" i="1"/>
  <c r="U30" i="1"/>
  <c r="R30" i="1"/>
  <c r="L30" i="1"/>
  <c r="Q14" i="1"/>
  <c r="S14" i="1"/>
  <c r="Q18" i="1"/>
  <c r="Q17" i="1"/>
  <c r="S17" i="1"/>
  <c r="S18" i="1"/>
  <c r="Q16" i="1"/>
  <c r="Q15" i="1"/>
  <c r="S16" i="1"/>
  <c r="S15" i="1"/>
  <c r="V29" i="1"/>
  <c r="U29" i="1"/>
  <c r="R29" i="1"/>
  <c r="L29" i="1"/>
  <c r="V28" i="1"/>
  <c r="U28" i="1"/>
  <c r="R28" i="1"/>
  <c r="L28" i="1"/>
  <c r="W29" i="1" l="1"/>
  <c r="W28" i="1"/>
  <c r="W30" i="1"/>
  <c r="V27" i="1"/>
  <c r="U27" i="1"/>
  <c r="R27" i="1"/>
  <c r="W27" i="1" s="1"/>
  <c r="L27" i="1"/>
  <c r="V26" i="1"/>
  <c r="U26" i="1" l="1"/>
  <c r="R26" i="1"/>
  <c r="L26" i="1"/>
  <c r="W26" i="1" l="1"/>
  <c r="V25" i="1"/>
  <c r="U25" i="1"/>
  <c r="R25" i="1"/>
  <c r="L25" i="1"/>
  <c r="W25" i="1" l="1"/>
  <c r="V24" i="1"/>
  <c r="U24" i="1"/>
  <c r="R24" i="1"/>
  <c r="L24" i="1"/>
  <c r="V23" i="1"/>
  <c r="U23" i="1"/>
  <c r="R23" i="1"/>
  <c r="L23" i="1"/>
  <c r="S12" i="1"/>
  <c r="Q12" i="1"/>
  <c r="S13" i="1"/>
  <c r="W24" i="1" l="1"/>
  <c r="W23" i="1"/>
  <c r="V22" i="1"/>
  <c r="U22" i="1"/>
  <c r="R22" i="1"/>
  <c r="L22" i="1"/>
  <c r="V21" i="1"/>
  <c r="U21" i="1"/>
  <c r="R21" i="1"/>
  <c r="L21" i="1"/>
  <c r="V20" i="1"/>
  <c r="U20" i="1"/>
  <c r="R20" i="1"/>
  <c r="L20" i="1"/>
  <c r="W22" i="1" l="1"/>
  <c r="W20" i="1"/>
  <c r="W21" i="1"/>
  <c r="S10" i="1"/>
  <c r="S9" i="1"/>
  <c r="S11" i="1"/>
  <c r="V19" i="1" l="1"/>
  <c r="U19" i="1"/>
  <c r="R19" i="1"/>
  <c r="L19" i="1"/>
  <c r="W19" i="1" l="1"/>
  <c r="V18" i="1"/>
  <c r="U18" i="1"/>
  <c r="R18" i="1"/>
  <c r="L18" i="1"/>
  <c r="V17" i="1"/>
  <c r="U17" i="1"/>
  <c r="R17" i="1"/>
  <c r="L17" i="1"/>
  <c r="V16" i="1"/>
  <c r="U16" i="1"/>
  <c r="R16" i="1"/>
  <c r="L16" i="1"/>
  <c r="V15" i="1"/>
  <c r="U15" i="1"/>
  <c r="R15" i="1"/>
  <c r="L15" i="1"/>
  <c r="V14" i="1"/>
  <c r="U14" i="1"/>
  <c r="R14" i="1"/>
  <c r="L14" i="1"/>
  <c r="Q8" i="1"/>
  <c r="S8" i="1"/>
  <c r="W14" i="1" l="1"/>
  <c r="W18" i="1"/>
  <c r="W17" i="1"/>
  <c r="W15" i="1"/>
  <c r="W16" i="1"/>
  <c r="V13" i="1"/>
  <c r="U13" i="1"/>
  <c r="R13" i="1"/>
  <c r="L13" i="1"/>
  <c r="V12" i="1"/>
  <c r="U12" i="1"/>
  <c r="R12" i="1"/>
  <c r="L12" i="1"/>
  <c r="Q5" i="1"/>
  <c r="W12" i="1" l="1"/>
  <c r="W13" i="1"/>
  <c r="S5" i="1"/>
  <c r="Q7" i="1"/>
  <c r="S7" i="1"/>
  <c r="Q6" i="1"/>
  <c r="S6" i="1"/>
  <c r="S3" i="1"/>
  <c r="Q3" i="1"/>
  <c r="Q4" i="1"/>
  <c r="Q2" i="1"/>
  <c r="T4" i="1"/>
  <c r="S4" i="1"/>
  <c r="S2" i="1"/>
  <c r="T2" i="1"/>
  <c r="V11" i="1" l="1"/>
  <c r="U11" i="1"/>
  <c r="R11" i="1"/>
  <c r="L11" i="1"/>
  <c r="V10" i="1"/>
  <c r="U10" i="1"/>
  <c r="R10" i="1"/>
  <c r="L10" i="1"/>
  <c r="W11" i="1" l="1"/>
  <c r="W10" i="1"/>
  <c r="V9" i="1"/>
  <c r="U9" i="1"/>
  <c r="R9" i="1"/>
  <c r="L9" i="1"/>
  <c r="W9" i="1" l="1"/>
  <c r="V8" i="1"/>
  <c r="U8" i="1"/>
  <c r="R8" i="1"/>
  <c r="L8" i="1"/>
  <c r="W8" i="1" l="1"/>
  <c r="V7" i="1"/>
  <c r="U7" i="1"/>
  <c r="R7" i="1"/>
  <c r="L7" i="1"/>
  <c r="V6" i="1"/>
  <c r="U6" i="1"/>
  <c r="R6" i="1"/>
  <c r="L6" i="1"/>
  <c r="W7" i="1" l="1"/>
  <c r="W6" i="1"/>
  <c r="V5" i="1"/>
  <c r="U5" i="1"/>
  <c r="R5" i="1"/>
  <c r="L5" i="1"/>
  <c r="L4" i="1"/>
  <c r="L3" i="1"/>
  <c r="L2" i="1"/>
  <c r="R4" i="1"/>
  <c r="R3" i="1"/>
  <c r="V4" i="1"/>
  <c r="U4" i="1"/>
  <c r="V3" i="1"/>
  <c r="U3" i="1"/>
  <c r="W4" i="1" l="1"/>
  <c r="W3" i="1"/>
  <c r="W5" i="1"/>
  <c r="R2" i="1"/>
  <c r="U2" i="1" l="1"/>
  <c r="V2" i="1"/>
  <c r="V10" i="2" l="1"/>
  <c r="W10" i="2"/>
  <c r="X10" i="2"/>
  <c r="V11" i="2"/>
  <c r="W11" i="2"/>
  <c r="X11" i="2"/>
  <c r="V12" i="2"/>
  <c r="W12" i="2"/>
  <c r="X12" i="2"/>
  <c r="V13" i="2"/>
  <c r="W13" i="2"/>
  <c r="X13" i="2"/>
  <c r="V14" i="2"/>
  <c r="W14" i="2"/>
  <c r="X14" i="2"/>
  <c r="V8" i="2" l="1"/>
  <c r="V7" i="2"/>
  <c r="X8" i="2" l="1"/>
  <c r="W8" i="2"/>
  <c r="X9" i="2"/>
  <c r="W9" i="2"/>
  <c r="V9" i="2"/>
  <c r="X7" i="2"/>
  <c r="W7" i="2"/>
  <c r="L9" i="2"/>
  <c r="J7" i="2"/>
  <c r="I7" i="2"/>
  <c r="W2" i="1" l="1"/>
</calcChain>
</file>

<file path=xl/comments1.xml><?xml version="1.0" encoding="utf-8"?>
<comments xmlns="http://schemas.openxmlformats.org/spreadsheetml/2006/main">
  <authors>
    <author>Evin Atabay</author>
    <author>Hakan Şahin</author>
  </authors>
  <commentList>
    <comment ref="N2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Y.dışı bekleme</t>
        </r>
      </text>
    </comment>
    <comment ref="N5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y.dışı bekleme</t>
        </r>
      </text>
    </comment>
    <comment ref="N6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Ydışı bekleme</t>
        </r>
      </text>
    </comment>
    <comment ref="N7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y.dışı bekleme
</t>
        </r>
      </text>
    </comment>
    <comment ref="N13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yurt içi
</t>
        </r>
      </text>
    </comment>
    <comment ref="N20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y.dışı bekleme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y.dışı </t>
        </r>
      </text>
    </comment>
    <comment ref="N25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y.içi
</t>
        </r>
      </text>
    </comment>
    <comment ref="N27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y.dışı
</t>
        </r>
      </text>
    </comment>
    <comment ref="N28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y.içi
</t>
        </r>
      </text>
    </comment>
    <comment ref="N30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y.dşı</t>
        </r>
      </text>
    </comment>
    <comment ref="N31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y.dışı </t>
        </r>
      </text>
    </comment>
    <comment ref="N34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y.dışı
</t>
        </r>
      </text>
    </comment>
    <comment ref="N35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y.dışı
</t>
        </r>
      </text>
    </comment>
    <comment ref="N36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y.içi</t>
        </r>
      </text>
    </comment>
    <comment ref="N39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y.dışı</t>
        </r>
      </text>
    </comment>
    <comment ref="N40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Y.dışı
</t>
        </r>
      </text>
    </comment>
    <comment ref="N42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 dışı
</t>
        </r>
      </text>
    </comment>
    <comment ref="N47" authorId="0" shapeId="0">
      <text>
        <r>
          <rPr>
            <b/>
            <sz val="9"/>
            <color indexed="81"/>
            <rFont val="Tahoma"/>
            <family val="2"/>
            <charset val="162"/>
          </rPr>
          <t>Evin Atabay:</t>
        </r>
        <r>
          <rPr>
            <sz val="9"/>
            <color indexed="81"/>
            <rFont val="Tahoma"/>
            <family val="2"/>
            <charset val="162"/>
          </rPr>
          <t xml:space="preserve">
y içi + YDIŞI
</t>
        </r>
      </text>
    </comment>
    <comment ref="Q48" authorId="1" shapeId="0">
      <text>
        <r>
          <rPr>
            <b/>
            <sz val="9"/>
            <color indexed="81"/>
            <rFont val="Tahoma"/>
            <family val="2"/>
            <charset val="162"/>
          </rPr>
          <t>Hakan Şahin:</t>
        </r>
        <r>
          <rPr>
            <sz val="9"/>
            <color indexed="81"/>
            <rFont val="Tahoma"/>
            <family val="2"/>
            <charset val="162"/>
          </rPr>
          <t xml:space="preserve">
GÜMRÜK + HAMMALİYE</t>
        </r>
      </text>
    </comment>
    <comment ref="H66" authorId="1" shapeId="0">
      <text>
        <r>
          <rPr>
            <b/>
            <sz val="9"/>
            <color indexed="81"/>
            <rFont val="Tahoma"/>
            <family val="2"/>
            <charset val="162"/>
          </rPr>
          <t>Hakan Şahin:</t>
        </r>
        <r>
          <rPr>
            <sz val="9"/>
            <color indexed="81"/>
            <rFont val="Tahoma"/>
            <family val="2"/>
            <charset val="162"/>
          </rPr>
          <t xml:space="preserve">
PALET OLMADIĞINDAN DOLAYI ARAÇ DEPODA BEKLEDİ. EK SİPARİŞ GİRİLDİ GECİKME OLDU. 30.6 ANTREPO YÜKLENDİ
</t>
        </r>
      </text>
    </comment>
    <comment ref="H67" authorId="1" shapeId="0">
      <text>
        <r>
          <rPr>
            <b/>
            <sz val="9"/>
            <color indexed="81"/>
            <rFont val="Tahoma"/>
            <family val="2"/>
            <charset val="162"/>
          </rPr>
          <t>Hakan Şahin:</t>
        </r>
        <r>
          <rPr>
            <sz val="9"/>
            <color indexed="81"/>
            <rFont val="Tahoma"/>
            <family val="2"/>
            <charset val="162"/>
          </rPr>
          <t xml:space="preserve">
PALET OLMADIĞINDAN DOLAYI ARAÇ DEPODA BEKLEDİ. EK SİPARİŞ GİRİLDİ GECİKME OLDU.</t>
        </r>
      </text>
    </comment>
    <comment ref="J87" authorId="1" shapeId="0">
      <text>
        <r>
          <rPr>
            <b/>
            <sz val="9"/>
            <color indexed="81"/>
            <rFont val="Tahoma"/>
            <family val="2"/>
            <charset val="162"/>
          </rPr>
          <t>Hakan Şahin:</t>
        </r>
        <r>
          <rPr>
            <sz val="9"/>
            <color indexed="81"/>
            <rFont val="Tahoma"/>
            <family val="2"/>
            <charset val="162"/>
          </rPr>
          <t xml:space="preserve">
ANT Full olarak planlanmıştı ancak yeterli palet çıkmadığından depo ile birleşti. Bu durumda daha fazla navlun eklenmek zorunda kaldı. Referans numaraları da aynı şekilde birbirinden çok farklıdır.</t>
        </r>
      </text>
    </comment>
    <comment ref="H121" authorId="1" shapeId="0">
      <text>
        <r>
          <rPr>
            <b/>
            <sz val="9"/>
            <color indexed="81"/>
            <rFont val="Tahoma"/>
            <family val="2"/>
            <charset val="162"/>
          </rPr>
          <t>Hakan Şahin:</t>
        </r>
        <r>
          <rPr>
            <sz val="9"/>
            <color indexed="81"/>
            <rFont val="Tahoma"/>
            <family val="2"/>
            <charset val="162"/>
          </rPr>
          <t xml:space="preserve">
Tiflis'te Kırmızıya düştü. Açıldı ve uzun süre denetimde kaldı.</t>
        </r>
      </text>
    </comment>
    <comment ref="N133" authorId="1" shapeId="0">
      <text>
        <r>
          <rPr>
            <b/>
            <sz val="9"/>
            <color indexed="81"/>
            <rFont val="Tahoma"/>
            <family val="2"/>
            <charset val="162"/>
          </rPr>
          <t>Hakan Şahin:</t>
        </r>
        <r>
          <rPr>
            <sz val="9"/>
            <color indexed="81"/>
            <rFont val="Tahoma"/>
            <family val="2"/>
            <charset val="162"/>
          </rPr>
          <t xml:space="preserve">
KG hatasından dolayı Kırmızı hatta düştü, açıldı. Uyuşmazlık, ceza ve bekleme kesildi. </t>
        </r>
      </text>
    </comment>
  </commentList>
</comments>
</file>

<file path=xl/comments2.xml><?xml version="1.0" encoding="utf-8"?>
<comments xmlns="http://schemas.openxmlformats.org/spreadsheetml/2006/main">
  <authors>
    <author>Hakan Şahin</author>
  </authors>
  <commentList>
    <comment ref="L7" authorId="0" shapeId="0">
      <text>
        <r>
          <rPr>
            <b/>
            <sz val="9"/>
            <color indexed="81"/>
            <rFont val="Tahoma"/>
            <family val="2"/>
            <charset val="162"/>
          </rPr>
          <t>450 USD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  <charset val="162"/>
          </rPr>
          <t>750 USD bekleme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<sst xmlns="http://schemas.openxmlformats.org/spreadsheetml/2006/main" count="1189" uniqueCount="738">
  <si>
    <t>BOŞALTMA</t>
  </si>
  <si>
    <t xml:space="preserve">GÜMRÜKLEME BİTİŞ </t>
  </si>
  <si>
    <t>VARIŞ TARİHİ</t>
  </si>
  <si>
    <t>YÜKLEME TARİHİ</t>
  </si>
  <si>
    <t>Fatura No</t>
  </si>
  <si>
    <t>Sigorta</t>
  </si>
  <si>
    <t xml:space="preserve">Plaka </t>
  </si>
  <si>
    <t xml:space="preserve">Nakliye Firması </t>
  </si>
  <si>
    <t>İhracat Dosya No</t>
  </si>
  <si>
    <t xml:space="preserve">Ülke </t>
  </si>
  <si>
    <t>Araç Sıra No</t>
  </si>
  <si>
    <t>DURUM</t>
  </si>
  <si>
    <t>Toplam 
Maliyet</t>
  </si>
  <si>
    <t>Kazakistan</t>
  </si>
  <si>
    <t>FATURA BEDELİ</t>
  </si>
  <si>
    <t>İthalat Beyanname Masrafı TENGE</t>
  </si>
  <si>
    <t>Tenge Kuru</t>
  </si>
  <si>
    <t>İthalat Beyanname Masrafı TL</t>
  </si>
  <si>
    <t>Araç Bekleme Masrafı TL</t>
  </si>
  <si>
    <t>GümrükVergisi 
TL</t>
  </si>
  <si>
    <t>KDV
TL</t>
  </si>
  <si>
    <t>GümrükVergisi 
TENGE</t>
  </si>
  <si>
    <t>KDV 
TENGE</t>
  </si>
  <si>
    <t>Navlun 
USD</t>
  </si>
  <si>
    <t>MalBedeli 
TL</t>
  </si>
  <si>
    <t>Navlun 
TL</t>
  </si>
  <si>
    <t>2022-329</t>
  </si>
  <si>
    <t>2022-310</t>
  </si>
  <si>
    <t>IHR2022000000296</t>
  </si>
  <si>
    <t>İhracat Beyanname TL</t>
  </si>
  <si>
    <t xml:space="preserve"> </t>
  </si>
  <si>
    <t>2022-327</t>
  </si>
  <si>
    <t>2022-322</t>
  </si>
  <si>
    <t>2022-328</t>
  </si>
  <si>
    <t>ANT2022000000142</t>
  </si>
  <si>
    <t>2023-002</t>
  </si>
  <si>
    <t>IHR2023000000002</t>
  </si>
  <si>
    <t>2023-005</t>
  </si>
  <si>
    <t>2023-006</t>
  </si>
  <si>
    <t>ANT2023000000001</t>
  </si>
  <si>
    <t>IHR2023000000003</t>
  </si>
  <si>
    <t>LANDED COST</t>
  </si>
  <si>
    <t>DSV NAVLUN TEKLİFİ</t>
  </si>
  <si>
    <t>TRUKKER NAVLUN TEKLİFİ</t>
  </si>
  <si>
    <t>PALET SAYISI</t>
  </si>
  <si>
    <t>ADET SAYISI</t>
  </si>
  <si>
    <t>PALET BAŞINA NAVLUN MALİYETLERİ</t>
  </si>
  <si>
    <t>KOLİ BAŞINA NAVLUN MALİYETLERİ</t>
  </si>
  <si>
    <t>ADET BAŞINA NAVLUN MALİYETLERİ</t>
  </si>
  <si>
    <t>KOLİ SAYISI</t>
  </si>
  <si>
    <t>ANT2022000000143</t>
  </si>
  <si>
    <t>ANT2023000000007</t>
  </si>
  <si>
    <t>IHR2023000000016</t>
  </si>
  <si>
    <t>GÜMRÜK TARİHİ
(Evrak Gönderme)</t>
  </si>
  <si>
    <t>Palet</t>
  </si>
  <si>
    <t>Açıklama</t>
  </si>
  <si>
    <t>RAPID</t>
  </si>
  <si>
    <t>XP 847 XX / BB 367 G</t>
  </si>
  <si>
    <t>34 FR 0106 - 34 KL 4015</t>
  </si>
  <si>
    <t>34 GH 5465 - 34 GH 2557</t>
  </si>
  <si>
    <t>27 AJF 368 / 27 AJF 372</t>
  </si>
  <si>
    <t>52 SL 998 / 52 K 1793</t>
  </si>
  <si>
    <t>34 KL 6773 - 34 JC 8800</t>
  </si>
  <si>
    <t>54 AAS 301 / 54 AIK 342</t>
  </si>
  <si>
    <t>Sıra No</t>
  </si>
  <si>
    <t>Ülke</t>
  </si>
  <si>
    <t>Madame Coco 
Referans No</t>
  </si>
  <si>
    <t>Araç Plaka</t>
  </si>
  <si>
    <t>Yükleme Tarihi</t>
  </si>
  <si>
    <t>TR Gümrükleme Tarihi</t>
  </si>
  <si>
    <t>Ülke Varış Tarihi</t>
  </si>
  <si>
    <t>Boşaltma Tarihi</t>
  </si>
  <si>
    <t>Navlun Bedeli</t>
  </si>
  <si>
    <t>Bekleme Bedeli</t>
  </si>
  <si>
    <t>Para Birimi</t>
  </si>
  <si>
    <t>KAZAKİSTAN</t>
  </si>
  <si>
    <t>AY 661 AR / AY 661 R</t>
  </si>
  <si>
    <t>Boşaltıldı</t>
  </si>
  <si>
    <t>34 ZH 9804 / 34 ZH 9805</t>
  </si>
  <si>
    <t>34 GH 9800 - 34 JC 9424</t>
  </si>
  <si>
    <t>47 AJ 331 / 08 ABA 206</t>
  </si>
  <si>
    <t>34 JC 8699 - 34 KM 2040</t>
  </si>
  <si>
    <t>ihracat+transit</t>
  </si>
  <si>
    <t>27 BOZ 03 / 17 KD 123</t>
  </si>
  <si>
    <t>full ihracat</t>
  </si>
  <si>
    <t>31 SF 833 / 63  L 0669</t>
  </si>
  <si>
    <t xml:space="preserve">33 EN 860 - 33 BVY 52 </t>
  </si>
  <si>
    <t>63 AFK 471 / 34 KL 5577</t>
  </si>
  <si>
    <t>34 VV 1479 / 34 VV 3857</t>
  </si>
  <si>
    <t>34 GH 3800 / 34 JC 0332</t>
  </si>
  <si>
    <t>34 GH 9800 / 34 JC 9424</t>
  </si>
  <si>
    <t>Rusya girişinde</t>
  </si>
  <si>
    <t>OZ 055 AL / AL 055 I</t>
  </si>
  <si>
    <t>Azerbaycan girişinde,bugün geçiş yapması öngörülüyor</t>
  </si>
  <si>
    <t>34 VE 2742 / 34 GA 0780</t>
  </si>
  <si>
    <t>Hopa'da sırada</t>
  </si>
  <si>
    <t>BEDELSİZ</t>
  </si>
  <si>
    <t>2025-005</t>
  </si>
  <si>
    <t>2025-006</t>
  </si>
  <si>
    <t>2025-021</t>
  </si>
  <si>
    <t>30 P 680 MB - 30 9622 AA</t>
  </si>
  <si>
    <t>ANT2025000000002</t>
  </si>
  <si>
    <t>369 (11)</t>
  </si>
  <si>
    <t>IHR2025000000014</t>
  </si>
  <si>
    <t>IHR2025000000016</t>
  </si>
  <si>
    <t>109 (22 Palet + 87 Koli Dökme)</t>
  </si>
  <si>
    <t>1-ES-7-82084</t>
  </si>
  <si>
    <t>1-ES-7-83533</t>
  </si>
  <si>
    <t>2025-018</t>
  </si>
  <si>
    <t>50 231 UBA - 30 9465 AA</t>
  </si>
  <si>
    <t>159 (33 Palet + 126 Koli Dökme)</t>
  </si>
  <si>
    <t>IHR2025000000013</t>
  </si>
  <si>
    <t>1-ES-7-83646</t>
  </si>
  <si>
    <t>2025-062</t>
  </si>
  <si>
    <t>2025-063</t>
  </si>
  <si>
    <t>IHR2025000000047</t>
  </si>
  <si>
    <t>50 870 TBA - 50 4712 BA</t>
  </si>
  <si>
    <t>158 (33 Palet + 125 Koli Dökme)</t>
  </si>
  <si>
    <t>1-ES-7-91611</t>
  </si>
  <si>
    <t>IHR2025000000049</t>
  </si>
  <si>
    <t>50 430 SBA - 50 3872 BA</t>
  </si>
  <si>
    <t>1-ES-7-91627</t>
  </si>
  <si>
    <t>2025-096</t>
  </si>
  <si>
    <t>IHR2025000000077</t>
  </si>
  <si>
    <t>1-ES-7-92819</t>
  </si>
  <si>
    <t>01KG5152M - 01KG841PG</t>
  </si>
  <si>
    <t>136 (33 Palet + 103 Koli)</t>
  </si>
  <si>
    <t>2025-102</t>
  </si>
  <si>
    <t>ANT2025000000023</t>
  </si>
  <si>
    <t>1-ES-7-93679 Komple Antrepo</t>
  </si>
  <si>
    <t>61K3069 - 61ACA353</t>
  </si>
  <si>
    <t>2025-118</t>
  </si>
  <si>
    <t>61 AAY 117 - 61 K 3886</t>
  </si>
  <si>
    <t>1-ES-7-93720</t>
  </si>
  <si>
    <t>1-ES-7-94294</t>
  </si>
  <si>
    <t>75 CA 254 / 75 ZB 254</t>
  </si>
  <si>
    <t>IHR2025000000098</t>
  </si>
  <si>
    <t>2025-124</t>
  </si>
  <si>
    <t>TESLİM EDİLDİ</t>
  </si>
  <si>
    <t>IHR2025000000086</t>
  </si>
  <si>
    <t>2025-138</t>
  </si>
  <si>
    <t>IHR2025000000119</t>
  </si>
  <si>
    <t>140 (33 Palet + 107 Koli)</t>
  </si>
  <si>
    <t>PG 377 PP - BB 977 M</t>
  </si>
  <si>
    <t>1-ES-7-96857</t>
  </si>
  <si>
    <t>2025-133</t>
  </si>
  <si>
    <t>IHR2025000000113</t>
  </si>
  <si>
    <t>1-ES-7-96307</t>
  </si>
  <si>
    <t>61 ABY 996 / 61 ABY 995</t>
  </si>
  <si>
    <t>2025-153</t>
  </si>
  <si>
    <t>2025-154</t>
  </si>
  <si>
    <t>33 BBJ 15 - 33 EBH 28</t>
  </si>
  <si>
    <t>IHR2025000000129</t>
  </si>
  <si>
    <t>1-ES-7-99437</t>
  </si>
  <si>
    <t>2025-146</t>
  </si>
  <si>
    <t>2025-147</t>
  </si>
  <si>
    <t>33 ABM 450 / 33 CUD 51</t>
  </si>
  <si>
    <t>ANT2025000000032</t>
  </si>
  <si>
    <t>IHR2025000000125</t>
  </si>
  <si>
    <t>1-ES-7-98278</t>
  </si>
  <si>
    <t>1-ES-7-99023</t>
  </si>
  <si>
    <t>2025-159</t>
  </si>
  <si>
    <t>2025-160</t>
  </si>
  <si>
    <t>1-ES-7-100722</t>
  </si>
  <si>
    <t>33 DHU 52 / 33 BTU 65</t>
  </si>
  <si>
    <t>176 (27 Palet + 149 Dökme)</t>
  </si>
  <si>
    <t>IHR2025000000137</t>
  </si>
  <si>
    <t>IHR2025000000136</t>
  </si>
  <si>
    <t>669 CW 02 - 92 EFA 02</t>
  </si>
  <si>
    <t>IHR2025000000140</t>
  </si>
  <si>
    <t>100 (33 Palet + 67 Koli)</t>
  </si>
  <si>
    <t>1-ES-7-101009</t>
  </si>
  <si>
    <t>2025-173</t>
  </si>
  <si>
    <t>IHR2025000000147</t>
  </si>
  <si>
    <t>1-ES-7-101783</t>
  </si>
  <si>
    <t>591 MO 02  26 IXA 02</t>
  </si>
  <si>
    <t>2025-171</t>
  </si>
  <si>
    <t>2025-175</t>
  </si>
  <si>
    <t>596 MO 02 / 64 ITA 02</t>
  </si>
  <si>
    <t>Almaty Mega Park Mobilya 1</t>
  </si>
  <si>
    <t>Almaty Mega Park Mobilya 2</t>
  </si>
  <si>
    <t>IHR2025000000149</t>
  </si>
  <si>
    <t>264 BI 02 / 82 EYA 02</t>
  </si>
  <si>
    <t>IHR2025000000151</t>
  </si>
  <si>
    <t>Araç Bekleme Masrafı USD</t>
  </si>
  <si>
    <t>2025-186</t>
  </si>
  <si>
    <t>ANT2025000000040</t>
  </si>
  <si>
    <t>47AAP235 - 47ACS061</t>
  </si>
  <si>
    <t>933 Komple Transit</t>
  </si>
  <si>
    <t>1-ES-7-103502</t>
  </si>
  <si>
    <t>2025-189</t>
  </si>
  <si>
    <t>61 K 11776 - 61 ACD 246</t>
  </si>
  <si>
    <t>IHR2025000000160</t>
  </si>
  <si>
    <t>1-ES-7-103511</t>
  </si>
  <si>
    <t xml:space="preserve"> 61 K 12360 / 61 DG 499</t>
  </si>
  <si>
    <t>1-ES-7-104131</t>
  </si>
  <si>
    <t>IHR2025000000168</t>
  </si>
  <si>
    <t>2025-193</t>
  </si>
  <si>
    <t>2025-202</t>
  </si>
  <si>
    <t>27 AVY 615/27 BAS 345</t>
  </si>
  <si>
    <t>IHR2025000000167</t>
  </si>
  <si>
    <t>1-ES-7-103780</t>
  </si>
  <si>
    <t>2025-219</t>
  </si>
  <si>
    <t>722 FJ 02 - 63 ALD 02</t>
  </si>
  <si>
    <t>IHR2025000000180</t>
  </si>
  <si>
    <t>1-ES-7-105839</t>
  </si>
  <si>
    <t>2025-224</t>
  </si>
  <si>
    <t>IHR2025000000185</t>
  </si>
  <si>
    <t>1-ES-7-106714</t>
  </si>
  <si>
    <t xml:space="preserve"> 50 356 UBA / 50 6838 BA</t>
  </si>
  <si>
    <t>140 (33 pallest + 107 boxes )</t>
  </si>
  <si>
    <t>2025-229</t>
  </si>
  <si>
    <t>IHR2025000000197</t>
  </si>
  <si>
    <t xml:space="preserve"> 50 940 OBA / 50 3871 BA</t>
  </si>
  <si>
    <t>1-ES-7-108774</t>
  </si>
  <si>
    <t>50 360 TBA / 50 5469 BA</t>
  </si>
  <si>
    <t>2025-230</t>
  </si>
  <si>
    <t>IHR2025000000198</t>
  </si>
  <si>
    <t>1-ES-7-108806</t>
  </si>
  <si>
    <t>2025-254</t>
  </si>
  <si>
    <t>2025-259</t>
  </si>
  <si>
    <t>MA 012 HO - BB 074 G</t>
  </si>
  <si>
    <t>IHR2025000000210</t>
  </si>
  <si>
    <t>118 (33 Palet + 85 Dökme)</t>
  </si>
  <si>
    <t>61 ACM 580 - 61 ACM 579</t>
  </si>
  <si>
    <t>IHR2025000000216</t>
  </si>
  <si>
    <t>131 (33 Palet + 98 Dökme)</t>
  </si>
  <si>
    <t>1-ES-7-109534</t>
  </si>
  <si>
    <t>1-ES-7-109804</t>
  </si>
  <si>
    <t>2025-276</t>
  </si>
  <si>
    <t>IHR2025000000231</t>
  </si>
  <si>
    <t>761 FJ 02 - 61 AKD 02</t>
  </si>
  <si>
    <t>322 (25 Palet + 297 Dökme)</t>
  </si>
  <si>
    <t>1-ES-7-112640</t>
  </si>
  <si>
    <t>2025-279</t>
  </si>
  <si>
    <t>50 094 UBA - 50 5582 BA</t>
  </si>
  <si>
    <t>IHR2025000000237</t>
  </si>
  <si>
    <t>140 (28 Palet + 112 Dökme)</t>
  </si>
  <si>
    <t>1-ES-7-113255</t>
  </si>
  <si>
    <t>2025-267</t>
  </si>
  <si>
    <t>ANT2025000000062</t>
  </si>
  <si>
    <t>861 FJ 02 - 61 AIY 02</t>
  </si>
  <si>
    <t>840 (32)</t>
  </si>
  <si>
    <t>2025-285</t>
  </si>
  <si>
    <t>2025-286</t>
  </si>
  <si>
    <t>IHR2025000000246</t>
  </si>
  <si>
    <t>282 (21 Palet + 261 Dökme)</t>
  </si>
  <si>
    <t>IHR2025000000247</t>
  </si>
  <si>
    <t>1-ES-7-113664</t>
  </si>
  <si>
    <t>BEDELSİZ SERAMİK</t>
  </si>
  <si>
    <t>1-ES-7-114191</t>
  </si>
  <si>
    <t>2025-296</t>
  </si>
  <si>
    <t>61K9152 - 61K9144</t>
  </si>
  <si>
    <t>164 (33 Palet + 131 Dökme)</t>
  </si>
  <si>
    <t>IHR2025000000252</t>
  </si>
  <si>
    <t>1-ES-7-114697</t>
  </si>
  <si>
    <t>2025-294</t>
  </si>
  <si>
    <t>61 ABY 996 -  61 ABY 995</t>
  </si>
  <si>
    <t>1053 (33)</t>
  </si>
  <si>
    <t>ANT2025000000064</t>
  </si>
  <si>
    <t>1-ES-7-114642</t>
  </si>
  <si>
    <t>IHR2025000000255</t>
  </si>
  <si>
    <t>1-ES-7-115008</t>
  </si>
  <si>
    <t>77 RE 181 / 99 YE 181</t>
  </si>
  <si>
    <t xml:space="preserve"> 209 ( 32 Palet + 177 dökme )</t>
  </si>
  <si>
    <t>2025-299</t>
  </si>
  <si>
    <t>2025-312</t>
  </si>
  <si>
    <t>95 B 612 MA - 95 6814 AA</t>
  </si>
  <si>
    <t>IHR2025000000263</t>
  </si>
  <si>
    <t>150 (29 Palet + 121 Dökme)</t>
  </si>
  <si>
    <t>1-ES-7-118171</t>
  </si>
  <si>
    <t>2025-319</t>
  </si>
  <si>
    <t>782 ARU 05/18 JKA 05</t>
  </si>
  <si>
    <t>145 (33 Palet + 112 dökme)</t>
  </si>
  <si>
    <t>IHR2025000000270</t>
  </si>
  <si>
    <t>1-ES-7-121452</t>
  </si>
  <si>
    <t>2025-340</t>
  </si>
  <si>
    <t>25 803 AAA - 25 3574 AA</t>
  </si>
  <si>
    <t>143 (33 Palet + 110 dökme)</t>
  </si>
  <si>
    <t>IHR2025000000280</t>
  </si>
  <si>
    <t>ANT2025000000077</t>
  </si>
  <si>
    <t>61 K 12199 / 61 ADP 977</t>
  </si>
  <si>
    <t>2025-333</t>
  </si>
  <si>
    <t>2025-334</t>
  </si>
  <si>
    <t>1-ES-7-123633</t>
  </si>
  <si>
    <t>IHR2025000000291</t>
  </si>
  <si>
    <t>1-ES-7-124284</t>
  </si>
  <si>
    <t>1-ES-7-123868</t>
  </si>
  <si>
    <t>30 590 VBA / 30 6559 AA</t>
  </si>
  <si>
    <t>2025-343</t>
  </si>
  <si>
    <t>IHR2025000000292</t>
  </si>
  <si>
    <t>2025-362</t>
  </si>
  <si>
    <t>IHR2025000000300</t>
  </si>
  <si>
    <t>P 071702 - F 21402</t>
  </si>
  <si>
    <t>136 (33 Palet + 103 Dökme)</t>
  </si>
  <si>
    <t>1-ES-7-126230</t>
  </si>
  <si>
    <t>55 AHF 56 / 55 AHA 581</t>
  </si>
  <si>
    <t>2025-363</t>
  </si>
  <si>
    <t>IHR2025000000307</t>
  </si>
  <si>
    <t>2025-371</t>
  </si>
  <si>
    <t>2025-372</t>
  </si>
  <si>
    <t>50 940 OBA - 50 3871 BA</t>
  </si>
  <si>
    <t>IHR2025000000324</t>
  </si>
  <si>
    <t>ANT2025000000089</t>
  </si>
  <si>
    <t>489 (21)</t>
  </si>
  <si>
    <t>75 (11 Palet + 64 Dökme)</t>
  </si>
  <si>
    <t>1-ES-7-128549</t>
  </si>
  <si>
    <t>1-ES-7-129299</t>
  </si>
  <si>
    <t>2025-384</t>
  </si>
  <si>
    <t>293 (33 Palet+260 Dökme)</t>
  </si>
  <si>
    <t>IHR2025000000328</t>
  </si>
  <si>
    <t>1-ES-7-131403</t>
  </si>
  <si>
    <t>2025-405</t>
  </si>
  <si>
    <t>IHR2025000000332</t>
  </si>
  <si>
    <t>80 (33 Palet + 47 Dökme)</t>
  </si>
  <si>
    <t>1-ES-7-133125</t>
  </si>
  <si>
    <t>2025-413</t>
  </si>
  <si>
    <t>2025-414</t>
  </si>
  <si>
    <t>ANT2025000000104</t>
  </si>
  <si>
    <t>61 AAZ 564 - 61 AAF 772</t>
  </si>
  <si>
    <t>313 (13)</t>
  </si>
  <si>
    <t>IHR2025000000354</t>
  </si>
  <si>
    <t>1-ES-7-140900</t>
  </si>
  <si>
    <t>1-ES-7-142135</t>
  </si>
  <si>
    <t>Aktau Mall Mobilya (Gümrük Bekliyor.)</t>
  </si>
  <si>
    <t>Aktau Mall Mobilya 2. Araç (Gümrük Bekliyor.)</t>
  </si>
  <si>
    <t>2025-442</t>
  </si>
  <si>
    <t>482 MO 02 - 23 GMA 02</t>
  </si>
  <si>
    <t>115 (33 Palet + 82 Dökme)</t>
  </si>
  <si>
    <t>IHR2025000000367</t>
  </si>
  <si>
    <t>1-ES-7-145031</t>
  </si>
  <si>
    <t>2025-444</t>
  </si>
  <si>
    <t>BEDELSİZ MOBİLYA</t>
  </si>
  <si>
    <t>30 W 209 DB - 30 8802 AA</t>
  </si>
  <si>
    <t>IHR2025000000371</t>
  </si>
  <si>
    <t>2025-446</t>
  </si>
  <si>
    <t>2025-447</t>
  </si>
  <si>
    <t>IHR2025000000375</t>
  </si>
  <si>
    <t>IHR2025000000376</t>
  </si>
  <si>
    <t>BEDELSİZ  - (LOGO VE SEPET)</t>
  </si>
  <si>
    <t>1-ES-7-146175</t>
  </si>
  <si>
    <t>2025-483</t>
  </si>
  <si>
    <t xml:space="preserve"> 50 231 UBA / 30 0507 BA </t>
  </si>
  <si>
    <t>IHR2025000000406</t>
  </si>
  <si>
    <t>BEDELSİZ  - (Astana Han  Mobilya)</t>
  </si>
  <si>
    <t>2025-476</t>
  </si>
  <si>
    <t>IHR2025000000405</t>
  </si>
  <si>
    <t>185 (33 Palet + 152 Dökme)</t>
  </si>
  <si>
    <t>1-ES-7-149113</t>
  </si>
  <si>
    <t>2025-489</t>
  </si>
  <si>
    <t>BEDELSİZ  - (Astana Han  Mobilya 2)</t>
  </si>
  <si>
    <t>30 K 430 KB  30 9465 AA</t>
  </si>
  <si>
    <t>IHR2025000000415</t>
  </si>
  <si>
    <t>2025-492</t>
  </si>
  <si>
    <t>30 N 997 NB - 30 8916 AA</t>
  </si>
  <si>
    <t>IHR2025000000416</t>
  </si>
  <si>
    <t>1-ES-7-149192</t>
  </si>
  <si>
    <t>2025-515</t>
  </si>
  <si>
    <t>IHR2025000000425</t>
  </si>
  <si>
    <t>217 AJ 14 - 31 ACS 14</t>
  </si>
  <si>
    <t>149 (33 Palet + 116 Koli)</t>
  </si>
  <si>
    <t>1-ES-7-150155</t>
  </si>
  <si>
    <t>2025-516</t>
  </si>
  <si>
    <t>2025-517</t>
  </si>
  <si>
    <t>ANT2025000000133</t>
  </si>
  <si>
    <t>347 (10)</t>
  </si>
  <si>
    <t>1-ES-7-150371</t>
  </si>
  <si>
    <t>IHR2025000000432</t>
  </si>
  <si>
    <t>71 (23 Palet + 48 Koli)</t>
  </si>
  <si>
    <t>1-ES-7-150996</t>
  </si>
  <si>
    <t>2025-545</t>
  </si>
  <si>
    <t>2025-546</t>
  </si>
  <si>
    <t>72 CA 185 - 72 ZB 961</t>
  </si>
  <si>
    <t>IHR2025000000450</t>
  </si>
  <si>
    <t>IHR2025000000449</t>
  </si>
  <si>
    <t>296 (26 Palet + 270 Koli)</t>
  </si>
  <si>
    <t>1-ES-7-151224</t>
  </si>
  <si>
    <t>BEDELSİZ  - (SERAMİK)</t>
  </si>
  <si>
    <t>2025-528</t>
  </si>
  <si>
    <t>2025-529</t>
  </si>
  <si>
    <t>61 ACM 580  61 ACM 579</t>
  </si>
  <si>
    <t>ANT2025000000134</t>
  </si>
  <si>
    <t>218 (6)</t>
  </si>
  <si>
    <t>IHR2025000000460</t>
  </si>
  <si>
    <t>88 (27 Palet + 61 Koli)</t>
  </si>
  <si>
    <t>1-ES-7-151098</t>
  </si>
  <si>
    <t>1-ES-7-151340</t>
  </si>
  <si>
    <t>2025-579</t>
  </si>
  <si>
    <t>2025-580</t>
  </si>
  <si>
    <t>61 AEC 142 - 61 K 21890</t>
  </si>
  <si>
    <t>ANT2025000000146</t>
  </si>
  <si>
    <t>241 (7)</t>
  </si>
  <si>
    <t>IHR2025000000487</t>
  </si>
  <si>
    <t>242 (23 Palet + 219 Koli)</t>
  </si>
  <si>
    <t>1-ES-7-151688</t>
  </si>
  <si>
    <t>1-ES-7-151717</t>
  </si>
  <si>
    <t>2025-585</t>
  </si>
  <si>
    <t>IHR2025000000492</t>
  </si>
  <si>
    <t>84 (31 Palet + 53 Koli)</t>
  </si>
  <si>
    <t>1-ES-7-151749</t>
  </si>
  <si>
    <t>2025-593</t>
  </si>
  <si>
    <t>2025-594</t>
  </si>
  <si>
    <t>ANT2025000000152</t>
  </si>
  <si>
    <t>178 (6)</t>
  </si>
  <si>
    <t>IHR2025000000499</t>
  </si>
  <si>
    <t>74 (27 Palet + 47 Koli)</t>
  </si>
  <si>
    <t>1-ES-7-151808</t>
  </si>
  <si>
    <t>1-ES-7-151943</t>
  </si>
  <si>
    <t>2025-604</t>
  </si>
  <si>
    <t>30 X 820 RA - 30 4399 AA</t>
  </si>
  <si>
    <t>IHR2025000000502</t>
  </si>
  <si>
    <t>1-ES-7-151978</t>
  </si>
  <si>
    <t>2025-602</t>
  </si>
  <si>
    <t>61K12199 - 61ADP977</t>
  </si>
  <si>
    <t>ANT2025000000157</t>
  </si>
  <si>
    <t>2025-603</t>
  </si>
  <si>
    <t>ANT2025000000156</t>
  </si>
  <si>
    <t>08K5136 - 08AAV053</t>
  </si>
  <si>
    <t>2025-630</t>
  </si>
  <si>
    <t>RİGEL 1-ES-7-151937</t>
  </si>
  <si>
    <t>RİGEL 1-ES-7-151939</t>
  </si>
  <si>
    <t>791 DZ 02 - 79 AHP 02</t>
  </si>
  <si>
    <t>IHR2025000000518</t>
  </si>
  <si>
    <t>1-ES-7-152334</t>
  </si>
  <si>
    <t>2025-632</t>
  </si>
  <si>
    <t>2025-633</t>
  </si>
  <si>
    <t>08ABH247 - 08AAR660</t>
  </si>
  <si>
    <t>ANT2025000000173</t>
  </si>
  <si>
    <t>349 (11)</t>
  </si>
  <si>
    <t>29 (17 Palet + 12 Koli)</t>
  </si>
  <si>
    <t>IHR2025000000520</t>
  </si>
  <si>
    <t>1-ES-7-152528</t>
  </si>
  <si>
    <t>1-ES-7-152507</t>
  </si>
  <si>
    <t>2025-642</t>
  </si>
  <si>
    <t>482 MO 02  - 23 GMA 02</t>
  </si>
  <si>
    <t>151 (28 Palet + 123 Koli)</t>
  </si>
  <si>
    <t>IHR2025000000526</t>
  </si>
  <si>
    <t>1-ES-7-152663</t>
  </si>
  <si>
    <t>2025-648</t>
  </si>
  <si>
    <t>IHR2025000000533</t>
  </si>
  <si>
    <t>1-ES-7-152942</t>
  </si>
  <si>
    <t>77 RH 936  99 YF 936</t>
  </si>
  <si>
    <t>156 (33 Palet + 123 Koli)</t>
  </si>
  <si>
    <t>2025-654</t>
  </si>
  <si>
    <t>2025-655</t>
  </si>
  <si>
    <t>IHR2025000000536</t>
  </si>
  <si>
    <t>77 RN 175 - 99 ZX 337</t>
  </si>
  <si>
    <t>77 (33 Palet + 44 Koli)</t>
  </si>
  <si>
    <t>1-ES-7-153168</t>
  </si>
  <si>
    <t>77 VC 175 - 99 YG 175</t>
  </si>
  <si>
    <t>IHR2025000000537</t>
  </si>
  <si>
    <t>1-ES-7-153172</t>
  </si>
  <si>
    <t>2025-659</t>
  </si>
  <si>
    <t>50 231 UBA - 30 0507 BA</t>
  </si>
  <si>
    <t>IHR2025000000543</t>
  </si>
  <si>
    <t>120 (33 Palet + 87 Koli)</t>
  </si>
  <si>
    <t>1-ES-7-153400</t>
  </si>
  <si>
    <t>2025-672</t>
  </si>
  <si>
    <t>IHR2025000000548</t>
  </si>
  <si>
    <t>1-ES-7-153574</t>
  </si>
  <si>
    <t>2025-662</t>
  </si>
  <si>
    <t>2025-695</t>
  </si>
  <si>
    <t>34GUB977 - 47PS690</t>
  </si>
  <si>
    <t>ANT2025000000179</t>
  </si>
  <si>
    <t>905 (23)</t>
  </si>
  <si>
    <t>IHR2025000000556</t>
  </si>
  <si>
    <t>68 (10 Palet + 58 Koli)</t>
  </si>
  <si>
    <t>1-ES-7-153961</t>
  </si>
  <si>
    <t>1-ES-7-153423</t>
  </si>
  <si>
    <t>2025-713</t>
  </si>
  <si>
    <t>2025-714</t>
  </si>
  <si>
    <t>61 DU 040- 61 NL 040</t>
  </si>
  <si>
    <t>ANT2025000000200</t>
  </si>
  <si>
    <t>IHR2025000000572</t>
  </si>
  <si>
    <t>59 (21 Palet + 38 Koli)</t>
  </si>
  <si>
    <t>414 (12)</t>
  </si>
  <si>
    <t>1-ES-7-154286</t>
  </si>
  <si>
    <t>1-ES-7-154294</t>
  </si>
  <si>
    <t>2025-733</t>
  </si>
  <si>
    <t>IHR2025000000590</t>
  </si>
  <si>
    <t>61ADG155 - 61ADG158</t>
  </si>
  <si>
    <t>123 (33 Palet + 90 Koli)</t>
  </si>
  <si>
    <t>1-ES-7-154666</t>
  </si>
  <si>
    <t>2025-722</t>
  </si>
  <si>
    <t>2025-723</t>
  </si>
  <si>
    <t>ANT2025000000203</t>
  </si>
  <si>
    <t>167 (6)</t>
  </si>
  <si>
    <t>61K14758 - 61K21776</t>
  </si>
  <si>
    <t>132 (27 Palet + 105 Koli)</t>
  </si>
  <si>
    <t>IHR2025000000588</t>
  </si>
  <si>
    <t>1-ES-7-154507</t>
  </si>
  <si>
    <t>1-ES-7-154656</t>
  </si>
  <si>
    <t>2025-736</t>
  </si>
  <si>
    <t>2025-739</t>
  </si>
  <si>
    <t>1-ES-7-154739</t>
  </si>
  <si>
    <t>1-ES-7-154747</t>
  </si>
  <si>
    <t>IHR2025000000594</t>
  </si>
  <si>
    <t>IHR2025000000595</t>
  </si>
  <si>
    <t>122 (33 Palet + 89 Koli)</t>
  </si>
  <si>
    <t>50870TBA - 504712BA</t>
  </si>
  <si>
    <t>118 (33 Palet + 85 Koli)</t>
  </si>
  <si>
    <t>80879NBA - 806284BA</t>
  </si>
  <si>
    <t>2025-765</t>
  </si>
  <si>
    <t>2025-766</t>
  </si>
  <si>
    <t>33ANH260 - 34HP5940</t>
  </si>
  <si>
    <t>ANT2025000000216</t>
  </si>
  <si>
    <t>129 (5)</t>
  </si>
  <si>
    <t>1-ES-7-155653</t>
  </si>
  <si>
    <t>IHR2025000000620</t>
  </si>
  <si>
    <t>88 (28 Palet + 60 Koli)</t>
  </si>
  <si>
    <r>
      <rPr>
        <b/>
        <sz val="10"/>
        <rFont val="Calibri"/>
        <family val="2"/>
        <charset val="162"/>
        <scheme val="minor"/>
      </rPr>
      <t>1-ES-7-155687 -</t>
    </r>
    <r>
      <rPr>
        <b/>
        <sz val="10"/>
        <color rgb="FFFF0000"/>
        <rFont val="Calibri"/>
        <family val="2"/>
        <charset val="162"/>
        <scheme val="minor"/>
      </rPr>
      <t xml:space="preserve"> 12 ADET IT EKİPMANLARI</t>
    </r>
  </si>
  <si>
    <t>2025-769</t>
  </si>
  <si>
    <t>2025-770</t>
  </si>
  <si>
    <t>33ANH353 - 33AGV813</t>
  </si>
  <si>
    <t>ANT2025000000217</t>
  </si>
  <si>
    <t>349 (12)</t>
  </si>
  <si>
    <t>IHR2025000000627</t>
  </si>
  <si>
    <t>137 (21 Palet + 116 Koli)</t>
  </si>
  <si>
    <t>1-ES-7-155726</t>
  </si>
  <si>
    <t>1-ES-7-155654</t>
  </si>
  <si>
    <t>2025-775</t>
  </si>
  <si>
    <t>ANT2025000000218</t>
  </si>
  <si>
    <t>61AAY117 - 61K3886</t>
  </si>
  <si>
    <t>1167 (24)</t>
  </si>
  <si>
    <t>1-ES-7-155655</t>
  </si>
  <si>
    <t>2025-781</t>
  </si>
  <si>
    <t>61ABY996 - 61ABY995</t>
  </si>
  <si>
    <t>IHR2025000000629</t>
  </si>
  <si>
    <t>56 (33 Palet + 23 Koli)</t>
  </si>
  <si>
    <t>1-ES-7-155752</t>
  </si>
  <si>
    <t>2025-783</t>
  </si>
  <si>
    <t>2025-784</t>
  </si>
  <si>
    <t>342EP02 - 33AIZ02</t>
  </si>
  <si>
    <t>IHR2025000000632</t>
  </si>
  <si>
    <t>46 (33 Palet + 13 Koli)</t>
  </si>
  <si>
    <t>IHR2025000000633</t>
  </si>
  <si>
    <t>06JRK09 - 06JRK19</t>
  </si>
  <si>
    <t>130 (33 Palet + 97 Koli)</t>
  </si>
  <si>
    <t>1-ES-7-155786</t>
  </si>
  <si>
    <t>1-ES-7-155789</t>
  </si>
  <si>
    <t>2025-824</t>
  </si>
  <si>
    <t>669CW02 - 61AKD02</t>
  </si>
  <si>
    <t>IHR2025000000655</t>
  </si>
  <si>
    <t>80 (33 Palet + 47 Koli)</t>
  </si>
  <si>
    <t>1-ES-7-156208</t>
  </si>
  <si>
    <t>2025-806</t>
  </si>
  <si>
    <t>2025-807</t>
  </si>
  <si>
    <t>61K14820 - 61ADU889</t>
  </si>
  <si>
    <t>ANT2025000000228</t>
  </si>
  <si>
    <t>177 (6)</t>
  </si>
  <si>
    <t>IHR2025000000660</t>
  </si>
  <si>
    <t>56 (27 Palet + 29 Koli)</t>
  </si>
  <si>
    <t>1-ES-7-156177</t>
  </si>
  <si>
    <t>1-ES-7-156264</t>
  </si>
  <si>
    <t>2025-818</t>
  </si>
  <si>
    <t>61ACU732 - 34J6089</t>
  </si>
  <si>
    <t>ANT2025000000234</t>
  </si>
  <si>
    <t>1554 (33) Komple Transit</t>
  </si>
  <si>
    <t>1-ES-7-156218</t>
  </si>
  <si>
    <t>2025-834</t>
  </si>
  <si>
    <t>482MO02 - 23GMA02</t>
  </si>
  <si>
    <t>IHR2025000000673</t>
  </si>
  <si>
    <t>81 (33 Palet + 48 Koli)</t>
  </si>
  <si>
    <t>1-ES-7-156368</t>
  </si>
  <si>
    <t>2025-842</t>
  </si>
  <si>
    <t>77JH261 - 99ZG761</t>
  </si>
  <si>
    <t>IHR2025000000677</t>
  </si>
  <si>
    <t>102 (33 Palet + 69 Koli)</t>
  </si>
  <si>
    <t>1-ES-7-156597</t>
  </si>
  <si>
    <t>2025-863</t>
  </si>
  <si>
    <t>2025-864</t>
  </si>
  <si>
    <t>33CUH89 - 38DP859</t>
  </si>
  <si>
    <t>1-ES-7-156895</t>
  </si>
  <si>
    <t>IHR2025000000693</t>
  </si>
  <si>
    <t>91 (33 Palet + 58 Koli)</t>
  </si>
  <si>
    <t>77RH936 - 99YF936</t>
  </si>
  <si>
    <t>IHR2025000000694</t>
  </si>
  <si>
    <t>250 (29 Palet + 221 Koli)</t>
  </si>
  <si>
    <t>1-ES-7-156896</t>
  </si>
  <si>
    <t>2025-870</t>
  </si>
  <si>
    <t>2025-871</t>
  </si>
  <si>
    <t>2025-872</t>
  </si>
  <si>
    <t>2025-873</t>
  </si>
  <si>
    <t>61ACM580 - 61ACM579</t>
  </si>
  <si>
    <t>IHR2025000000707</t>
  </si>
  <si>
    <t>53 (17 Palet + 36 Koli)</t>
  </si>
  <si>
    <t>ANT2025000000247</t>
  </si>
  <si>
    <t>61BU700 - 61K7462</t>
  </si>
  <si>
    <t>IHR2025000000700</t>
  </si>
  <si>
    <t>82 (17 Palet + 65 Koli)</t>
  </si>
  <si>
    <t>ANT2025000000248</t>
  </si>
  <si>
    <t>2025-885</t>
  </si>
  <si>
    <t>50940OBA - 503871BA</t>
  </si>
  <si>
    <t>IHR2025000000708</t>
  </si>
  <si>
    <t>2025-889</t>
  </si>
  <si>
    <t>50360TBA - 505469BA</t>
  </si>
  <si>
    <t>60 (33 Palet + 27 Koli)</t>
  </si>
  <si>
    <t>443 (15)</t>
  </si>
  <si>
    <t>482 (16)</t>
  </si>
  <si>
    <t>1-ES-7-157120</t>
  </si>
  <si>
    <t>1-ES-7-157281</t>
  </si>
  <si>
    <t>1-ES-7-157293</t>
  </si>
  <si>
    <t>1-ES-7-157124</t>
  </si>
  <si>
    <t>IHR2025000000712</t>
  </si>
  <si>
    <t>1-ES-7-157405</t>
  </si>
  <si>
    <t>1-ES-7-157404 - fatura hatalı kesildi</t>
  </si>
  <si>
    <t>2025-908</t>
  </si>
  <si>
    <t>1108 (33)</t>
  </si>
  <si>
    <t>ANT2025000000255</t>
  </si>
  <si>
    <t>1-ES-7-157642 Komple Transit - Rigel Antrepo</t>
  </si>
  <si>
    <t>2025-893</t>
  </si>
  <si>
    <t>2025-894</t>
  </si>
  <si>
    <t>ANT2025000000256</t>
  </si>
  <si>
    <t>137 (5)</t>
  </si>
  <si>
    <t>IHR2025000000720</t>
  </si>
  <si>
    <t>52 (28 Palet + 24 Koli)</t>
  </si>
  <si>
    <t>1-ES-7-157643</t>
  </si>
  <si>
    <t>1-ES-7-157815</t>
  </si>
  <si>
    <t>2025-915</t>
  </si>
  <si>
    <t>2025-917</t>
  </si>
  <si>
    <t>BB502BX - SS745P</t>
  </si>
  <si>
    <t>IHR2025000000730</t>
  </si>
  <si>
    <t>67 (30 Palet + 37 Koli)</t>
  </si>
  <si>
    <t>73 (33 Palet + 40 Koli)</t>
  </si>
  <si>
    <t>IHR2025000000733</t>
  </si>
  <si>
    <t>50231UBA - 300507BA</t>
  </si>
  <si>
    <t>1-ES-7-157912</t>
  </si>
  <si>
    <t>1-ES-7-157923</t>
  </si>
  <si>
    <t>2025-924</t>
  </si>
  <si>
    <t>2025-925</t>
  </si>
  <si>
    <t>61K13004 - 61ACA353</t>
  </si>
  <si>
    <t>ANT2025000000263</t>
  </si>
  <si>
    <t>234 (7)</t>
  </si>
  <si>
    <t>IHR2025000000742</t>
  </si>
  <si>
    <t>81 (25 Palet + 56 Koli)</t>
  </si>
  <si>
    <t>1-ES-7-158102</t>
  </si>
  <si>
    <t>1-ES-7-158293</t>
  </si>
  <si>
    <t>2025-928</t>
  </si>
  <si>
    <t>ANT2025000000264</t>
  </si>
  <si>
    <t>1210 (33)</t>
  </si>
  <si>
    <t>1-ES-7-158105  -  Komple Transit - Rigel</t>
  </si>
  <si>
    <t>IHR2025000000746</t>
  </si>
  <si>
    <t>IHR2025000000753</t>
  </si>
  <si>
    <t>IHR2025000000759</t>
  </si>
  <si>
    <t>2025-936</t>
  </si>
  <si>
    <t>01KG438AWD - 01KG659PG</t>
  </si>
  <si>
    <t>99 (33 Palet + 66 Koli)</t>
  </si>
  <si>
    <t>2025-948</t>
  </si>
  <si>
    <t>ANT2025000000272</t>
  </si>
  <si>
    <t>61K3727 - 61AJJ296</t>
  </si>
  <si>
    <t>1187 (33)</t>
  </si>
  <si>
    <t>61 ACC 734 - 61 K 21745</t>
  </si>
  <si>
    <t>2025-955</t>
  </si>
  <si>
    <t xml:space="preserve"> 164 (33 Palet + 131 Koli)</t>
  </si>
  <si>
    <t>2025-957</t>
  </si>
  <si>
    <t xml:space="preserve"> 61K15892 - 61ADE043</t>
  </si>
  <si>
    <t>119 (33 Palet + 86 Koli)</t>
  </si>
  <si>
    <t>1-ES-7-158798 -  Komple Transit - Rigel</t>
  </si>
  <si>
    <t>1-ES-7-158908</t>
  </si>
  <si>
    <t>1-ES-7-159213</t>
  </si>
  <si>
    <t>1-ES-7-158479</t>
  </si>
  <si>
    <t>2025-977</t>
  </si>
  <si>
    <t>2025-984</t>
  </si>
  <si>
    <t>2025-985</t>
  </si>
  <si>
    <t>2025-990</t>
  </si>
  <si>
    <t>ANT2025000000283</t>
  </si>
  <si>
    <t>1114 (33)</t>
  </si>
  <si>
    <t>264BI02 - 82EYA02</t>
  </si>
  <si>
    <t>IHR2025000000778</t>
  </si>
  <si>
    <t>82 (33 Palet + 49 Koli)</t>
  </si>
  <si>
    <t>351AI02 - 52JFA02</t>
  </si>
  <si>
    <t>IHR2025000000776</t>
  </si>
  <si>
    <t>131 (33 Palet + 98 Koli)</t>
  </si>
  <si>
    <t>1-ES-7-160196 - Komple Transit - Rigel</t>
  </si>
  <si>
    <t>1-ES-7-160454</t>
  </si>
  <si>
    <t>1-ES-7-160708</t>
  </si>
  <si>
    <t>50430SBA - 503872BA</t>
  </si>
  <si>
    <t>IHR2025000000783</t>
  </si>
  <si>
    <t>238 (24 Palet + 214 Koli)</t>
  </si>
  <si>
    <t>1-ES-7-160751</t>
  </si>
  <si>
    <t>2025-1018</t>
  </si>
  <si>
    <t>34GSC219 - 33AOC317</t>
  </si>
  <si>
    <t>IHR2025000000803</t>
  </si>
  <si>
    <t>63 (33 Palet + 30 Koli)</t>
  </si>
  <si>
    <t>1-ES-7-161571</t>
  </si>
  <si>
    <t>2025-958</t>
  </si>
  <si>
    <t>2025-1008</t>
  </si>
  <si>
    <t>34BJG919 - 61K13605</t>
  </si>
  <si>
    <t>ANT2025000000277</t>
  </si>
  <si>
    <t>65 (2)</t>
  </si>
  <si>
    <t>IHR2025000000805</t>
  </si>
  <si>
    <t>190 (31 Palet + 159 Koli)</t>
  </si>
  <si>
    <t>1-ES-7-159246</t>
  </si>
  <si>
    <t>1-ES-7-161582</t>
  </si>
  <si>
    <t>2025-1026</t>
  </si>
  <si>
    <t>2025-1027</t>
  </si>
  <si>
    <t>IHR2025000000821</t>
  </si>
  <si>
    <t>61 (28 Palet + 33 Koli)</t>
  </si>
  <si>
    <t>ANT2025000000298</t>
  </si>
  <si>
    <t>1-ES-7-161832</t>
  </si>
  <si>
    <t>1-ES-7-162251</t>
  </si>
  <si>
    <t>134 (5)</t>
  </si>
  <si>
    <t>2025-1050</t>
  </si>
  <si>
    <t>ANT2025000000307</t>
  </si>
  <si>
    <t>1131 (33)</t>
  </si>
  <si>
    <t>2025-1064</t>
  </si>
  <si>
    <t>2025-1065</t>
  </si>
  <si>
    <t>50356UBA - 506838BA</t>
  </si>
  <si>
    <t>IHR2025000000845</t>
  </si>
  <si>
    <t>31 (9 Palet + 22 Koli)</t>
  </si>
  <si>
    <t>ANT2025000000309</t>
  </si>
  <si>
    <t>724 (24)</t>
  </si>
  <si>
    <t>2025-1071</t>
  </si>
  <si>
    <t>175 (31 Palet + 144 Koli)</t>
  </si>
  <si>
    <t>IHR2025000000844</t>
  </si>
  <si>
    <t xml:space="preserve"> 1-ES-7-162450 - Komple Transit - Rigel</t>
  </si>
  <si>
    <t>1-ES-7-164247</t>
  </si>
  <si>
    <t>1-ES-7-164257</t>
  </si>
  <si>
    <t>1-ES-7-163573</t>
  </si>
  <si>
    <t>2025-1098</t>
  </si>
  <si>
    <t>WV738VV - BB463M</t>
  </si>
  <si>
    <t>IHR2025000000865</t>
  </si>
  <si>
    <t>1-ES-7-165088</t>
  </si>
  <si>
    <t>53 (33 Palet + 20 Koli)</t>
  </si>
  <si>
    <t>2025-1113</t>
  </si>
  <si>
    <t>2025-1114</t>
  </si>
  <si>
    <t>BL008CI - BS554B</t>
  </si>
  <si>
    <t>IHR2025000000878</t>
  </si>
  <si>
    <t>ANT2025000000332</t>
  </si>
  <si>
    <t>123 (22 Palet + 101 Koli)</t>
  </si>
  <si>
    <t>1-ES-7-165445</t>
  </si>
  <si>
    <t>1-ES-7-165765</t>
  </si>
  <si>
    <t>350 (10)</t>
  </si>
  <si>
    <t>2025-1140</t>
  </si>
  <si>
    <t>AL008GR - AL008G</t>
  </si>
  <si>
    <t>IHR2025000000895</t>
  </si>
  <si>
    <t>251 (31 Palet + 220 Koli)</t>
  </si>
  <si>
    <t>1-ES-7-166762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</si>
</sst>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_-&quot;₺&quot;* #,##0.00_-;\-&quot;₺&quot;* #,##0.00_-;_-&quot;₺&quot;* &quot;-&quot;??_-;_-@_-"/>
    <numFmt numFmtId="165" formatCode="_-* #,##0.00_-;\-* #,##0.00_-;_-* &quot;-&quot;??_-;_-@_-"/>
    <numFmt numFmtId="166" formatCode="dd/mm/yyyy;@"/>
    <numFmt numFmtId="167" formatCode="0.000%"/>
    <numFmt numFmtId="168" formatCode="[$$-409]#,##0.00"/>
    <numFmt numFmtId="169" formatCode="_-[$KZT]\ * #,##0.00_-;\-[$KZT]\ * #,##0.00_-;_-[$KZT]\ * &quot;-&quot;??_-;_-@_-"/>
    <numFmt numFmtId="170" formatCode="_-[$USD]\ * #,##0.00_-;\-[$USD]\ * #,##0.00_-;_-[$USD]\ * &quot;-&quot;??_-;_-@_-"/>
    <numFmt numFmtId="171" formatCode="[$TRL]\ #,##0.00"/>
    <numFmt numFmtId="172" formatCode="[$$-C09]#,##0.00"/>
    <numFmt numFmtId="173" formatCode="[$TRY]\ #,##0.00"/>
    <numFmt numFmtId="174" formatCode="_-* #,##0.000_-;\-* #,##0.000_-;_-* &quot;-&quot;??_-;_-@_-"/>
    <numFmt numFmtId="175" formatCode="[$USD]\ #,##0.00"/>
  </numFmts>
  <fonts count="1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8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color theme="1"/>
      <name val="Arial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165" fontId="1" fillId="0" borderId="0" applyFont="0" applyFill="0" applyBorder="0" applyAlignment="0" applyProtection="0"/>
    <xf numFmtId="0" fontId="1" fillId="0" borderId="0"/>
    <xf numFmtId="0" fontId="9" fillId="0" borderId="0"/>
  </cellStyleXfs>
  <cellXfs count="168">
    <xf numFmtId="0" fontId="0" fillId="0" borderId="0" xfId="0"/>
    <xf numFmtId="16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8" fontId="4" fillId="2" borderId="1" xfId="0" applyNumberFormat="1" applyFont="1" applyFill="1" applyBorder="1"/>
    <xf numFmtId="170" fontId="0" fillId="0" borderId="0" xfId="0" applyNumberFormat="1"/>
    <xf numFmtId="171" fontId="4" fillId="0" borderId="1" xfId="0" applyNumberFormat="1" applyFont="1" applyBorder="1"/>
    <xf numFmtId="171" fontId="3" fillId="0" borderId="1" xfId="0" applyNumberFormat="1" applyFont="1" applyBorder="1"/>
    <xf numFmtId="171" fontId="0" fillId="0" borderId="0" xfId="0" applyNumberFormat="1"/>
    <xf numFmtId="171" fontId="4" fillId="0" borderId="1" xfId="1" applyNumberFormat="1" applyFont="1" applyBorder="1" applyAlignment="1">
      <alignment horizontal="center"/>
    </xf>
    <xf numFmtId="171" fontId="4" fillId="0" borderId="1" xfId="1" applyNumberFormat="1" applyFont="1" applyBorder="1" applyAlignment="1">
      <alignment vertical="top"/>
    </xf>
    <xf numFmtId="171" fontId="4" fillId="0" borderId="1" xfId="4" applyNumberFormat="1" applyFont="1" applyBorder="1" applyAlignment="1">
      <alignment horizontal="center"/>
    </xf>
    <xf numFmtId="171" fontId="3" fillId="2" borderId="1" xfId="0" applyNumberFormat="1" applyFont="1" applyFill="1" applyBorder="1"/>
    <xf numFmtId="171" fontId="3" fillId="2" borderId="1" xfId="0" applyNumberFormat="1" applyFont="1" applyFill="1" applyBorder="1" applyAlignment="1">
      <alignment horizontal="center"/>
    </xf>
    <xf numFmtId="172" fontId="4" fillId="6" borderId="1" xfId="4" applyNumberFormat="1" applyFont="1" applyFill="1" applyBorder="1" applyAlignment="1">
      <alignment horizontal="center"/>
    </xf>
    <xf numFmtId="172" fontId="4" fillId="0" borderId="1" xfId="4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72" fontId="2" fillId="0" borderId="1" xfId="0" applyNumberFormat="1" applyFont="1" applyBorder="1" applyAlignment="1">
      <alignment horizontal="center"/>
    </xf>
    <xf numFmtId="172" fontId="4" fillId="6" borderId="1" xfId="4" applyNumberFormat="1" applyFont="1" applyFill="1" applyBorder="1" applyAlignment="1">
      <alignment horizontal="center" vertical="center"/>
    </xf>
    <xf numFmtId="172" fontId="4" fillId="2" borderId="1" xfId="4" applyNumberFormat="1" applyFont="1" applyFill="1" applyBorder="1" applyAlignment="1">
      <alignment horizontal="center"/>
    </xf>
    <xf numFmtId="171" fontId="4" fillId="4" borderId="1" xfId="3" applyNumberFormat="1" applyFont="1" applyFill="1" applyBorder="1" applyAlignment="1">
      <alignment horizontal="center" vertical="center" wrapText="1"/>
    </xf>
    <xf numFmtId="0" fontId="4" fillId="4" borderId="1" xfId="3" applyFont="1" applyFill="1" applyBorder="1" applyAlignment="1">
      <alignment horizontal="center" vertical="center" wrapText="1"/>
    </xf>
    <xf numFmtId="171" fontId="4" fillId="5" borderId="1" xfId="4" applyNumberFormat="1" applyFont="1" applyFill="1" applyBorder="1" applyAlignment="1">
      <alignment horizontal="center"/>
    </xf>
    <xf numFmtId="173" fontId="4" fillId="0" borderId="1" xfId="0" applyNumberFormat="1" applyFont="1" applyBorder="1" applyAlignment="1">
      <alignment horizontal="center"/>
    </xf>
    <xf numFmtId="173" fontId="3" fillId="0" borderId="1" xfId="0" applyNumberFormat="1" applyFont="1" applyBorder="1"/>
    <xf numFmtId="0" fontId="4" fillId="0" borderId="1" xfId="3" applyFont="1" applyBorder="1" applyAlignment="1">
      <alignment horizontal="center" vertical="center" wrapText="1"/>
    </xf>
    <xf numFmtId="4" fontId="3" fillId="0" borderId="1" xfId="3" applyNumberFormat="1" applyFont="1" applyBorder="1" applyAlignment="1">
      <alignment horizontal="center" vertical="center" wrapText="1"/>
    </xf>
    <xf numFmtId="170" fontId="4" fillId="4" borderId="1" xfId="3" applyNumberFormat="1" applyFont="1" applyFill="1" applyBorder="1" applyAlignment="1">
      <alignment horizontal="center" vertical="center" wrapText="1"/>
    </xf>
    <xf numFmtId="171" fontId="4" fillId="0" borderId="1" xfId="3" applyNumberFormat="1" applyFont="1" applyBorder="1" applyAlignment="1">
      <alignment horizontal="center" vertical="center" wrapText="1"/>
    </xf>
    <xf numFmtId="171" fontId="2" fillId="0" borderId="1" xfId="3" applyNumberFormat="1" applyFont="1" applyBorder="1" applyAlignment="1">
      <alignment horizontal="center" vertical="center" wrapText="1"/>
    </xf>
    <xf numFmtId="167" fontId="4" fillId="3" borderId="1" xfId="2" applyNumberFormat="1" applyFont="1" applyFill="1" applyBorder="1" applyAlignment="1">
      <alignment horizontal="center" vertical="center" wrapText="1"/>
    </xf>
    <xf numFmtId="169" fontId="4" fillId="0" borderId="1" xfId="4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167" fontId="2" fillId="7" borderId="9" xfId="2" applyNumberFormat="1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/>
    <xf numFmtId="14" fontId="13" fillId="0" borderId="13" xfId="0" applyNumberFormat="1" applyFont="1" applyBorder="1" applyAlignment="1">
      <alignment horizontal="center"/>
    </xf>
    <xf numFmtId="14" fontId="13" fillId="0" borderId="11" xfId="0" applyNumberFormat="1" applyFont="1" applyBorder="1" applyAlignment="1">
      <alignment horizontal="center"/>
    </xf>
    <xf numFmtId="14" fontId="12" fillId="0" borderId="3" xfId="0" applyNumberFormat="1" applyFont="1" applyBorder="1" applyAlignment="1">
      <alignment horizontal="center"/>
    </xf>
    <xf numFmtId="2" fontId="12" fillId="0" borderId="3" xfId="0" applyNumberFormat="1" applyFont="1" applyBorder="1"/>
    <xf numFmtId="2" fontId="12" fillId="0" borderId="3" xfId="2" applyNumberFormat="1" applyFont="1" applyBorder="1"/>
    <xf numFmtId="0" fontId="11" fillId="0" borderId="0" xfId="0" applyFont="1"/>
    <xf numFmtId="0" fontId="12" fillId="0" borderId="1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14" fontId="12" fillId="0" borderId="5" xfId="0" applyNumberFormat="1" applyFont="1" applyBorder="1" applyAlignment="1">
      <alignment horizontal="center"/>
    </xf>
    <xf numFmtId="14" fontId="12" fillId="0" borderId="14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14" fontId="12" fillId="0" borderId="1" xfId="2" applyNumberFormat="1" applyFont="1" applyBorder="1" applyAlignment="1">
      <alignment horizontal="center"/>
    </xf>
    <xf numFmtId="2" fontId="12" fillId="0" borderId="1" xfId="2" applyNumberFormat="1" applyFont="1" applyBorder="1"/>
    <xf numFmtId="2" fontId="12" fillId="0" borderId="1" xfId="0" applyNumberFormat="1" applyFont="1" applyBorder="1"/>
    <xf numFmtId="0" fontId="2" fillId="0" borderId="1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5" xfId="0" applyNumberFormat="1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1" xfId="2" applyNumberFormat="1" applyFont="1" applyBorder="1" applyAlignment="1">
      <alignment horizontal="center"/>
    </xf>
    <xf numFmtId="2" fontId="2" fillId="0" borderId="1" xfId="2" applyNumberFormat="1" applyFont="1" applyBorder="1"/>
    <xf numFmtId="2" fontId="2" fillId="0" borderId="1" xfId="0" applyNumberFormat="1" applyFont="1" applyBorder="1"/>
    <xf numFmtId="0" fontId="2" fillId="0" borderId="6" xfId="0" applyFont="1" applyBorder="1" applyAlignment="1">
      <alignment horizontal="center"/>
    </xf>
    <xf numFmtId="167" fontId="2" fillId="0" borderId="1" xfId="2" applyNumberFormat="1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/>
    <xf numFmtId="14" fontId="2" fillId="0" borderId="18" xfId="0" applyNumberFormat="1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14" fontId="2" fillId="0" borderId="17" xfId="2" applyNumberFormat="1" applyFont="1" applyBorder="1" applyAlignment="1">
      <alignment horizontal="center"/>
    </xf>
    <xf numFmtId="167" fontId="2" fillId="0" borderId="17" xfId="2" applyNumberFormat="1" applyFont="1" applyBorder="1"/>
    <xf numFmtId="14" fontId="0" fillId="0" borderId="0" xfId="0" applyNumberFormat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73" fontId="3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74" fontId="4" fillId="0" borderId="1" xfId="4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3" fontId="3" fillId="0" borderId="1" xfId="0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vertical="center"/>
    </xf>
    <xf numFmtId="173" fontId="4" fillId="2" borderId="1" xfId="4" applyNumberFormat="1" applyFont="1" applyFill="1" applyBorder="1" applyAlignment="1">
      <alignment horizontal="center" vertical="center"/>
    </xf>
    <xf numFmtId="167" fontId="2" fillId="9" borderId="1" xfId="2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68" fontId="4" fillId="10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 vertical="center"/>
    </xf>
    <xf numFmtId="173" fontId="3" fillId="2" borderId="1" xfId="0" applyNumberFormat="1" applyFont="1" applyFill="1" applyBorder="1" applyAlignment="1">
      <alignment horizontal="center" vertical="center"/>
    </xf>
    <xf numFmtId="170" fontId="3" fillId="2" borderId="1" xfId="0" applyNumberFormat="1" applyFont="1" applyFill="1" applyBorder="1" applyAlignment="1">
      <alignment vertical="center"/>
    </xf>
    <xf numFmtId="174" fontId="4" fillId="2" borderId="1" xfId="4" applyNumberFormat="1" applyFont="1" applyFill="1" applyBorder="1" applyAlignment="1">
      <alignment horizontal="center"/>
    </xf>
    <xf numFmtId="173" fontId="4" fillId="2" borderId="1" xfId="0" applyNumberFormat="1" applyFont="1" applyFill="1" applyBorder="1" applyAlignment="1">
      <alignment horizontal="center"/>
    </xf>
    <xf numFmtId="173" fontId="3" fillId="2" borderId="1" xfId="0" applyNumberFormat="1" applyFont="1" applyFill="1" applyBorder="1"/>
    <xf numFmtId="166" fontId="3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74" fontId="4" fillId="0" borderId="1" xfId="4" applyNumberFormat="1" applyFont="1" applyFill="1" applyBorder="1" applyAlignment="1">
      <alignment horizontal="center"/>
    </xf>
    <xf numFmtId="173" fontId="4" fillId="0" borderId="1" xfId="4" applyNumberFormat="1" applyFont="1" applyFill="1" applyBorder="1" applyAlignment="1">
      <alignment horizontal="center" vertical="center"/>
    </xf>
    <xf numFmtId="169" fontId="4" fillId="2" borderId="1" xfId="4" applyNumberFormat="1" applyFont="1" applyFill="1" applyBorder="1" applyAlignment="1">
      <alignment horizontal="center" vertical="center"/>
    </xf>
    <xf numFmtId="168" fontId="13" fillId="0" borderId="1" xfId="0" applyNumberFormat="1" applyFont="1" applyBorder="1" applyAlignment="1">
      <alignment horizontal="center" vertical="center"/>
    </xf>
    <xf numFmtId="173" fontId="3" fillId="2" borderId="1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 vertical="center"/>
    </xf>
    <xf numFmtId="173" fontId="4" fillId="0" borderId="1" xfId="0" applyNumberFormat="1" applyFont="1" applyBorder="1"/>
    <xf numFmtId="171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 wrapText="1"/>
    </xf>
    <xf numFmtId="168" fontId="3" fillId="0" borderId="1" xfId="0" applyNumberFormat="1" applyFont="1" applyBorder="1" applyAlignment="1">
      <alignment horizontal="center" vertical="center" wrapText="1"/>
    </xf>
    <xf numFmtId="168" fontId="13" fillId="0" borderId="1" xfId="0" applyNumberFormat="1" applyFont="1" applyBorder="1" applyAlignment="1">
      <alignment horizontal="center" vertical="center" wrapText="1"/>
    </xf>
    <xf numFmtId="168" fontId="3" fillId="0" borderId="1" xfId="0" applyNumberFormat="1" applyFont="1" applyBorder="1" applyAlignment="1">
      <alignment horizontal="center"/>
    </xf>
    <xf numFmtId="171" fontId="4" fillId="3" borderId="1" xfId="3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167" fontId="2" fillId="9" borderId="2" xfId="2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8" fontId="4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173" fontId="3" fillId="0" borderId="2" xfId="0" applyNumberFormat="1" applyFont="1" applyBorder="1" applyAlignment="1">
      <alignment horizontal="center" vertical="center"/>
    </xf>
    <xf numFmtId="170" fontId="3" fillId="0" borderId="2" xfId="0" applyNumberFormat="1" applyFont="1" applyBorder="1" applyAlignment="1">
      <alignment vertical="center"/>
    </xf>
    <xf numFmtId="173" fontId="3" fillId="0" borderId="2" xfId="0" applyNumberFormat="1" applyFont="1" applyBorder="1" applyAlignment="1">
      <alignment horizontal="center"/>
    </xf>
    <xf numFmtId="174" fontId="4" fillId="0" borderId="2" xfId="4" applyNumberFormat="1" applyFont="1" applyBorder="1" applyAlignment="1">
      <alignment horizontal="center"/>
    </xf>
    <xf numFmtId="169" fontId="4" fillId="0" borderId="2" xfId="4" applyNumberFormat="1" applyFont="1" applyFill="1" applyBorder="1" applyAlignment="1">
      <alignment horizontal="center" vertical="center"/>
    </xf>
    <xf numFmtId="173" fontId="4" fillId="2" borderId="2" xfId="4" applyNumberFormat="1" applyFont="1" applyFill="1" applyBorder="1" applyAlignment="1">
      <alignment horizontal="center" vertical="center"/>
    </xf>
    <xf numFmtId="173" fontId="4" fillId="0" borderId="2" xfId="0" applyNumberFormat="1" applyFont="1" applyBorder="1" applyAlignment="1">
      <alignment horizontal="center"/>
    </xf>
    <xf numFmtId="173" fontId="3" fillId="0" borderId="2" xfId="0" applyNumberFormat="1" applyFont="1" applyBorder="1"/>
    <xf numFmtId="166" fontId="3" fillId="0" borderId="2" xfId="0" applyNumberFormat="1" applyFont="1" applyBorder="1" applyAlignment="1">
      <alignment horizontal="center"/>
    </xf>
    <xf numFmtId="175" fontId="3" fillId="3" borderId="1" xfId="0" applyNumberFormat="1" applyFont="1" applyFill="1" applyBorder="1" applyAlignment="1">
      <alignment horizontal="center" vertical="center"/>
    </xf>
    <xf numFmtId="175" fontId="3" fillId="3" borderId="2" xfId="0" applyNumberFormat="1" applyFont="1" applyFill="1" applyBorder="1" applyAlignment="1">
      <alignment horizontal="center" vertical="center"/>
    </xf>
    <xf numFmtId="175" fontId="3" fillId="3" borderId="2" xfId="0" applyNumberFormat="1" applyFont="1" applyFill="1" applyBorder="1" applyAlignment="1">
      <alignment horizontal="center" vertical="center"/>
    </xf>
    <xf numFmtId="175" fontId="3" fillId="3" borderId="3" xfId="0" applyNumberFormat="1" applyFont="1" applyFill="1" applyBorder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166" fontId="3" fillId="2" borderId="3" xfId="0" applyNumberFormat="1" applyFont="1" applyFill="1" applyBorder="1" applyAlignment="1">
      <alignment horizontal="center" vertical="center"/>
    </xf>
    <xf numFmtId="167" fontId="2" fillId="9" borderId="2" xfId="2" applyNumberFormat="1" applyFont="1" applyFill="1" applyBorder="1" applyAlignment="1">
      <alignment horizontal="center" vertical="center"/>
    </xf>
    <xf numFmtId="167" fontId="2" fillId="9" borderId="3" xfId="2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167" fontId="2" fillId="9" borderId="4" xfId="2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2" fontId="4" fillId="2" borderId="2" xfId="4" applyNumberFormat="1" applyFont="1" applyFill="1" applyBorder="1" applyAlignment="1">
      <alignment horizontal="center" vertical="center"/>
    </xf>
    <xf numFmtId="172" fontId="4" fillId="2" borderId="3" xfId="4" applyNumberFormat="1" applyFont="1" applyFill="1" applyBorder="1" applyAlignment="1">
      <alignment horizontal="center" vertical="center"/>
    </xf>
    <xf numFmtId="171" fontId="4" fillId="5" borderId="2" xfId="4" applyNumberFormat="1" applyFont="1" applyFill="1" applyBorder="1" applyAlignment="1">
      <alignment horizontal="center" vertical="center"/>
    </xf>
    <xf numFmtId="171" fontId="4" fillId="5" borderId="3" xfId="4" applyNumberFormat="1" applyFont="1" applyFill="1" applyBorder="1" applyAlignment="1">
      <alignment horizontal="center" vertical="center"/>
    </xf>
    <xf numFmtId="171" fontId="4" fillId="0" borderId="2" xfId="4" applyNumberFormat="1" applyFont="1" applyBorder="1" applyAlignment="1">
      <alignment horizontal="center" vertical="center"/>
    </xf>
    <xf numFmtId="171" fontId="4" fillId="0" borderId="3" xfId="4" applyNumberFormat="1" applyFont="1" applyBorder="1" applyAlignment="1">
      <alignment horizontal="center" vertical="center"/>
    </xf>
  </cellXfs>
  <cellStyles count="7">
    <cellStyle name="Normal" xfId="0" builtinId="0"/>
    <cellStyle name="Normal 2" xfId="3"/>
    <cellStyle name="Normal 2 2" xfId="6"/>
    <cellStyle name="Normal 5" xfId="5"/>
    <cellStyle name="ParaBirimi" xfId="1" builtinId="4"/>
    <cellStyle name="Virgül" xfId="4" builtinId="3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46"/>
  <sheetViews>
    <sheetView tabSelected="1" topLeftCell="L1" zoomScaleNormal="100" workbookViewId="0">
      <pane ySplit="1" topLeftCell="A135" activePane="bottomLeft" state="frozen"/>
      <selection activeCell="U1" sqref="U1"/>
      <selection pane="bottomLeft" activeCell="Q144" sqref="Q144:Q146"/>
    </sheetView>
  </sheetViews>
  <sheetFormatPr defaultRowHeight="14.5" x14ac:dyDescent="0.35"/>
  <cols>
    <col min="1" max="1" width="7.54296875" bestFit="1" customWidth="1"/>
    <col min="2" max="2" width="9.453125" bestFit="1" customWidth="1"/>
    <col min="3" max="3" width="14.453125" bestFit="1" customWidth="1"/>
    <col min="4" max="4" width="12" customWidth="1"/>
    <col min="5" max="5" width="27.54296875" customWidth="1"/>
    <col min="6" max="6" width="25.54296875" customWidth="1"/>
    <col min="7" max="7" width="18" customWidth="1"/>
    <col min="8" max="8" width="38.453125" customWidth="1"/>
    <col min="9" max="9" width="19.54296875" style="8" customWidth="1"/>
    <col min="10" max="10" width="13.54296875" style="5" customWidth="1"/>
    <col min="11" max="11" width="16.54296875" style="8" customWidth="1"/>
    <col min="12" max="12" width="17.26953125" style="8" customWidth="1"/>
    <col min="13" max="13" width="11" style="8" customWidth="1"/>
    <col min="14" max="14" width="12.54296875" customWidth="1"/>
    <col min="15" max="15" width="12.453125" style="8" bestFit="1" customWidth="1"/>
    <col min="16" max="16" width="9.54296875" bestFit="1" customWidth="1"/>
    <col min="17" max="17" width="19.453125" bestFit="1" customWidth="1"/>
    <col min="18" max="18" width="16" style="8" bestFit="1" customWidth="1"/>
    <col min="19" max="19" width="16" bestFit="1" customWidth="1"/>
    <col min="20" max="20" width="18.453125" bestFit="1" customWidth="1"/>
    <col min="21" max="21" width="14.453125" style="8" customWidth="1"/>
    <col min="22" max="23" width="13.54296875" style="8" bestFit="1" customWidth="1"/>
    <col min="24" max="24" width="10.453125" bestFit="1" customWidth="1"/>
    <col min="25" max="25" width="15.453125" bestFit="1" customWidth="1"/>
    <col min="26" max="26" width="12.453125" customWidth="1"/>
    <col min="27" max="27" width="19.453125" customWidth="1"/>
    <col min="28" max="28" width="12.453125" bestFit="1" customWidth="1"/>
    <col min="29" max="29" width="43.54296875" bestFit="1" customWidth="1"/>
  </cols>
  <sheetData>
    <row r="1" spans="1:29" ht="29" x14ac:dyDescent="0.35">
      <c r="A1" s="25" t="s">
        <v>10</v>
      </c>
      <c r="B1" s="25" t="s">
        <v>9</v>
      </c>
      <c r="C1" s="25" t="s">
        <v>8</v>
      </c>
      <c r="D1" s="25" t="s">
        <v>7</v>
      </c>
      <c r="E1" s="25" t="s">
        <v>6</v>
      </c>
      <c r="F1" s="25" t="s">
        <v>54</v>
      </c>
      <c r="G1" s="26" t="s">
        <v>4</v>
      </c>
      <c r="H1" s="26" t="s">
        <v>55</v>
      </c>
      <c r="I1" s="20" t="s">
        <v>24</v>
      </c>
      <c r="J1" s="27" t="s">
        <v>23</v>
      </c>
      <c r="K1" s="20" t="s">
        <v>25</v>
      </c>
      <c r="L1" s="20" t="s">
        <v>14</v>
      </c>
      <c r="M1" s="20" t="s">
        <v>5</v>
      </c>
      <c r="N1" s="123" t="s">
        <v>184</v>
      </c>
      <c r="O1" s="20" t="s">
        <v>29</v>
      </c>
      <c r="P1" s="21" t="s">
        <v>16</v>
      </c>
      <c r="Q1" s="21" t="s">
        <v>15</v>
      </c>
      <c r="R1" s="28" t="s">
        <v>17</v>
      </c>
      <c r="S1" s="21" t="s">
        <v>21</v>
      </c>
      <c r="T1" s="21" t="s">
        <v>22</v>
      </c>
      <c r="U1" s="28" t="s">
        <v>19</v>
      </c>
      <c r="V1" s="28" t="s">
        <v>20</v>
      </c>
      <c r="W1" s="29" t="s">
        <v>12</v>
      </c>
      <c r="X1" s="25" t="s">
        <v>3</v>
      </c>
      <c r="Y1" s="25" t="s">
        <v>53</v>
      </c>
      <c r="Z1" s="25" t="s">
        <v>2</v>
      </c>
      <c r="AA1" s="25" t="s">
        <v>1</v>
      </c>
      <c r="AB1" s="25" t="s">
        <v>0</v>
      </c>
      <c r="AC1" s="30" t="s">
        <v>11</v>
      </c>
    </row>
    <row r="2" spans="1:29" x14ac:dyDescent="0.35">
      <c r="A2" s="2">
        <v>1</v>
      </c>
      <c r="B2" s="2" t="s">
        <v>13</v>
      </c>
      <c r="C2" s="3" t="s">
        <v>97</v>
      </c>
      <c r="D2" s="148" t="s">
        <v>56</v>
      </c>
      <c r="E2" s="148" t="s">
        <v>100</v>
      </c>
      <c r="F2" s="90" t="s">
        <v>102</v>
      </c>
      <c r="G2" s="95" t="s">
        <v>101</v>
      </c>
      <c r="H2" s="89" t="s">
        <v>106</v>
      </c>
      <c r="I2" s="91">
        <v>394726.12</v>
      </c>
      <c r="J2" s="92">
        <v>3000</v>
      </c>
      <c r="K2" s="91">
        <v>105813</v>
      </c>
      <c r="L2" s="91">
        <f>I2+K2+M2</f>
        <v>500680.2</v>
      </c>
      <c r="M2" s="91">
        <v>141.08000000000001</v>
      </c>
      <c r="N2" s="140">
        <v>750</v>
      </c>
      <c r="O2" s="85">
        <v>3550</v>
      </c>
      <c r="P2" s="87">
        <v>6.7000000000000004E-2</v>
      </c>
      <c r="Q2" s="31">
        <f>480000+224000</f>
        <v>704000</v>
      </c>
      <c r="R2" s="93">
        <f>Q2*P2</f>
        <v>47168</v>
      </c>
      <c r="S2" s="31">
        <f>(23592+744418.42)*0.86</f>
        <v>660488.96120000002</v>
      </c>
      <c r="T2" s="31">
        <f>1079007.87*0.86</f>
        <v>927946.76820000005</v>
      </c>
      <c r="U2" s="23">
        <f>S2*P2</f>
        <v>44252.760400400002</v>
      </c>
      <c r="V2" s="23">
        <f>T2*P2</f>
        <v>62172.433469400006</v>
      </c>
      <c r="W2" s="24">
        <f>K2+M2+O2+R2+U2+N2</f>
        <v>201674.84040040002</v>
      </c>
      <c r="X2" s="32">
        <v>45667</v>
      </c>
      <c r="Y2" s="1">
        <v>45667</v>
      </c>
      <c r="Z2" s="153">
        <v>45678</v>
      </c>
      <c r="AA2" s="153">
        <v>45684</v>
      </c>
      <c r="AB2" s="153">
        <v>45685</v>
      </c>
      <c r="AC2" s="146" t="s">
        <v>138</v>
      </c>
    </row>
    <row r="3" spans="1:29" ht="18.75" customHeight="1" x14ac:dyDescent="0.35">
      <c r="A3" s="2">
        <v>2</v>
      </c>
      <c r="B3" s="2" t="s">
        <v>13</v>
      </c>
      <c r="C3" s="2" t="s">
        <v>98</v>
      </c>
      <c r="D3" s="152"/>
      <c r="E3" s="152"/>
      <c r="F3" s="90" t="s">
        <v>105</v>
      </c>
      <c r="G3" s="96" t="s">
        <v>103</v>
      </c>
      <c r="H3" s="89" t="s">
        <v>107</v>
      </c>
      <c r="I3" s="91">
        <v>1169603.1299999999</v>
      </c>
      <c r="J3" s="92">
        <v>5200</v>
      </c>
      <c r="K3" s="91">
        <v>183653.08</v>
      </c>
      <c r="L3" s="91">
        <f t="shared" ref="L3:L4" si="0">I3+K3+M3</f>
        <v>1353432.8</v>
      </c>
      <c r="M3" s="91">
        <v>176.59</v>
      </c>
      <c r="N3" s="140">
        <v>0</v>
      </c>
      <c r="O3" s="85">
        <v>2928</v>
      </c>
      <c r="P3" s="87">
        <v>6.7000000000000004E-2</v>
      </c>
      <c r="Q3" s="31">
        <f>480000+224000</f>
        <v>704000</v>
      </c>
      <c r="R3" s="93">
        <f t="shared" ref="R3:R4" si="1">Q3*P3</f>
        <v>47168</v>
      </c>
      <c r="S3" s="31">
        <f>23592+1997926.5</f>
        <v>2021518.5</v>
      </c>
      <c r="T3" s="31">
        <v>2623541.16</v>
      </c>
      <c r="U3" s="23">
        <f t="shared" ref="U3:U4" si="2">S3*P3</f>
        <v>135441.7395</v>
      </c>
      <c r="V3" s="23">
        <f t="shared" ref="V3:V4" si="3">T3*P3</f>
        <v>175777.25772000002</v>
      </c>
      <c r="W3" s="24">
        <f t="shared" ref="W3:W4" si="4">K3+M3+O3+R3+U3+N3</f>
        <v>369367.40949999995</v>
      </c>
      <c r="X3" s="32">
        <v>45666</v>
      </c>
      <c r="Y3" s="32">
        <v>45666</v>
      </c>
      <c r="Z3" s="154"/>
      <c r="AA3" s="154"/>
      <c r="AB3" s="154"/>
      <c r="AC3" s="156"/>
    </row>
    <row r="4" spans="1:29" ht="15.75" customHeight="1" x14ac:dyDescent="0.35">
      <c r="A4" s="2">
        <v>3</v>
      </c>
      <c r="B4" s="2" t="s">
        <v>13</v>
      </c>
      <c r="C4" s="2" t="s">
        <v>99</v>
      </c>
      <c r="D4" s="149"/>
      <c r="E4" s="149"/>
      <c r="F4" s="90">
        <v>4</v>
      </c>
      <c r="G4" s="96" t="s">
        <v>104</v>
      </c>
      <c r="H4" s="89" t="s">
        <v>96</v>
      </c>
      <c r="I4" s="91">
        <v>62515.040000000001</v>
      </c>
      <c r="J4" s="92">
        <v>100</v>
      </c>
      <c r="K4" s="91">
        <v>3531.79</v>
      </c>
      <c r="L4" s="91">
        <f t="shared" si="0"/>
        <v>66082.150000000009</v>
      </c>
      <c r="M4" s="91">
        <v>35.32</v>
      </c>
      <c r="N4" s="140">
        <v>0</v>
      </c>
      <c r="O4" s="85">
        <v>2515</v>
      </c>
      <c r="P4" s="87">
        <v>6.7000000000000004E-2</v>
      </c>
      <c r="Q4" s="31">
        <f>224000+140000</f>
        <v>364000</v>
      </c>
      <c r="R4" s="93">
        <f t="shared" si="1"/>
        <v>24388</v>
      </c>
      <c r="S4" s="31">
        <f>(23592+744418.42)*0.14</f>
        <v>107521.45880000002</v>
      </c>
      <c r="T4" s="31">
        <f>1079007.87*0.14</f>
        <v>151061.10180000003</v>
      </c>
      <c r="U4" s="23">
        <f t="shared" si="2"/>
        <v>7203.9377396000018</v>
      </c>
      <c r="V4" s="23">
        <f t="shared" si="3"/>
        <v>10121.093820600003</v>
      </c>
      <c r="W4" s="24">
        <f t="shared" si="4"/>
        <v>37674.047739600006</v>
      </c>
      <c r="X4" s="32">
        <v>45666</v>
      </c>
      <c r="Y4" s="32">
        <v>45666</v>
      </c>
      <c r="Z4" s="155"/>
      <c r="AA4" s="155"/>
      <c r="AB4" s="155"/>
      <c r="AC4" s="147"/>
    </row>
    <row r="5" spans="1:29" ht="15.75" customHeight="1" x14ac:dyDescent="0.35">
      <c r="A5" s="2">
        <v>4</v>
      </c>
      <c r="B5" s="2" t="s">
        <v>13</v>
      </c>
      <c r="C5" s="2" t="s">
        <v>108</v>
      </c>
      <c r="D5" s="2" t="s">
        <v>56</v>
      </c>
      <c r="E5" s="88" t="s">
        <v>109</v>
      </c>
      <c r="F5" s="90" t="s">
        <v>110</v>
      </c>
      <c r="G5" s="96" t="s">
        <v>111</v>
      </c>
      <c r="H5" s="89" t="s">
        <v>112</v>
      </c>
      <c r="I5" s="91">
        <v>1796706.11</v>
      </c>
      <c r="J5" s="92">
        <v>8200</v>
      </c>
      <c r="K5" s="91">
        <v>289606.78000000003</v>
      </c>
      <c r="L5" s="91">
        <f t="shared" ref="L5" si="5">I5+K5+M5</f>
        <v>2086666.07</v>
      </c>
      <c r="M5" s="91">
        <v>353.18</v>
      </c>
      <c r="N5" s="140">
        <v>450</v>
      </c>
      <c r="O5" s="85">
        <v>2969</v>
      </c>
      <c r="P5" s="87">
        <v>6.7000000000000004E-2</v>
      </c>
      <c r="Q5" s="31">
        <f>480000+224000</f>
        <v>704000</v>
      </c>
      <c r="R5" s="93">
        <f t="shared" ref="R5" si="6">Q5*P5</f>
        <v>47168</v>
      </c>
      <c r="S5" s="31">
        <f>23592+3381287.41</f>
        <v>3404879.41</v>
      </c>
      <c r="T5" s="31">
        <v>4131743.19</v>
      </c>
      <c r="U5" s="23">
        <f t="shared" ref="U5" si="7">S5*P5</f>
        <v>228126.92047000001</v>
      </c>
      <c r="V5" s="23">
        <f t="shared" ref="V5" si="8">T5*P5</f>
        <v>276826.79373000003</v>
      </c>
      <c r="W5" s="24">
        <f t="shared" ref="W5" si="9">K5+M5+O5+R5+U5+N5</f>
        <v>568673.88046999997</v>
      </c>
      <c r="X5" s="32">
        <v>45665</v>
      </c>
      <c r="Y5" s="32">
        <v>45666</v>
      </c>
      <c r="Z5" s="32">
        <v>45688</v>
      </c>
      <c r="AA5" s="32">
        <v>45693</v>
      </c>
      <c r="AB5" s="32">
        <v>45693</v>
      </c>
      <c r="AC5" s="94" t="s">
        <v>138</v>
      </c>
    </row>
    <row r="6" spans="1:29" ht="15.75" customHeight="1" x14ac:dyDescent="0.35">
      <c r="A6" s="2">
        <v>5</v>
      </c>
      <c r="B6" s="2" t="s">
        <v>13</v>
      </c>
      <c r="C6" s="2" t="s">
        <v>113</v>
      </c>
      <c r="D6" s="2" t="s">
        <v>56</v>
      </c>
      <c r="E6" s="88" t="s">
        <v>116</v>
      </c>
      <c r="F6" s="90" t="s">
        <v>117</v>
      </c>
      <c r="G6" s="96" t="s">
        <v>115</v>
      </c>
      <c r="H6" s="89" t="s">
        <v>118</v>
      </c>
      <c r="I6" s="91">
        <v>1883994.56</v>
      </c>
      <c r="J6" s="92">
        <v>8200</v>
      </c>
      <c r="K6" s="91">
        <v>290262.78000000003</v>
      </c>
      <c r="L6" s="91">
        <f t="shared" ref="L6" si="10">I6+K6+M6</f>
        <v>2174611.3199999998</v>
      </c>
      <c r="M6" s="91">
        <v>353.98</v>
      </c>
      <c r="N6" s="140">
        <v>450</v>
      </c>
      <c r="O6" s="85">
        <v>3547</v>
      </c>
      <c r="P6" s="87">
        <v>6.7000000000000004E-2</v>
      </c>
      <c r="Q6" s="31">
        <f>480000+224000</f>
        <v>704000</v>
      </c>
      <c r="R6" s="93">
        <f t="shared" ref="R6" si="11">Q6*P6</f>
        <v>47168</v>
      </c>
      <c r="S6" s="31">
        <f>23592+3324987.3</f>
        <v>3348579.3</v>
      </c>
      <c r="T6" s="31">
        <v>4172605.56</v>
      </c>
      <c r="U6" s="23">
        <f t="shared" ref="U6" si="12">S6*P6</f>
        <v>224354.8131</v>
      </c>
      <c r="V6" s="23">
        <f t="shared" ref="V6" si="13">T6*P6</f>
        <v>279564.57252000005</v>
      </c>
      <c r="W6" s="24">
        <f t="shared" ref="W6" si="14">K6+M6+O6+R6+U6+N6</f>
        <v>566136.57310000004</v>
      </c>
      <c r="X6" s="32">
        <v>45673</v>
      </c>
      <c r="Y6" s="32">
        <v>45674</v>
      </c>
      <c r="Z6" s="32">
        <v>45687</v>
      </c>
      <c r="AA6" s="32">
        <v>45688</v>
      </c>
      <c r="AB6" s="32">
        <v>45691</v>
      </c>
      <c r="AC6" s="94" t="s">
        <v>138</v>
      </c>
    </row>
    <row r="7" spans="1:29" ht="15.75" customHeight="1" x14ac:dyDescent="0.35">
      <c r="A7" s="2">
        <v>6</v>
      </c>
      <c r="B7" s="2" t="s">
        <v>13</v>
      </c>
      <c r="C7" s="2" t="s">
        <v>114</v>
      </c>
      <c r="D7" s="2" t="s">
        <v>56</v>
      </c>
      <c r="E7" s="88" t="s">
        <v>120</v>
      </c>
      <c r="F7" s="90">
        <v>33</v>
      </c>
      <c r="G7" s="96" t="s">
        <v>119</v>
      </c>
      <c r="H7" s="89" t="s">
        <v>121</v>
      </c>
      <c r="I7" s="91">
        <v>1579311.96</v>
      </c>
      <c r="J7" s="92">
        <v>8200</v>
      </c>
      <c r="K7" s="91">
        <v>290262.78000000003</v>
      </c>
      <c r="L7" s="91">
        <f t="shared" ref="L7" si="15">I7+K7+M7</f>
        <v>1869928.72</v>
      </c>
      <c r="M7" s="91">
        <v>353.98</v>
      </c>
      <c r="N7" s="140">
        <v>450</v>
      </c>
      <c r="O7" s="85">
        <v>3424</v>
      </c>
      <c r="P7" s="87">
        <v>6.7000000000000004E-2</v>
      </c>
      <c r="Q7" s="31">
        <f>480000+224000</f>
        <v>704000</v>
      </c>
      <c r="R7" s="93">
        <f t="shared" ref="R7" si="16">Q7*P7</f>
        <v>47168</v>
      </c>
      <c r="S7" s="31">
        <f>23592+3035602.5</f>
        <v>3059194.5</v>
      </c>
      <c r="T7" s="31">
        <v>3698840.95</v>
      </c>
      <c r="U7" s="23">
        <f t="shared" ref="U7" si="17">S7*P7</f>
        <v>204966.03150000001</v>
      </c>
      <c r="V7" s="23">
        <f t="shared" ref="V7" si="18">T7*P7</f>
        <v>247822.34365000002</v>
      </c>
      <c r="W7" s="24">
        <f t="shared" ref="W7" si="19">K7+M7+O7+R7+U7+N7</f>
        <v>546624.79150000005</v>
      </c>
      <c r="X7" s="32">
        <v>45673</v>
      </c>
      <c r="Y7" s="32">
        <v>45674</v>
      </c>
      <c r="Z7" s="32">
        <v>45687</v>
      </c>
      <c r="AA7" s="32">
        <v>45687</v>
      </c>
      <c r="AB7" s="32">
        <v>45691</v>
      </c>
      <c r="AC7" s="94" t="s">
        <v>138</v>
      </c>
    </row>
    <row r="8" spans="1:29" ht="15.75" customHeight="1" x14ac:dyDescent="0.35">
      <c r="A8" s="2">
        <v>7</v>
      </c>
      <c r="B8" s="2" t="s">
        <v>13</v>
      </c>
      <c r="C8" s="2" t="s">
        <v>122</v>
      </c>
      <c r="D8" s="2" t="s">
        <v>56</v>
      </c>
      <c r="E8" s="88" t="s">
        <v>125</v>
      </c>
      <c r="F8" s="90" t="s">
        <v>126</v>
      </c>
      <c r="G8" s="96" t="s">
        <v>123</v>
      </c>
      <c r="H8" s="89" t="s">
        <v>124</v>
      </c>
      <c r="I8" s="91">
        <v>1719206.66</v>
      </c>
      <c r="J8" s="92">
        <v>8200</v>
      </c>
      <c r="K8" s="91">
        <v>291768.3</v>
      </c>
      <c r="L8" s="91">
        <f t="shared" ref="L8" si="20">I8+K8+M8</f>
        <v>2011330.78</v>
      </c>
      <c r="M8" s="91">
        <v>355.82</v>
      </c>
      <c r="N8" s="140">
        <v>0</v>
      </c>
      <c r="O8" s="85">
        <v>2887</v>
      </c>
      <c r="P8" s="87">
        <v>6.7000000000000004E-2</v>
      </c>
      <c r="Q8" s="31">
        <f>480000+224000</f>
        <v>704000</v>
      </c>
      <c r="R8" s="93">
        <f t="shared" ref="R8" si="21">Q8*P8</f>
        <v>47168</v>
      </c>
      <c r="S8" s="31">
        <f>23592+3656620.89</f>
        <v>3680212.89</v>
      </c>
      <c r="T8" s="31">
        <v>4484298.8600000003</v>
      </c>
      <c r="U8" s="23">
        <f t="shared" ref="U8" si="22">S8*P8</f>
        <v>246574.26363000003</v>
      </c>
      <c r="V8" s="23">
        <f t="shared" ref="V8" si="23">T8*P8</f>
        <v>300448.02362000005</v>
      </c>
      <c r="W8" s="24">
        <f t="shared" ref="W8" si="24">K8+M8+O8+R8+U8+N8</f>
        <v>588753.38363000005</v>
      </c>
      <c r="X8" s="32">
        <v>45680</v>
      </c>
      <c r="Y8" s="32">
        <v>45681</v>
      </c>
      <c r="Z8" s="32">
        <v>45699</v>
      </c>
      <c r="AA8" s="32">
        <v>45701</v>
      </c>
      <c r="AB8" s="32">
        <v>45701</v>
      </c>
      <c r="AC8" s="94" t="s">
        <v>138</v>
      </c>
    </row>
    <row r="9" spans="1:29" ht="15.75" customHeight="1" x14ac:dyDescent="0.35">
      <c r="A9" s="2">
        <v>8</v>
      </c>
      <c r="B9" s="2" t="s">
        <v>13</v>
      </c>
      <c r="C9" s="2" t="s">
        <v>127</v>
      </c>
      <c r="D9" s="2" t="s">
        <v>56</v>
      </c>
      <c r="E9" s="88" t="s">
        <v>130</v>
      </c>
      <c r="F9" s="90">
        <v>1300</v>
      </c>
      <c r="G9" s="96" t="s">
        <v>128</v>
      </c>
      <c r="H9" s="89" t="s">
        <v>129</v>
      </c>
      <c r="I9" s="91">
        <v>1603389.46</v>
      </c>
      <c r="J9" s="92">
        <v>8300</v>
      </c>
      <c r="K9" s="91">
        <v>295475.02</v>
      </c>
      <c r="L9" s="91">
        <f t="shared" ref="L9" si="25">I9+K9+M9</f>
        <v>1899220.47</v>
      </c>
      <c r="M9" s="91">
        <v>355.99</v>
      </c>
      <c r="N9" s="140">
        <v>0</v>
      </c>
      <c r="O9" s="85">
        <v>3550</v>
      </c>
      <c r="P9" s="87">
        <v>6.7000000000000004E-2</v>
      </c>
      <c r="Q9" s="31">
        <v>929000</v>
      </c>
      <c r="R9" s="93">
        <f t="shared" ref="R9" si="26">Q9*P9</f>
        <v>62243.000000000007</v>
      </c>
      <c r="S9" s="31">
        <f>23592+2857730.24</f>
        <v>2881322.24</v>
      </c>
      <c r="T9" s="31">
        <v>3504462.38</v>
      </c>
      <c r="U9" s="23">
        <f t="shared" ref="U9" si="27">S9*P9</f>
        <v>193048.59008000002</v>
      </c>
      <c r="V9" s="23">
        <f t="shared" ref="V9" si="28">T9*P9</f>
        <v>234798.97946</v>
      </c>
      <c r="W9" s="24">
        <f t="shared" ref="W9" si="29">K9+M9+O9+R9+U9+N9</f>
        <v>554672.60008</v>
      </c>
      <c r="X9" s="32">
        <v>45685</v>
      </c>
      <c r="Y9" s="32">
        <v>45685</v>
      </c>
      <c r="Z9" s="32">
        <v>45704</v>
      </c>
      <c r="AA9" s="32">
        <v>45707</v>
      </c>
      <c r="AB9" s="32">
        <v>45707</v>
      </c>
      <c r="AC9" s="94" t="s">
        <v>138</v>
      </c>
    </row>
    <row r="10" spans="1:29" ht="15.75" customHeight="1" x14ac:dyDescent="0.35">
      <c r="A10" s="2">
        <v>9</v>
      </c>
      <c r="B10" s="2" t="s">
        <v>13</v>
      </c>
      <c r="C10" s="2" t="s">
        <v>131</v>
      </c>
      <c r="D10" s="2" t="s">
        <v>56</v>
      </c>
      <c r="E10" s="88" t="s">
        <v>132</v>
      </c>
      <c r="F10" s="90">
        <v>33</v>
      </c>
      <c r="G10" s="96" t="s">
        <v>139</v>
      </c>
      <c r="H10" s="89" t="s">
        <v>133</v>
      </c>
      <c r="I10" s="91">
        <v>2714807.7</v>
      </c>
      <c r="J10" s="92">
        <v>8200</v>
      </c>
      <c r="K10" s="91">
        <v>291915.08</v>
      </c>
      <c r="L10" s="91">
        <f t="shared" ref="L10" si="30">I10+K10+M10</f>
        <v>3007078.7700000005</v>
      </c>
      <c r="M10" s="91">
        <v>355.99</v>
      </c>
      <c r="N10" s="140">
        <v>300</v>
      </c>
      <c r="O10" s="85">
        <v>2395</v>
      </c>
      <c r="P10" s="87">
        <v>6.7000000000000004E-2</v>
      </c>
      <c r="Q10" s="31">
        <v>929000</v>
      </c>
      <c r="R10" s="93">
        <f t="shared" ref="R10" si="31">Q10*P10</f>
        <v>62243.000000000007</v>
      </c>
      <c r="S10" s="31">
        <f>23592+5055533.72</f>
        <v>5079125.72</v>
      </c>
      <c r="T10" s="31">
        <v>6030140.5800000001</v>
      </c>
      <c r="U10" s="23">
        <f t="shared" ref="U10" si="32">S10*P10</f>
        <v>340301.42323999997</v>
      </c>
      <c r="V10" s="23">
        <f t="shared" ref="V10" si="33">T10*P10</f>
        <v>404019.41886000003</v>
      </c>
      <c r="W10" s="24">
        <f t="shared" ref="W10" si="34">K10+M10+O10+R10+U10+N10</f>
        <v>697510.49323999998</v>
      </c>
      <c r="X10" s="32">
        <v>45684</v>
      </c>
      <c r="Y10" s="32">
        <v>45685</v>
      </c>
      <c r="Z10" s="32">
        <v>45705</v>
      </c>
      <c r="AA10" s="32">
        <v>45708</v>
      </c>
      <c r="AB10" s="32">
        <v>45708</v>
      </c>
      <c r="AC10" s="94" t="s">
        <v>138</v>
      </c>
    </row>
    <row r="11" spans="1:29" ht="15.75" customHeight="1" x14ac:dyDescent="0.35">
      <c r="A11" s="2">
        <v>10</v>
      </c>
      <c r="B11" s="2" t="s">
        <v>13</v>
      </c>
      <c r="C11" s="2" t="s">
        <v>137</v>
      </c>
      <c r="D11" s="2" t="s">
        <v>56</v>
      </c>
      <c r="E11" s="88" t="s">
        <v>135</v>
      </c>
      <c r="F11" s="90">
        <v>33</v>
      </c>
      <c r="G11" s="96" t="s">
        <v>136</v>
      </c>
      <c r="H11" s="89" t="s">
        <v>134</v>
      </c>
      <c r="I11" s="91">
        <v>2255856.7699999926</v>
      </c>
      <c r="J11" s="92">
        <v>8200</v>
      </c>
      <c r="K11" s="91">
        <v>292721.96000000002</v>
      </c>
      <c r="L11" s="91">
        <f t="shared" ref="L11" si="35">I11+K11+M11</f>
        <v>2548935.7099999925</v>
      </c>
      <c r="M11" s="91">
        <v>356.98</v>
      </c>
      <c r="N11" s="140">
        <v>0</v>
      </c>
      <c r="O11" s="85">
        <v>2764</v>
      </c>
      <c r="P11" s="87">
        <v>6.7000000000000004E-2</v>
      </c>
      <c r="Q11" s="31">
        <v>929000</v>
      </c>
      <c r="R11" s="93">
        <f t="shared" ref="R11" si="36">Q11*P11</f>
        <v>62243.000000000007</v>
      </c>
      <c r="S11" s="31">
        <f>23592+3894767.35</f>
        <v>3918359.35</v>
      </c>
      <c r="T11" s="31">
        <v>4720638.66</v>
      </c>
      <c r="U11" s="23">
        <f t="shared" ref="U11" si="37">S11*P11</f>
        <v>262530.07644999999</v>
      </c>
      <c r="V11" s="23">
        <f t="shared" ref="V11" si="38">T11*P11</f>
        <v>316282.79022000002</v>
      </c>
      <c r="W11" s="24">
        <f t="shared" ref="W11" si="39">K11+M11+O11+R11+U11+N11</f>
        <v>620616.01645</v>
      </c>
      <c r="X11" s="32">
        <v>45685</v>
      </c>
      <c r="Y11" s="32">
        <v>45686</v>
      </c>
      <c r="Z11" s="32">
        <v>45704</v>
      </c>
      <c r="AA11" s="32">
        <v>45706</v>
      </c>
      <c r="AB11" s="32">
        <v>45706</v>
      </c>
      <c r="AC11" s="94" t="s">
        <v>138</v>
      </c>
    </row>
    <row r="12" spans="1:29" ht="16.399999999999999" customHeight="1" x14ac:dyDescent="0.35">
      <c r="A12" s="2">
        <v>11</v>
      </c>
      <c r="B12" s="2" t="s">
        <v>13</v>
      </c>
      <c r="C12" s="2" t="s">
        <v>140</v>
      </c>
      <c r="D12" s="2" t="s">
        <v>56</v>
      </c>
      <c r="E12" s="88" t="s">
        <v>143</v>
      </c>
      <c r="F12" s="90" t="s">
        <v>142</v>
      </c>
      <c r="G12" s="96" t="s">
        <v>141</v>
      </c>
      <c r="H12" s="89" t="s">
        <v>144</v>
      </c>
      <c r="I12" s="91">
        <v>1779664.18</v>
      </c>
      <c r="J12" s="92">
        <v>8200</v>
      </c>
      <c r="K12" s="91">
        <v>294514.48</v>
      </c>
      <c r="L12" s="91">
        <f t="shared" ref="L12" si="40">I12+K12+M12</f>
        <v>2074537.8199999998</v>
      </c>
      <c r="M12" s="91">
        <v>359.16</v>
      </c>
      <c r="N12" s="140">
        <v>0</v>
      </c>
      <c r="O12" s="85">
        <v>2764</v>
      </c>
      <c r="P12" s="87">
        <v>6.7000000000000004E-2</v>
      </c>
      <c r="Q12" s="31">
        <f>480000+224000</f>
        <v>704000</v>
      </c>
      <c r="R12" s="93">
        <f t="shared" ref="R12" si="41">Q12*P12</f>
        <v>47168</v>
      </c>
      <c r="S12" s="31">
        <f>23592+3468025.14</f>
        <v>3491617.14</v>
      </c>
      <c r="T12" s="31">
        <v>4287235.1399999997</v>
      </c>
      <c r="U12" s="23">
        <f t="shared" ref="U12" si="42">S12*P12</f>
        <v>233938.34838000001</v>
      </c>
      <c r="V12" s="23">
        <f t="shared" ref="V12" si="43">T12*P12</f>
        <v>287244.75438</v>
      </c>
      <c r="W12" s="24">
        <f t="shared" ref="W12" si="44">K12+M12+O12+R12+U12+N12</f>
        <v>578743.98838</v>
      </c>
      <c r="X12" s="32">
        <v>45692</v>
      </c>
      <c r="Y12" s="32">
        <v>45693</v>
      </c>
      <c r="Z12" s="32">
        <v>45711</v>
      </c>
      <c r="AA12" s="32">
        <v>45714</v>
      </c>
      <c r="AB12" s="32">
        <v>45714</v>
      </c>
      <c r="AC12" s="94" t="s">
        <v>138</v>
      </c>
    </row>
    <row r="13" spans="1:29" ht="15.75" customHeight="1" x14ac:dyDescent="0.35">
      <c r="A13" s="2">
        <v>12</v>
      </c>
      <c r="B13" s="2" t="s">
        <v>13</v>
      </c>
      <c r="C13" s="2" t="s">
        <v>145</v>
      </c>
      <c r="D13" s="2" t="s">
        <v>56</v>
      </c>
      <c r="E13" s="88" t="s">
        <v>148</v>
      </c>
      <c r="F13" s="90">
        <v>29</v>
      </c>
      <c r="G13" s="96" t="s">
        <v>146</v>
      </c>
      <c r="H13" s="89" t="s">
        <v>147</v>
      </c>
      <c r="I13" s="91">
        <v>985917.76000001503</v>
      </c>
      <c r="J13" s="92">
        <v>8200</v>
      </c>
      <c r="K13" s="91">
        <v>294398.03999999998</v>
      </c>
      <c r="L13" s="91">
        <f t="shared" ref="L13" si="45">I13+K13+M13</f>
        <v>1280674.820000015</v>
      </c>
      <c r="M13" s="91">
        <v>359.02</v>
      </c>
      <c r="N13" s="140">
        <v>900</v>
      </c>
      <c r="O13" s="85">
        <v>2354</v>
      </c>
      <c r="P13" s="87">
        <v>6.7000000000000004E-2</v>
      </c>
      <c r="Q13" s="31">
        <v>1384000</v>
      </c>
      <c r="R13" s="93">
        <f t="shared" ref="R13" si="46">Q13*P13</f>
        <v>92728</v>
      </c>
      <c r="S13" s="31">
        <f>23592+1892348.69</f>
        <v>1915940.69</v>
      </c>
      <c r="T13" s="31">
        <v>2594724.34</v>
      </c>
      <c r="U13" s="23">
        <f t="shared" ref="U13" si="47">S13*P13</f>
        <v>128368.02623</v>
      </c>
      <c r="V13" s="23">
        <f t="shared" ref="V13" si="48">T13*P13</f>
        <v>173846.53078</v>
      </c>
      <c r="W13" s="24">
        <f t="shared" ref="W13" si="49">K13+M13+O13+R13+U13+N13</f>
        <v>519107.08623000002</v>
      </c>
      <c r="X13" s="32">
        <v>45691</v>
      </c>
      <c r="Y13" s="32">
        <v>45692</v>
      </c>
      <c r="Z13" s="32">
        <v>45706</v>
      </c>
      <c r="AA13" s="32">
        <v>45713</v>
      </c>
      <c r="AB13" s="32">
        <v>45713</v>
      </c>
      <c r="AC13" s="94" t="s">
        <v>138</v>
      </c>
    </row>
    <row r="14" spans="1:29" ht="15.75" customHeight="1" x14ac:dyDescent="0.35">
      <c r="A14" s="2">
        <v>13</v>
      </c>
      <c r="B14" s="2" t="s">
        <v>13</v>
      </c>
      <c r="C14" s="2" t="s">
        <v>150</v>
      </c>
      <c r="D14" s="2" t="s">
        <v>56</v>
      </c>
      <c r="E14" s="88" t="s">
        <v>151</v>
      </c>
      <c r="F14" s="90">
        <v>33</v>
      </c>
      <c r="G14" s="96" t="s">
        <v>152</v>
      </c>
      <c r="H14" s="97" t="s">
        <v>153</v>
      </c>
      <c r="I14" s="91">
        <v>1570922.7</v>
      </c>
      <c r="J14" s="92">
        <v>8200</v>
      </c>
      <c r="K14" s="91">
        <v>295567.35999999999</v>
      </c>
      <c r="L14" s="91">
        <f t="shared" ref="L14" si="50">I14+K14+M14</f>
        <v>1866850.51</v>
      </c>
      <c r="M14" s="91">
        <v>360.45</v>
      </c>
      <c r="N14" s="140">
        <v>0</v>
      </c>
      <c r="O14" s="85">
        <v>3256</v>
      </c>
      <c r="P14" s="87">
        <v>6.7000000000000004E-2</v>
      </c>
      <c r="Q14" s="31">
        <f>480000+224000</f>
        <v>704000</v>
      </c>
      <c r="R14" s="93">
        <f t="shared" ref="R14" si="51">Q14*P14</f>
        <v>47168</v>
      </c>
      <c r="S14" s="31">
        <f>23592+2953804.95</f>
        <v>2977396.95</v>
      </c>
      <c r="T14" s="31">
        <v>3709658.86</v>
      </c>
      <c r="U14" s="23">
        <f t="shared" ref="U14" si="52">S14*P14</f>
        <v>199485.59565000003</v>
      </c>
      <c r="V14" s="23">
        <f t="shared" ref="V14" si="53">T14*P14</f>
        <v>248547.14362000002</v>
      </c>
      <c r="W14" s="24">
        <f t="shared" ref="W14" si="54">K14+M14+O14+R14+U14+N14</f>
        <v>545837.40565000009</v>
      </c>
      <c r="X14" s="32">
        <v>45701</v>
      </c>
      <c r="Y14" s="32">
        <v>45702</v>
      </c>
      <c r="Z14" s="32">
        <v>45722</v>
      </c>
      <c r="AA14" s="32">
        <v>45723</v>
      </c>
      <c r="AB14" s="32">
        <v>45723</v>
      </c>
      <c r="AC14" s="94" t="s">
        <v>138</v>
      </c>
    </row>
    <row r="15" spans="1:29" x14ac:dyDescent="0.35">
      <c r="A15" s="2">
        <v>14</v>
      </c>
      <c r="B15" s="2" t="s">
        <v>13</v>
      </c>
      <c r="C15" s="3" t="s">
        <v>154</v>
      </c>
      <c r="D15" s="148" t="s">
        <v>56</v>
      </c>
      <c r="E15" s="148" t="s">
        <v>156</v>
      </c>
      <c r="F15" s="90">
        <v>721</v>
      </c>
      <c r="G15" s="96" t="s">
        <v>157</v>
      </c>
      <c r="H15" s="89" t="s">
        <v>159</v>
      </c>
      <c r="I15" s="91">
        <v>853216.94</v>
      </c>
      <c r="J15" s="92">
        <v>6000</v>
      </c>
      <c r="K15" s="91">
        <v>215433</v>
      </c>
      <c r="L15" s="91">
        <f>I15+K15+M15</f>
        <v>1068901.28</v>
      </c>
      <c r="M15" s="91">
        <v>251.34</v>
      </c>
      <c r="N15" s="140">
        <v>0</v>
      </c>
      <c r="O15" s="85">
        <v>3550</v>
      </c>
      <c r="P15" s="87">
        <v>6.7000000000000004E-2</v>
      </c>
      <c r="Q15" s="31">
        <f>1803000/2</f>
        <v>901500</v>
      </c>
      <c r="R15" s="93">
        <f>Q15*P15</f>
        <v>60400.5</v>
      </c>
      <c r="S15" s="31">
        <f>23592+1603875.52</f>
        <v>1627467.52</v>
      </c>
      <c r="T15" s="31">
        <v>2094912.65</v>
      </c>
      <c r="U15" s="23">
        <f>S15*P15</f>
        <v>109040.32384000001</v>
      </c>
      <c r="V15" s="23">
        <f>T15*P15</f>
        <v>140359.14754999999</v>
      </c>
      <c r="W15" s="24">
        <f>K15+M15+O15+R15+U15+N15</f>
        <v>388675.16383999999</v>
      </c>
      <c r="X15" s="32">
        <v>45702</v>
      </c>
      <c r="Y15" s="1">
        <v>45701</v>
      </c>
      <c r="Z15" s="153">
        <v>45722</v>
      </c>
      <c r="AA15" s="153">
        <v>45723</v>
      </c>
      <c r="AB15" s="153">
        <v>45723</v>
      </c>
      <c r="AC15" s="146" t="s">
        <v>138</v>
      </c>
    </row>
    <row r="16" spans="1:29" ht="15.75" customHeight="1" x14ac:dyDescent="0.35">
      <c r="A16" s="2">
        <v>15</v>
      </c>
      <c r="B16" s="2" t="s">
        <v>13</v>
      </c>
      <c r="C16" s="2" t="s">
        <v>155</v>
      </c>
      <c r="D16" s="149"/>
      <c r="E16" s="149"/>
      <c r="F16" s="90">
        <v>29</v>
      </c>
      <c r="G16" s="96" t="s">
        <v>158</v>
      </c>
      <c r="H16" s="89" t="s">
        <v>160</v>
      </c>
      <c r="I16" s="91">
        <v>578083.2799999998</v>
      </c>
      <c r="J16" s="92">
        <v>2300</v>
      </c>
      <c r="K16" s="91">
        <v>82862.789999999994</v>
      </c>
      <c r="L16" s="91">
        <f t="shared" ref="L16" si="55">I16+K16+M16</f>
        <v>661054.14999999979</v>
      </c>
      <c r="M16" s="91">
        <v>108.08</v>
      </c>
      <c r="N16" s="140">
        <v>0</v>
      </c>
      <c r="O16" s="85">
        <v>2477</v>
      </c>
      <c r="P16" s="87">
        <v>6.7000000000000004E-2</v>
      </c>
      <c r="Q16" s="31">
        <f>1803000/2</f>
        <v>901500</v>
      </c>
      <c r="R16" s="93">
        <f t="shared" ref="R16" si="56">Q16*P16</f>
        <v>60400.5</v>
      </c>
      <c r="S16" s="31">
        <f>23592+1060672.52</f>
        <v>1084264.52</v>
      </c>
      <c r="T16" s="31">
        <v>1295199.05</v>
      </c>
      <c r="U16" s="23">
        <f t="shared" ref="U16" si="57">S16*P16</f>
        <v>72645.722840000002</v>
      </c>
      <c r="V16" s="23">
        <f t="shared" ref="V16" si="58">T16*P16</f>
        <v>86778.336350000012</v>
      </c>
      <c r="W16" s="24">
        <f t="shared" ref="W16" si="59">K16+M16+O16+R16+U16+N16</f>
        <v>218494.09284</v>
      </c>
      <c r="X16" s="32">
        <v>45700</v>
      </c>
      <c r="Y16" s="1">
        <v>45701</v>
      </c>
      <c r="Z16" s="155"/>
      <c r="AA16" s="155"/>
      <c r="AB16" s="155"/>
      <c r="AC16" s="147"/>
    </row>
    <row r="17" spans="1:29" x14ac:dyDescent="0.35">
      <c r="A17" s="2">
        <v>16</v>
      </c>
      <c r="B17" s="2" t="s">
        <v>13</v>
      </c>
      <c r="C17" s="3" t="s">
        <v>161</v>
      </c>
      <c r="D17" s="148" t="s">
        <v>56</v>
      </c>
      <c r="E17" s="148" t="s">
        <v>164</v>
      </c>
      <c r="F17" s="90" t="s">
        <v>165</v>
      </c>
      <c r="G17" s="96" t="s">
        <v>166</v>
      </c>
      <c r="H17" s="89" t="s">
        <v>163</v>
      </c>
      <c r="I17" s="91">
        <v>2043678.6999999997</v>
      </c>
      <c r="J17" s="92">
        <v>7200</v>
      </c>
      <c r="K17" s="91">
        <v>259963.2</v>
      </c>
      <c r="L17" s="91">
        <f>I17+K17+M17</f>
        <v>2303930.75</v>
      </c>
      <c r="M17" s="91">
        <v>288.85000000000002</v>
      </c>
      <c r="N17" s="140">
        <v>600</v>
      </c>
      <c r="O17" s="85">
        <v>2969</v>
      </c>
      <c r="P17" s="87">
        <v>6.7000000000000004E-2</v>
      </c>
      <c r="Q17" s="31">
        <f>1408000/2</f>
        <v>704000</v>
      </c>
      <c r="R17" s="93">
        <f>Q17*P17</f>
        <v>47168</v>
      </c>
      <c r="S17" s="31">
        <f>23592+2181349.75</f>
        <v>2204941.75</v>
      </c>
      <c r="T17" s="31">
        <v>2786520.9</v>
      </c>
      <c r="U17" s="23">
        <f>S17*P17</f>
        <v>147731.09725000002</v>
      </c>
      <c r="V17" s="23">
        <f>T17*P17</f>
        <v>186696.90030000001</v>
      </c>
      <c r="W17" s="24">
        <f>K17+M17+O17+R17+U17+N17</f>
        <v>458720.14725000004</v>
      </c>
      <c r="X17" s="32">
        <v>45701</v>
      </c>
      <c r="Y17" s="1">
        <v>45706</v>
      </c>
      <c r="Z17" s="153">
        <v>45722</v>
      </c>
      <c r="AA17" s="153">
        <v>45723</v>
      </c>
      <c r="AB17" s="153">
        <v>45723</v>
      </c>
      <c r="AC17" s="146" t="s">
        <v>138</v>
      </c>
    </row>
    <row r="18" spans="1:29" ht="15.75" customHeight="1" x14ac:dyDescent="0.35">
      <c r="A18" s="2">
        <v>17</v>
      </c>
      <c r="B18" s="2" t="s">
        <v>13</v>
      </c>
      <c r="C18" s="2" t="s">
        <v>162</v>
      </c>
      <c r="D18" s="149"/>
      <c r="E18" s="149"/>
      <c r="F18" s="90">
        <v>1</v>
      </c>
      <c r="G18" s="96" t="s">
        <v>167</v>
      </c>
      <c r="H18" s="89" t="s">
        <v>96</v>
      </c>
      <c r="I18" s="91">
        <v>123098.22</v>
      </c>
      <c r="J18" s="92">
        <v>1000</v>
      </c>
      <c r="K18" s="91">
        <v>36106</v>
      </c>
      <c r="L18" s="91">
        <f t="shared" ref="L18:L19" si="60">I18+K18+M18</f>
        <v>159276.43</v>
      </c>
      <c r="M18" s="91">
        <v>72.209999999999994</v>
      </c>
      <c r="N18" s="140">
        <v>0</v>
      </c>
      <c r="O18" s="85">
        <v>2515</v>
      </c>
      <c r="P18" s="87">
        <v>6.7000000000000004E-2</v>
      </c>
      <c r="Q18" s="31">
        <f>1408000/2</f>
        <v>704000</v>
      </c>
      <c r="R18" s="93">
        <f t="shared" ref="R18:R19" si="61">Q18*P18</f>
        <v>47168</v>
      </c>
      <c r="S18" s="31">
        <f>23592+1434547.87</f>
        <v>1458139.87</v>
      </c>
      <c r="T18" s="31">
        <v>1838507.62</v>
      </c>
      <c r="U18" s="23">
        <f t="shared" ref="U18:U19" si="62">S18*P18</f>
        <v>97695.37129000001</v>
      </c>
      <c r="V18" s="23">
        <f t="shared" ref="V18:V19" si="63">T18*P18</f>
        <v>123180.01054000002</v>
      </c>
      <c r="W18" s="24">
        <f t="shared" ref="W18:W19" si="64">K18+M18+O18+R18+U18+N18</f>
        <v>183556.58129</v>
      </c>
      <c r="X18" s="32">
        <v>45701</v>
      </c>
      <c r="Y18" s="1">
        <v>45706</v>
      </c>
      <c r="Z18" s="155"/>
      <c r="AA18" s="155"/>
      <c r="AB18" s="155"/>
      <c r="AC18" s="147"/>
    </row>
    <row r="19" spans="1:29" ht="15.75" customHeight="1" x14ac:dyDescent="0.35">
      <c r="A19" s="2">
        <v>18</v>
      </c>
      <c r="B19" s="2" t="s">
        <v>13</v>
      </c>
      <c r="C19" s="2" t="s">
        <v>149</v>
      </c>
      <c r="D19" s="2" t="s">
        <v>56</v>
      </c>
      <c r="E19" s="88" t="s">
        <v>168</v>
      </c>
      <c r="F19" s="90" t="s">
        <v>170</v>
      </c>
      <c r="G19" s="96" t="s">
        <v>169</v>
      </c>
      <c r="H19" s="97" t="s">
        <v>171</v>
      </c>
      <c r="I19" s="91">
        <v>1811569.97</v>
      </c>
      <c r="J19" s="92">
        <v>8200</v>
      </c>
      <c r="K19" s="91">
        <v>296448.86</v>
      </c>
      <c r="L19" s="91">
        <f t="shared" si="60"/>
        <v>2108380.35</v>
      </c>
      <c r="M19" s="91">
        <v>361.52</v>
      </c>
      <c r="N19" s="140">
        <v>0</v>
      </c>
      <c r="O19" s="85">
        <v>2805</v>
      </c>
      <c r="P19" s="87">
        <v>6.7000000000000004E-2</v>
      </c>
      <c r="Q19" s="31">
        <f>1408000/2</f>
        <v>704000</v>
      </c>
      <c r="R19" s="93">
        <f t="shared" si="61"/>
        <v>47168</v>
      </c>
      <c r="S19" s="112">
        <f>23592+3062936.48</f>
        <v>3086528.48</v>
      </c>
      <c r="T19" s="112">
        <v>3866712.99</v>
      </c>
      <c r="U19" s="23">
        <f t="shared" si="62"/>
        <v>206797.40816000002</v>
      </c>
      <c r="V19" s="23">
        <f t="shared" si="63"/>
        <v>259069.77033000003</v>
      </c>
      <c r="W19" s="24">
        <f t="shared" si="64"/>
        <v>553580.78816</v>
      </c>
      <c r="X19" s="32">
        <v>45706</v>
      </c>
      <c r="Y19" s="32">
        <v>45707</v>
      </c>
      <c r="Z19" s="32">
        <v>45726</v>
      </c>
      <c r="AA19" s="32">
        <v>45729</v>
      </c>
      <c r="AB19" s="32">
        <v>45729</v>
      </c>
      <c r="AC19" s="94" t="s">
        <v>138</v>
      </c>
    </row>
    <row r="20" spans="1:29" ht="15.75" customHeight="1" x14ac:dyDescent="0.35">
      <c r="A20" s="2">
        <v>19</v>
      </c>
      <c r="B20" s="2" t="s">
        <v>13</v>
      </c>
      <c r="C20" s="2" t="s">
        <v>172</v>
      </c>
      <c r="D20" s="2" t="s">
        <v>56</v>
      </c>
      <c r="E20" s="88" t="s">
        <v>175</v>
      </c>
      <c r="F20" s="90">
        <v>31</v>
      </c>
      <c r="G20" s="96" t="s">
        <v>173</v>
      </c>
      <c r="H20" s="97" t="s">
        <v>174</v>
      </c>
      <c r="I20" s="91">
        <v>1602211.56</v>
      </c>
      <c r="J20" s="92">
        <v>8200</v>
      </c>
      <c r="K20" s="91">
        <v>297227.03999999998</v>
      </c>
      <c r="L20" s="91">
        <f t="shared" ref="L20:L21" si="65">I20+K20+M20</f>
        <v>1899801.07</v>
      </c>
      <c r="M20" s="91">
        <v>362.47</v>
      </c>
      <c r="N20" s="140">
        <v>1350</v>
      </c>
      <c r="O20" s="85">
        <v>2887</v>
      </c>
      <c r="P20" s="87">
        <v>6.7000000000000004E-2</v>
      </c>
      <c r="Q20" s="31">
        <v>1104000</v>
      </c>
      <c r="R20" s="93">
        <f t="shared" ref="R20:R21" si="66">Q20*P20</f>
        <v>73968</v>
      </c>
      <c r="S20" s="31">
        <f>23592+2677382.12</f>
        <v>2700974.12</v>
      </c>
      <c r="T20" s="31">
        <v>3431431.55</v>
      </c>
      <c r="U20" s="23">
        <f t="shared" ref="U20:U21" si="67">S20*P20</f>
        <v>180965.26604000002</v>
      </c>
      <c r="V20" s="23">
        <f t="shared" ref="V20:V21" si="68">T20*P20</f>
        <v>229905.91385000001</v>
      </c>
      <c r="W20" s="24">
        <f t="shared" ref="W20:W21" si="69">K20+M20+O20+R20+U20+N20</f>
        <v>556759.77603999991</v>
      </c>
      <c r="X20" s="32">
        <v>45677</v>
      </c>
      <c r="Y20" s="32">
        <v>45709</v>
      </c>
      <c r="Z20" s="32">
        <v>45733</v>
      </c>
      <c r="AA20" s="32">
        <v>45743</v>
      </c>
      <c r="AB20" s="32">
        <v>45743</v>
      </c>
      <c r="AC20" s="94" t="s">
        <v>138</v>
      </c>
    </row>
    <row r="21" spans="1:29" ht="15.75" customHeight="1" x14ac:dyDescent="0.35">
      <c r="A21" s="2">
        <v>20</v>
      </c>
      <c r="B21" s="2" t="s">
        <v>13</v>
      </c>
      <c r="C21" s="2" t="s">
        <v>176</v>
      </c>
      <c r="D21" s="2" t="s">
        <v>56</v>
      </c>
      <c r="E21" s="88" t="s">
        <v>178</v>
      </c>
      <c r="F21" s="90">
        <v>259</v>
      </c>
      <c r="G21" s="96" t="s">
        <v>181</v>
      </c>
      <c r="H21" s="97" t="s">
        <v>179</v>
      </c>
      <c r="I21" s="91">
        <v>376431</v>
      </c>
      <c r="J21" s="92">
        <v>8200</v>
      </c>
      <c r="K21" s="91">
        <v>297227.03999999998</v>
      </c>
      <c r="L21" s="91">
        <f t="shared" si="65"/>
        <v>674020.51</v>
      </c>
      <c r="M21" s="91">
        <v>362.47</v>
      </c>
      <c r="N21" s="140">
        <v>0</v>
      </c>
      <c r="O21" s="85">
        <v>2515</v>
      </c>
      <c r="P21" s="87">
        <v>6.7000000000000004E-2</v>
      </c>
      <c r="Q21" s="31">
        <f t="shared" ref="Q21:Q26" si="70">1408000/2</f>
        <v>704000</v>
      </c>
      <c r="R21" s="93">
        <f t="shared" si="66"/>
        <v>47168</v>
      </c>
      <c r="S21" s="31">
        <f>23592+890248.54</f>
        <v>913840.54</v>
      </c>
      <c r="T21" s="31">
        <v>1212088.81</v>
      </c>
      <c r="U21" s="23">
        <f t="shared" si="67"/>
        <v>61227.316180000009</v>
      </c>
      <c r="V21" s="23">
        <f t="shared" si="68"/>
        <v>81209.950270000016</v>
      </c>
      <c r="W21" s="24">
        <f t="shared" si="69"/>
        <v>408499.82617999997</v>
      </c>
      <c r="X21" s="32">
        <v>45677</v>
      </c>
      <c r="Y21" s="32">
        <v>45709</v>
      </c>
      <c r="Z21" s="32">
        <v>45733</v>
      </c>
      <c r="AA21" s="32">
        <v>45735</v>
      </c>
      <c r="AB21" s="32">
        <v>45735</v>
      </c>
      <c r="AC21" s="94" t="s">
        <v>138</v>
      </c>
    </row>
    <row r="22" spans="1:29" ht="15.75" customHeight="1" x14ac:dyDescent="0.35">
      <c r="A22" s="2">
        <v>21</v>
      </c>
      <c r="B22" s="2" t="s">
        <v>13</v>
      </c>
      <c r="C22" s="2" t="s">
        <v>177</v>
      </c>
      <c r="D22" s="2" t="s">
        <v>56</v>
      </c>
      <c r="E22" s="88" t="s">
        <v>182</v>
      </c>
      <c r="F22" s="90">
        <v>855</v>
      </c>
      <c r="G22" s="96" t="s">
        <v>183</v>
      </c>
      <c r="H22" s="97" t="s">
        <v>180</v>
      </c>
      <c r="I22" s="91">
        <v>756081.2</v>
      </c>
      <c r="J22" s="92">
        <v>8200</v>
      </c>
      <c r="K22" s="91">
        <v>297227.03999999998</v>
      </c>
      <c r="L22" s="91">
        <f t="shared" ref="L22" si="71">I22+K22+M22</f>
        <v>1053670.71</v>
      </c>
      <c r="M22" s="91">
        <v>362.47</v>
      </c>
      <c r="N22" s="140">
        <v>450</v>
      </c>
      <c r="O22" s="85">
        <v>3443</v>
      </c>
      <c r="P22" s="87">
        <v>6.7000000000000004E-2</v>
      </c>
      <c r="Q22" s="31">
        <f t="shared" si="70"/>
        <v>704000</v>
      </c>
      <c r="R22" s="93">
        <f t="shared" ref="R22" si="72">Q22*P22</f>
        <v>47168</v>
      </c>
      <c r="S22" s="31">
        <f>23592+1636163.86</f>
        <v>1659755.86</v>
      </c>
      <c r="T22" s="31">
        <v>2046848.77</v>
      </c>
      <c r="U22" s="23">
        <f t="shared" ref="U22" si="73">S22*P22</f>
        <v>111203.64262000001</v>
      </c>
      <c r="V22" s="23">
        <f t="shared" ref="V22" si="74">T22*P22</f>
        <v>137138.86759000001</v>
      </c>
      <c r="W22" s="24">
        <f t="shared" ref="W22" si="75">K22+M22+O22+R22+U22+N22</f>
        <v>459854.15261999995</v>
      </c>
      <c r="X22" s="32">
        <v>45708</v>
      </c>
      <c r="Y22" s="32">
        <v>45712</v>
      </c>
      <c r="Z22" s="32">
        <v>45733</v>
      </c>
      <c r="AA22" s="32">
        <v>45736</v>
      </c>
      <c r="AB22" s="32">
        <v>45742</v>
      </c>
      <c r="AC22" s="94" t="s">
        <v>138</v>
      </c>
    </row>
    <row r="23" spans="1:29" ht="15.75" customHeight="1" x14ac:dyDescent="0.35">
      <c r="A23" s="2">
        <v>22</v>
      </c>
      <c r="B23" s="2" t="s">
        <v>13</v>
      </c>
      <c r="C23" s="2" t="s">
        <v>185</v>
      </c>
      <c r="D23" s="2" t="s">
        <v>56</v>
      </c>
      <c r="E23" s="88" t="s">
        <v>187</v>
      </c>
      <c r="F23" s="90" t="s">
        <v>188</v>
      </c>
      <c r="G23" s="89" t="s">
        <v>186</v>
      </c>
      <c r="H23" s="97" t="s">
        <v>189</v>
      </c>
      <c r="I23" s="91">
        <v>1732565.47</v>
      </c>
      <c r="J23" s="92">
        <v>8200</v>
      </c>
      <c r="K23" s="91">
        <v>302016.25</v>
      </c>
      <c r="L23" s="91">
        <f t="shared" ref="L23" si="76">I23+K23+M23</f>
        <v>2034945.5999999999</v>
      </c>
      <c r="M23" s="91">
        <v>363.88</v>
      </c>
      <c r="N23" s="140">
        <v>1350</v>
      </c>
      <c r="O23" s="85">
        <v>3550</v>
      </c>
      <c r="P23" s="87">
        <v>6.7000000000000004E-2</v>
      </c>
      <c r="Q23" s="31">
        <f t="shared" si="70"/>
        <v>704000</v>
      </c>
      <c r="R23" s="93">
        <f t="shared" ref="R23" si="77">Q23*P23</f>
        <v>47168</v>
      </c>
      <c r="S23" s="31">
        <f>23593+3020794.58</f>
        <v>3044387.58</v>
      </c>
      <c r="T23" s="31">
        <v>3574028.53</v>
      </c>
      <c r="U23" s="23">
        <f t="shared" ref="U23" si="78">S23*P23</f>
        <v>203973.96786</v>
      </c>
      <c r="V23" s="23">
        <f t="shared" ref="V23" si="79">T23*P23</f>
        <v>239459.91151000001</v>
      </c>
      <c r="W23" s="24">
        <f t="shared" ref="W23" si="80">K23+M23+O23+R23+U23+N23</f>
        <v>558422.09785999998</v>
      </c>
      <c r="X23" s="32">
        <v>45716</v>
      </c>
      <c r="Y23" s="32">
        <v>45716</v>
      </c>
      <c r="Z23" s="32">
        <v>45736</v>
      </c>
      <c r="AA23" s="32">
        <v>45744</v>
      </c>
      <c r="AB23" s="32">
        <v>45744</v>
      </c>
      <c r="AC23" s="94" t="s">
        <v>138</v>
      </c>
    </row>
    <row r="24" spans="1:29" ht="15.75" customHeight="1" x14ac:dyDescent="0.35">
      <c r="A24" s="2">
        <v>23</v>
      </c>
      <c r="B24" s="2" t="s">
        <v>13</v>
      </c>
      <c r="C24" s="2" t="s">
        <v>190</v>
      </c>
      <c r="D24" s="2" t="s">
        <v>56</v>
      </c>
      <c r="E24" s="88" t="s">
        <v>191</v>
      </c>
      <c r="F24" s="90">
        <v>33</v>
      </c>
      <c r="G24" s="89" t="s">
        <v>192</v>
      </c>
      <c r="H24" s="97" t="s">
        <v>193</v>
      </c>
      <c r="I24" s="91">
        <v>1827451.32</v>
      </c>
      <c r="J24" s="92">
        <v>8200</v>
      </c>
      <c r="K24" s="91">
        <v>298377.5</v>
      </c>
      <c r="L24" s="91">
        <f t="shared" ref="L24" si="81">I24+K24+M24</f>
        <v>2126192.7000000002</v>
      </c>
      <c r="M24" s="91">
        <v>363.88</v>
      </c>
      <c r="N24" s="140">
        <v>0</v>
      </c>
      <c r="O24" s="85">
        <v>2805</v>
      </c>
      <c r="P24" s="87">
        <v>6.7000000000000004E-2</v>
      </c>
      <c r="Q24" s="31">
        <f t="shared" si="70"/>
        <v>704000</v>
      </c>
      <c r="R24" s="93">
        <f t="shared" ref="R24" si="82">Q24*P24</f>
        <v>47168</v>
      </c>
      <c r="S24" s="31">
        <f>23592+3128731.44</f>
        <v>3152323.44</v>
      </c>
      <c r="T24" s="31">
        <v>3874426.41</v>
      </c>
      <c r="U24" s="23">
        <f t="shared" ref="U24" si="83">S24*P24</f>
        <v>211205.67048</v>
      </c>
      <c r="V24" s="23">
        <f t="shared" ref="V24" si="84">T24*P24</f>
        <v>259586.56947000002</v>
      </c>
      <c r="W24" s="24">
        <f t="shared" ref="W24" si="85">K24+M24+O24+R24+U24+N24</f>
        <v>559920.05047999998</v>
      </c>
      <c r="X24" s="32">
        <v>45714</v>
      </c>
      <c r="Y24" s="32">
        <v>45715</v>
      </c>
      <c r="Z24" s="32">
        <v>45732</v>
      </c>
      <c r="AA24" s="32">
        <v>45735</v>
      </c>
      <c r="AB24" s="32">
        <v>45735</v>
      </c>
      <c r="AC24" s="94" t="s">
        <v>138</v>
      </c>
    </row>
    <row r="25" spans="1:29" ht="15.75" customHeight="1" x14ac:dyDescent="0.35">
      <c r="A25" s="2">
        <v>24</v>
      </c>
      <c r="B25" s="2" t="s">
        <v>13</v>
      </c>
      <c r="C25" s="2" t="s">
        <v>197</v>
      </c>
      <c r="D25" s="2" t="s">
        <v>56</v>
      </c>
      <c r="E25" s="98" t="s">
        <v>194</v>
      </c>
      <c r="F25" s="90">
        <v>33</v>
      </c>
      <c r="G25" s="96" t="s">
        <v>196</v>
      </c>
      <c r="H25" s="97" t="s">
        <v>195</v>
      </c>
      <c r="I25" s="91">
        <v>1950142.3400000008</v>
      </c>
      <c r="J25" s="92">
        <v>8200</v>
      </c>
      <c r="K25" s="91">
        <v>298194.64</v>
      </c>
      <c r="L25" s="91">
        <f t="shared" ref="L25" si="86">I25+K25+M25</f>
        <v>2248700.6300000008</v>
      </c>
      <c r="M25" s="91">
        <v>363.65</v>
      </c>
      <c r="N25" s="140">
        <v>300</v>
      </c>
      <c r="O25" s="85">
        <v>3324</v>
      </c>
      <c r="P25" s="87">
        <v>6.7000000000000004E-2</v>
      </c>
      <c r="Q25" s="31">
        <f t="shared" si="70"/>
        <v>704000</v>
      </c>
      <c r="R25" s="93">
        <f t="shared" ref="R25" si="87">Q25*P25</f>
        <v>47168</v>
      </c>
      <c r="S25" s="31">
        <f>23592+3470954.92</f>
        <v>3494546.92</v>
      </c>
      <c r="T25" s="31">
        <v>4263895.45</v>
      </c>
      <c r="U25" s="23">
        <f t="shared" ref="U25" si="88">S25*P25</f>
        <v>234134.64363999999</v>
      </c>
      <c r="V25" s="23">
        <f t="shared" ref="V25" si="89">T25*P25</f>
        <v>285680.99515000003</v>
      </c>
      <c r="W25" s="24">
        <f t="shared" ref="W25" si="90">K25+M25+O25+R25+U25+N25</f>
        <v>583484.93364000006</v>
      </c>
      <c r="X25" s="32">
        <v>45715</v>
      </c>
      <c r="Y25" s="32">
        <v>45716</v>
      </c>
      <c r="Z25" s="32">
        <v>45732</v>
      </c>
      <c r="AA25" s="32">
        <v>45735</v>
      </c>
      <c r="AB25" s="32">
        <v>45736</v>
      </c>
      <c r="AC25" s="94" t="s">
        <v>138</v>
      </c>
    </row>
    <row r="26" spans="1:29" ht="15.75" customHeight="1" x14ac:dyDescent="0.35">
      <c r="A26" s="2">
        <v>25</v>
      </c>
      <c r="B26" s="2" t="s">
        <v>13</v>
      </c>
      <c r="C26" s="2" t="s">
        <v>198</v>
      </c>
      <c r="D26" s="2" t="s">
        <v>56</v>
      </c>
      <c r="E26" s="98" t="s">
        <v>199</v>
      </c>
      <c r="F26" s="90">
        <v>138</v>
      </c>
      <c r="G26" s="96" t="s">
        <v>200</v>
      </c>
      <c r="H26" s="97" t="s">
        <v>201</v>
      </c>
      <c r="I26" s="91">
        <v>2663114.34</v>
      </c>
      <c r="J26" s="92">
        <v>8200</v>
      </c>
      <c r="K26" s="91">
        <v>296607.94</v>
      </c>
      <c r="L26" s="91">
        <f t="shared" ref="L26" si="91">I26+K26+M26</f>
        <v>2960084</v>
      </c>
      <c r="M26" s="91">
        <v>361.72</v>
      </c>
      <c r="N26" s="140">
        <v>0</v>
      </c>
      <c r="O26" s="85">
        <v>2928</v>
      </c>
      <c r="P26" s="87">
        <v>6.7000000000000004E-2</v>
      </c>
      <c r="Q26" s="31">
        <f t="shared" si="70"/>
        <v>704000</v>
      </c>
      <c r="R26" s="93">
        <f t="shared" ref="R26" si="92">Q26*P26</f>
        <v>47168</v>
      </c>
      <c r="S26" s="31">
        <f>23592+4296364.52</f>
        <v>4319956.5199999996</v>
      </c>
      <c r="T26" s="31">
        <v>5363460.3499999996</v>
      </c>
      <c r="U26" s="23">
        <f t="shared" ref="U26" si="93">S26*P26</f>
        <v>289437.08684</v>
      </c>
      <c r="V26" s="23">
        <f t="shared" ref="V26" si="94">T26*P26</f>
        <v>359351.84344999999</v>
      </c>
      <c r="W26" s="24">
        <f t="shared" ref="W26" si="95">K26+M26+O26+R26+U26+N26</f>
        <v>636502.74683999992</v>
      </c>
      <c r="X26" s="32">
        <v>45715</v>
      </c>
      <c r="Y26" s="32">
        <v>45716</v>
      </c>
      <c r="Z26" s="32">
        <v>45753</v>
      </c>
      <c r="AA26" s="32">
        <v>45757</v>
      </c>
      <c r="AB26" s="32">
        <v>45757</v>
      </c>
      <c r="AC26" s="94" t="s">
        <v>138</v>
      </c>
    </row>
    <row r="27" spans="1:29" s="109" customFormat="1" ht="15" customHeight="1" x14ac:dyDescent="0.35">
      <c r="A27" s="2">
        <v>26</v>
      </c>
      <c r="B27" s="3" t="s">
        <v>13</v>
      </c>
      <c r="C27" s="3" t="s">
        <v>202</v>
      </c>
      <c r="D27" s="3" t="s">
        <v>56</v>
      </c>
      <c r="E27" s="99" t="s">
        <v>203</v>
      </c>
      <c r="F27" s="100">
        <v>88</v>
      </c>
      <c r="G27" s="101" t="s">
        <v>204</v>
      </c>
      <c r="H27" s="102" t="s">
        <v>205</v>
      </c>
      <c r="I27" s="103">
        <v>1681011.0199999744</v>
      </c>
      <c r="J27" s="104">
        <v>8200</v>
      </c>
      <c r="K27" s="103">
        <v>298194.64</v>
      </c>
      <c r="L27" s="103">
        <f t="shared" ref="L27" si="96">I27+K27+M27</f>
        <v>1979569.3099999744</v>
      </c>
      <c r="M27" s="103">
        <v>363.65</v>
      </c>
      <c r="N27" s="140">
        <v>750</v>
      </c>
      <c r="O27" s="85">
        <v>3051</v>
      </c>
      <c r="P27" s="105">
        <v>6.7000000000000004E-2</v>
      </c>
      <c r="Q27" s="31">
        <f>1408000</f>
        <v>1408000</v>
      </c>
      <c r="R27" s="93">
        <f t="shared" ref="R27" si="97">Q27*P27</f>
        <v>94336</v>
      </c>
      <c r="S27" s="31">
        <f>(23592*2)+2153805.19+669699.21</f>
        <v>2870688.4</v>
      </c>
      <c r="T27" s="31">
        <f>2754912.79+829567.72</f>
        <v>3584480.51</v>
      </c>
      <c r="U27" s="106">
        <f t="shared" ref="U27" si="98">S27*P27</f>
        <v>192336.12280000001</v>
      </c>
      <c r="V27" s="106">
        <f t="shared" ref="V27" si="99">T27*P27</f>
        <v>240160.19417</v>
      </c>
      <c r="W27" s="107">
        <f t="shared" ref="W27" si="100">K27+M27+O27+R27+U27+N27</f>
        <v>589031.41280000005</v>
      </c>
      <c r="X27" s="108">
        <v>45719</v>
      </c>
      <c r="Y27" s="108">
        <v>45721</v>
      </c>
      <c r="Z27" s="32">
        <v>45740</v>
      </c>
      <c r="AA27" s="32">
        <v>45747</v>
      </c>
      <c r="AB27" s="32">
        <v>45747</v>
      </c>
      <c r="AC27" s="94" t="s">
        <v>138</v>
      </c>
    </row>
    <row r="28" spans="1:29" s="109" customFormat="1" ht="15.75" customHeight="1" x14ac:dyDescent="0.35">
      <c r="A28" s="2">
        <v>27</v>
      </c>
      <c r="B28" s="3" t="s">
        <v>13</v>
      </c>
      <c r="C28" s="3" t="s">
        <v>206</v>
      </c>
      <c r="D28" s="3" t="s">
        <v>56</v>
      </c>
      <c r="E28" s="99" t="s">
        <v>209</v>
      </c>
      <c r="F28" s="100" t="s">
        <v>210</v>
      </c>
      <c r="G28" s="101" t="s">
        <v>207</v>
      </c>
      <c r="H28" s="102" t="s">
        <v>208</v>
      </c>
      <c r="I28" s="103">
        <v>1831349.5200000117</v>
      </c>
      <c r="J28" s="104">
        <v>8200</v>
      </c>
      <c r="K28" s="103">
        <v>298194.64</v>
      </c>
      <c r="L28" s="103">
        <f t="shared" ref="L28" si="101">I28+K28+M28</f>
        <v>2129907.8100000117</v>
      </c>
      <c r="M28" s="103">
        <v>363.65</v>
      </c>
      <c r="N28" s="140">
        <v>300</v>
      </c>
      <c r="O28" s="85">
        <v>3051</v>
      </c>
      <c r="P28" s="105">
        <v>6.7000000000000004E-2</v>
      </c>
      <c r="Q28" s="31">
        <f>1408000/2</f>
        <v>704000</v>
      </c>
      <c r="R28" s="93">
        <f t="shared" ref="R28" si="102">Q28*P28</f>
        <v>47168</v>
      </c>
      <c r="S28" s="31">
        <f>23592+2895879.91</f>
        <v>2919471.91</v>
      </c>
      <c r="T28" s="31">
        <v>3734334.14</v>
      </c>
      <c r="U28" s="106">
        <f t="shared" ref="U28" si="103">S28*P28</f>
        <v>195604.61797000002</v>
      </c>
      <c r="V28" s="106">
        <f t="shared" ref="V28" si="104">T28*P28</f>
        <v>250200.38738000003</v>
      </c>
      <c r="W28" s="107">
        <f t="shared" ref="W28" si="105">K28+M28+O28+R28+U28+N28</f>
        <v>544681.90797000006</v>
      </c>
      <c r="X28" s="108">
        <v>45721</v>
      </c>
      <c r="Y28" s="108">
        <v>45723</v>
      </c>
      <c r="Z28" s="32">
        <v>45740</v>
      </c>
      <c r="AA28" s="32">
        <v>45744</v>
      </c>
      <c r="AB28" s="32">
        <v>45744</v>
      </c>
      <c r="AC28" s="94" t="s">
        <v>138</v>
      </c>
    </row>
    <row r="29" spans="1:29" s="109" customFormat="1" ht="15.75" customHeight="1" x14ac:dyDescent="0.35">
      <c r="A29" s="2">
        <v>28</v>
      </c>
      <c r="B29" s="3" t="s">
        <v>13</v>
      </c>
      <c r="C29" s="3" t="s">
        <v>211</v>
      </c>
      <c r="D29" s="3" t="s">
        <v>56</v>
      </c>
      <c r="E29" s="99" t="s">
        <v>213</v>
      </c>
      <c r="F29" s="100">
        <v>33</v>
      </c>
      <c r="G29" s="101" t="s">
        <v>212</v>
      </c>
      <c r="H29" s="102" t="s">
        <v>214</v>
      </c>
      <c r="I29" s="103">
        <v>1646309.1599999985</v>
      </c>
      <c r="J29" s="104">
        <v>8200</v>
      </c>
      <c r="K29" s="103">
        <v>297785.46000000002</v>
      </c>
      <c r="L29" s="103">
        <f t="shared" ref="L29" si="106">I29+K29+M29</f>
        <v>1944457.7699999984</v>
      </c>
      <c r="M29" s="103">
        <v>363.15</v>
      </c>
      <c r="N29" s="140">
        <v>0</v>
      </c>
      <c r="O29" s="85">
        <v>2682</v>
      </c>
      <c r="P29" s="105">
        <v>6.7000000000000004E-2</v>
      </c>
      <c r="Q29" s="31">
        <f>1408000/2</f>
        <v>704000</v>
      </c>
      <c r="R29" s="93">
        <f t="shared" ref="R29" si="107">Q29*P29</f>
        <v>47168</v>
      </c>
      <c r="S29" s="31">
        <f>23592+2660609.21</f>
        <v>2684201.21</v>
      </c>
      <c r="T29" s="31">
        <v>3440564.51</v>
      </c>
      <c r="U29" s="106">
        <f t="shared" ref="U29" si="108">S29*P29</f>
        <v>179841.48107000001</v>
      </c>
      <c r="V29" s="106">
        <f t="shared" ref="V29" si="109">T29*P29</f>
        <v>230517.82217</v>
      </c>
      <c r="W29" s="107">
        <f t="shared" ref="W29" si="110">K29+M29+O29+R29+U29+N29</f>
        <v>527840.09107000008</v>
      </c>
      <c r="X29" s="108">
        <v>45723</v>
      </c>
      <c r="Y29" s="108">
        <v>45726</v>
      </c>
      <c r="Z29" s="32">
        <v>45740</v>
      </c>
      <c r="AA29" s="32">
        <v>45743</v>
      </c>
      <c r="AB29" s="32">
        <v>45743</v>
      </c>
      <c r="AC29" s="94" t="s">
        <v>138</v>
      </c>
    </row>
    <row r="30" spans="1:29" ht="15.75" customHeight="1" x14ac:dyDescent="0.35">
      <c r="A30" s="2">
        <v>29</v>
      </c>
      <c r="B30" s="2" t="s">
        <v>13</v>
      </c>
      <c r="C30" s="2" t="s">
        <v>216</v>
      </c>
      <c r="D30" s="2" t="s">
        <v>56</v>
      </c>
      <c r="E30" s="98" t="s">
        <v>215</v>
      </c>
      <c r="F30" s="90">
        <v>33</v>
      </c>
      <c r="G30" s="89" t="s">
        <v>217</v>
      </c>
      <c r="H30" s="97" t="s">
        <v>218</v>
      </c>
      <c r="I30" s="91">
        <v>1574245.8600000003</v>
      </c>
      <c r="J30" s="92">
        <v>8200</v>
      </c>
      <c r="K30" s="91">
        <v>297785.46000000002</v>
      </c>
      <c r="L30" s="91">
        <f t="shared" ref="L30" si="111">I30+K30+M30</f>
        <v>1872394.4700000002</v>
      </c>
      <c r="M30" s="91">
        <v>363.15</v>
      </c>
      <c r="N30" s="140">
        <v>600</v>
      </c>
      <c r="O30" s="85">
        <f>2846+660</f>
        <v>3506</v>
      </c>
      <c r="P30" s="110">
        <v>6.7000000000000004E-2</v>
      </c>
      <c r="Q30" s="31">
        <v>1104000</v>
      </c>
      <c r="R30" s="111">
        <f t="shared" ref="R30" si="112">Q30*P30</f>
        <v>73968</v>
      </c>
      <c r="S30" s="31">
        <f>23592+2623777.38</f>
        <v>2647369.38</v>
      </c>
      <c r="T30" s="31">
        <v>3292544.68</v>
      </c>
      <c r="U30" s="23">
        <f t="shared" ref="U30" si="113">S30*P30</f>
        <v>177373.74846</v>
      </c>
      <c r="V30" s="23">
        <f t="shared" ref="V30" si="114">T30*P30</f>
        <v>220600.49356000003</v>
      </c>
      <c r="W30" s="24">
        <f t="shared" ref="W30" si="115">K30+M30+O30+R30+U30+N30</f>
        <v>553596.35846000002</v>
      </c>
      <c r="X30" s="32">
        <v>45723</v>
      </c>
      <c r="Y30" s="32">
        <v>45726</v>
      </c>
      <c r="Z30" s="32">
        <v>45740</v>
      </c>
      <c r="AA30" s="32">
        <v>45747</v>
      </c>
      <c r="AB30" s="32">
        <v>45747</v>
      </c>
      <c r="AC30" s="94" t="s">
        <v>138</v>
      </c>
    </row>
    <row r="31" spans="1:29" ht="15.75" customHeight="1" x14ac:dyDescent="0.35">
      <c r="A31" s="2">
        <v>30</v>
      </c>
      <c r="B31" s="2" t="s">
        <v>13</v>
      </c>
      <c r="C31" s="2" t="s">
        <v>219</v>
      </c>
      <c r="D31" s="2" t="s">
        <v>56</v>
      </c>
      <c r="E31" s="98" t="s">
        <v>221</v>
      </c>
      <c r="F31" s="90" t="s">
        <v>223</v>
      </c>
      <c r="G31" s="89" t="s">
        <v>222</v>
      </c>
      <c r="H31" s="97" t="s">
        <v>227</v>
      </c>
      <c r="I31" s="91">
        <v>1813362.24</v>
      </c>
      <c r="J31" s="92">
        <v>8200</v>
      </c>
      <c r="K31" s="91">
        <v>299372.15999999997</v>
      </c>
      <c r="L31" s="91">
        <f t="shared" ref="L31" si="116">I31+K31+M31</f>
        <v>2113099.4899999998</v>
      </c>
      <c r="M31" s="91">
        <v>365.09</v>
      </c>
      <c r="N31" s="140">
        <v>450</v>
      </c>
      <c r="O31" s="85">
        <v>2764</v>
      </c>
      <c r="P31" s="110">
        <v>6.7000000000000004E-2</v>
      </c>
      <c r="Q31" s="31">
        <v>1104000</v>
      </c>
      <c r="R31" s="111">
        <f t="shared" ref="R31" si="117">Q31*P31</f>
        <v>73968</v>
      </c>
      <c r="S31" s="31">
        <f>23592+2632751.2</f>
        <v>2656343.2000000002</v>
      </c>
      <c r="T31" s="31">
        <v>3678589.33</v>
      </c>
      <c r="U31" s="116">
        <f t="shared" ref="U31" si="118">S31*P31</f>
        <v>177974.99440000003</v>
      </c>
      <c r="V31" s="23">
        <f t="shared" ref="V31" si="119">T31*P31</f>
        <v>246465.48511000001</v>
      </c>
      <c r="W31" s="24">
        <f t="shared" ref="W31" si="120">K31+M31+O31+R31+U31+N31</f>
        <v>554894.24439999997</v>
      </c>
      <c r="X31" s="32">
        <v>45728</v>
      </c>
      <c r="Y31" s="32">
        <v>45729</v>
      </c>
      <c r="Z31" s="32">
        <v>45747</v>
      </c>
      <c r="AA31" s="32">
        <v>45751</v>
      </c>
      <c r="AB31" s="32">
        <v>45751</v>
      </c>
      <c r="AC31" s="94" t="s">
        <v>138</v>
      </c>
    </row>
    <row r="32" spans="1:29" ht="15.65" customHeight="1" x14ac:dyDescent="0.35">
      <c r="A32" s="2">
        <v>31</v>
      </c>
      <c r="B32" s="2" t="s">
        <v>13</v>
      </c>
      <c r="C32" s="2" t="s">
        <v>220</v>
      </c>
      <c r="D32" s="2" t="s">
        <v>56</v>
      </c>
      <c r="E32" s="98" t="s">
        <v>224</v>
      </c>
      <c r="F32" s="90" t="s">
        <v>226</v>
      </c>
      <c r="G32" s="89" t="s">
        <v>225</v>
      </c>
      <c r="H32" s="97" t="s">
        <v>228</v>
      </c>
      <c r="I32" s="91">
        <v>2015679.61</v>
      </c>
      <c r="J32" s="92">
        <v>8200</v>
      </c>
      <c r="K32" s="91">
        <v>299628.82</v>
      </c>
      <c r="L32" s="91">
        <f t="shared" ref="L32" si="121">I32+K32+M32</f>
        <v>2315673.83</v>
      </c>
      <c r="M32" s="91">
        <v>365.4</v>
      </c>
      <c r="N32" s="140">
        <v>300</v>
      </c>
      <c r="O32" s="85">
        <v>3051</v>
      </c>
      <c r="P32" s="110">
        <v>6.7000000000000004E-2</v>
      </c>
      <c r="Q32" s="31">
        <f>1408000/2</f>
        <v>704000</v>
      </c>
      <c r="R32" s="111">
        <f t="shared" ref="R32" si="122">Q32*P32</f>
        <v>47168</v>
      </c>
      <c r="S32" s="31">
        <f>23592+3256896.57</f>
        <v>3280488.57</v>
      </c>
      <c r="T32" s="31">
        <v>4258108.2</v>
      </c>
      <c r="U32" s="23">
        <f t="shared" ref="U32" si="123">S32*P32</f>
        <v>219792.73418999999</v>
      </c>
      <c r="V32" s="23">
        <f t="shared" ref="V32" si="124">T32*P32</f>
        <v>285293.24940000003</v>
      </c>
      <c r="W32" s="24">
        <f t="shared" ref="W32" si="125">K32+M32+O32+R32+U32+N32</f>
        <v>570305.95418999996</v>
      </c>
      <c r="X32" s="32">
        <v>45728</v>
      </c>
      <c r="Y32" s="32">
        <v>45729</v>
      </c>
      <c r="Z32" s="32">
        <v>45747</v>
      </c>
      <c r="AA32" s="32">
        <v>45750</v>
      </c>
      <c r="AB32" s="32">
        <v>45750</v>
      </c>
      <c r="AC32" s="94" t="s">
        <v>138</v>
      </c>
    </row>
    <row r="33" spans="1:29" ht="15.75" customHeight="1" x14ac:dyDescent="0.35">
      <c r="A33" s="2">
        <v>32</v>
      </c>
      <c r="B33" s="2" t="s">
        <v>13</v>
      </c>
      <c r="C33" s="2" t="s">
        <v>229</v>
      </c>
      <c r="D33" s="2" t="s">
        <v>56</v>
      </c>
      <c r="E33" s="98" t="s">
        <v>231</v>
      </c>
      <c r="F33" s="90" t="s">
        <v>232</v>
      </c>
      <c r="G33" s="89" t="s">
        <v>230</v>
      </c>
      <c r="H33" s="97" t="s">
        <v>233</v>
      </c>
      <c r="I33" s="91">
        <v>1838265.94</v>
      </c>
      <c r="J33" s="92">
        <v>8200</v>
      </c>
      <c r="K33" s="91">
        <v>300233.98</v>
      </c>
      <c r="L33" s="91">
        <f t="shared" ref="L33" si="126">I33+K33+M33</f>
        <v>2138866.06</v>
      </c>
      <c r="M33" s="91">
        <v>366.14</v>
      </c>
      <c r="N33" s="140">
        <v>0</v>
      </c>
      <c r="O33" s="85">
        <v>2887</v>
      </c>
      <c r="P33" s="110">
        <v>6.7000000000000004E-2</v>
      </c>
      <c r="Q33" s="31">
        <f>1408000/2</f>
        <v>704000</v>
      </c>
      <c r="R33" s="111">
        <f t="shared" ref="R33" si="127">Q33*P33</f>
        <v>47168</v>
      </c>
      <c r="S33" s="31">
        <f>23592+2755588.25</f>
        <v>2779180.25</v>
      </c>
      <c r="T33" s="31">
        <v>3861478.56</v>
      </c>
      <c r="U33" s="23">
        <f t="shared" ref="U33" si="128">S33*P33</f>
        <v>186205.07675000001</v>
      </c>
      <c r="V33" s="23">
        <f t="shared" ref="V33" si="129">T33*P33</f>
        <v>258719.06352000003</v>
      </c>
      <c r="W33" s="24">
        <f t="shared" ref="W33" si="130">K33+M33+O33+R33+U33+N33</f>
        <v>536860.19675</v>
      </c>
      <c r="X33" s="32">
        <v>45733</v>
      </c>
      <c r="Y33" s="32">
        <v>45735</v>
      </c>
      <c r="Z33" s="115">
        <v>45755</v>
      </c>
      <c r="AA33" s="115">
        <v>45758</v>
      </c>
      <c r="AB33" s="32">
        <v>45761</v>
      </c>
      <c r="AC33" s="94" t="s">
        <v>138</v>
      </c>
    </row>
    <row r="34" spans="1:29" ht="15.75" customHeight="1" x14ac:dyDescent="0.35">
      <c r="A34" s="2">
        <v>33</v>
      </c>
      <c r="B34" s="2" t="s">
        <v>13</v>
      </c>
      <c r="C34" s="2" t="s">
        <v>234</v>
      </c>
      <c r="D34" s="2" t="s">
        <v>56</v>
      </c>
      <c r="E34" s="98" t="s">
        <v>235</v>
      </c>
      <c r="F34" s="90" t="s">
        <v>237</v>
      </c>
      <c r="G34" s="89" t="s">
        <v>236</v>
      </c>
      <c r="H34" s="97" t="s">
        <v>238</v>
      </c>
      <c r="I34" s="91">
        <v>2406313.87</v>
      </c>
      <c r="J34" s="92">
        <v>8200</v>
      </c>
      <c r="K34" s="91">
        <v>311467.98</v>
      </c>
      <c r="L34" s="91">
        <f t="shared" ref="L34" si="131">I34+K34+M34</f>
        <v>2718161.69</v>
      </c>
      <c r="M34" s="91">
        <v>379.84</v>
      </c>
      <c r="N34" s="140">
        <v>450</v>
      </c>
      <c r="O34" s="85">
        <v>3379</v>
      </c>
      <c r="P34" s="110">
        <v>6.7000000000000004E-2</v>
      </c>
      <c r="Q34" s="31">
        <v>1768000</v>
      </c>
      <c r="R34" s="111">
        <f t="shared" ref="R34" si="132">Q34*P34</f>
        <v>118456</v>
      </c>
      <c r="S34" s="31">
        <f>23592+524888.07</f>
        <v>548480.06999999995</v>
      </c>
      <c r="T34" s="31">
        <v>717290.9</v>
      </c>
      <c r="U34" s="23">
        <f t="shared" ref="U34" si="133">S34*P34</f>
        <v>36748.164689999998</v>
      </c>
      <c r="V34" s="23">
        <f t="shared" ref="V34" si="134">T34*P34</f>
        <v>48058.490300000005</v>
      </c>
      <c r="W34" s="24">
        <f t="shared" ref="W34" si="135">K34+M34+O34+R34+U34+N34</f>
        <v>470880.98469000001</v>
      </c>
      <c r="X34" s="32">
        <v>45735</v>
      </c>
      <c r="Y34" s="32">
        <v>45736</v>
      </c>
      <c r="Z34" s="115">
        <v>45754</v>
      </c>
      <c r="AA34" s="115">
        <v>45758</v>
      </c>
      <c r="AB34" s="115">
        <v>45758</v>
      </c>
      <c r="AC34" s="94" t="s">
        <v>138</v>
      </c>
    </row>
    <row r="35" spans="1:29" ht="15.75" customHeight="1" x14ac:dyDescent="0.35">
      <c r="A35" s="2">
        <v>34</v>
      </c>
      <c r="B35" s="2" t="s">
        <v>13</v>
      </c>
      <c r="C35" s="2" t="s">
        <v>239</v>
      </c>
      <c r="D35" s="2" t="s">
        <v>56</v>
      </c>
      <c r="E35" s="98" t="s">
        <v>241</v>
      </c>
      <c r="F35" s="90" t="s">
        <v>242</v>
      </c>
      <c r="G35" s="89" t="s">
        <v>240</v>
      </c>
      <c r="H35" s="97" t="s">
        <v>248</v>
      </c>
      <c r="I35" s="91">
        <v>1240604.1299999999</v>
      </c>
      <c r="J35" s="92">
        <v>8300</v>
      </c>
      <c r="K35" s="91">
        <v>314694.5</v>
      </c>
      <c r="L35" s="91">
        <f t="shared" ref="L35" si="136">I35+K35+M35</f>
        <v>1555677.7799999998</v>
      </c>
      <c r="M35" s="91">
        <v>379.15</v>
      </c>
      <c r="N35" s="140">
        <v>300</v>
      </c>
      <c r="O35" s="114">
        <v>3550</v>
      </c>
      <c r="P35" s="110">
        <v>6.7000000000000004E-2</v>
      </c>
      <c r="Q35" s="31">
        <f>1408000/2</f>
        <v>704000</v>
      </c>
      <c r="R35" s="111">
        <f t="shared" ref="R35" si="137">Q35*P35</f>
        <v>47168</v>
      </c>
      <c r="S35" s="31">
        <f>23592+2154981.26</f>
        <v>2178573.2599999998</v>
      </c>
      <c r="T35" s="31">
        <v>2794694.5</v>
      </c>
      <c r="U35" s="23">
        <f t="shared" ref="U35" si="138">S35*P35</f>
        <v>145964.40841999999</v>
      </c>
      <c r="V35" s="23">
        <f t="shared" ref="V35" si="139">T35*P35</f>
        <v>187244.53150000001</v>
      </c>
      <c r="W35" s="24">
        <f t="shared" ref="W35" si="140">K35+M35+O35+R35+U35+N35</f>
        <v>512056.05842000002</v>
      </c>
      <c r="X35" s="32">
        <v>45740</v>
      </c>
      <c r="Y35" s="32">
        <v>45740</v>
      </c>
      <c r="Z35" s="115">
        <v>45761</v>
      </c>
      <c r="AA35" s="115">
        <v>45765</v>
      </c>
      <c r="AB35" s="115">
        <v>45765</v>
      </c>
      <c r="AC35" s="94" t="s">
        <v>138</v>
      </c>
    </row>
    <row r="36" spans="1:29" x14ac:dyDescent="0.35">
      <c r="A36" s="2">
        <v>35</v>
      </c>
      <c r="B36" s="2" t="s">
        <v>13</v>
      </c>
      <c r="C36" s="3" t="s">
        <v>243</v>
      </c>
      <c r="D36" s="148" t="s">
        <v>56</v>
      </c>
      <c r="E36" s="148" t="s">
        <v>120</v>
      </c>
      <c r="F36" s="90" t="s">
        <v>246</v>
      </c>
      <c r="G36" s="84" t="s">
        <v>245</v>
      </c>
      <c r="H36" s="89" t="s">
        <v>250</v>
      </c>
      <c r="I36" s="91">
        <v>2466887.64</v>
      </c>
      <c r="J36" s="92">
        <v>5000</v>
      </c>
      <c r="K36" s="91">
        <v>189251</v>
      </c>
      <c r="L36" s="91">
        <f>I36+K36+M36</f>
        <v>2656365.7400000002</v>
      </c>
      <c r="M36" s="91">
        <v>227.1</v>
      </c>
      <c r="N36" s="140">
        <v>600</v>
      </c>
      <c r="O36" s="114">
        <v>3092</v>
      </c>
      <c r="P36" s="87">
        <v>6.7000000000000004E-2</v>
      </c>
      <c r="Q36" s="31">
        <f>1768000/2</f>
        <v>884000</v>
      </c>
      <c r="R36" s="93">
        <f>Q36*P36</f>
        <v>59228</v>
      </c>
      <c r="S36" s="31">
        <f>23592+3435129.54</f>
        <v>3458721.54</v>
      </c>
      <c r="T36" s="31">
        <v>4071583.61</v>
      </c>
      <c r="U36" s="23">
        <f>S36*P36</f>
        <v>231734.34318000003</v>
      </c>
      <c r="V36" s="23">
        <f>T36*P36</f>
        <v>272796.10187000001</v>
      </c>
      <c r="W36" s="24">
        <f>K36+M36+O36+R36+U36+N36</f>
        <v>484132.44318000006</v>
      </c>
      <c r="X36" s="32">
        <v>45737</v>
      </c>
      <c r="Y36" s="1">
        <v>45740</v>
      </c>
      <c r="Z36" s="144">
        <v>45754</v>
      </c>
      <c r="AA36" s="144">
        <v>45757</v>
      </c>
      <c r="AB36" s="144">
        <v>45758</v>
      </c>
      <c r="AC36" s="146" t="s">
        <v>138</v>
      </c>
    </row>
    <row r="37" spans="1:29" ht="15.75" customHeight="1" x14ac:dyDescent="0.35">
      <c r="A37" s="2">
        <v>36</v>
      </c>
      <c r="B37" s="2" t="s">
        <v>13</v>
      </c>
      <c r="C37" s="3" t="s">
        <v>244</v>
      </c>
      <c r="D37" s="149"/>
      <c r="E37" s="149"/>
      <c r="F37" s="90">
        <v>9</v>
      </c>
      <c r="G37" s="84" t="s">
        <v>247</v>
      </c>
      <c r="H37" s="113" t="s">
        <v>249</v>
      </c>
      <c r="I37" s="91">
        <v>168188.94</v>
      </c>
      <c r="J37" s="92">
        <v>3200</v>
      </c>
      <c r="K37" s="91">
        <v>121120.64</v>
      </c>
      <c r="L37" s="91">
        <f t="shared" ref="L37:L38" si="141">I37+K37+M37</f>
        <v>289460.98000000004</v>
      </c>
      <c r="M37" s="91">
        <v>151.4</v>
      </c>
      <c r="N37" s="140">
        <v>0</v>
      </c>
      <c r="O37" s="114">
        <v>2515</v>
      </c>
      <c r="P37" s="87">
        <v>6.7000000000000004E-2</v>
      </c>
      <c r="Q37" s="31">
        <f>1768000/2</f>
        <v>884000</v>
      </c>
      <c r="R37" s="93">
        <f t="shared" ref="R37:R38" si="142">Q37*P37</f>
        <v>59228</v>
      </c>
      <c r="S37" s="31">
        <f>23592+1147485.1</f>
        <v>1171077.1000000001</v>
      </c>
      <c r="T37" s="31">
        <v>1367397.6</v>
      </c>
      <c r="U37" s="23">
        <f t="shared" ref="U37:U38" si="143">S37*P37</f>
        <v>78462.165700000012</v>
      </c>
      <c r="V37" s="23">
        <f t="shared" ref="V37:V38" si="144">T37*P37</f>
        <v>91615.639200000005</v>
      </c>
      <c r="W37" s="24">
        <f t="shared" ref="W37:W38" si="145">K37+M37+O37+R37+U37+N37</f>
        <v>261477.20569999999</v>
      </c>
      <c r="X37" s="32">
        <v>45737</v>
      </c>
      <c r="Y37" s="1">
        <v>45740</v>
      </c>
      <c r="Z37" s="145"/>
      <c r="AA37" s="145"/>
      <c r="AB37" s="145"/>
      <c r="AC37" s="147"/>
    </row>
    <row r="38" spans="1:29" ht="15.75" customHeight="1" x14ac:dyDescent="0.35">
      <c r="A38" s="2">
        <v>37</v>
      </c>
      <c r="B38" s="2" t="s">
        <v>13</v>
      </c>
      <c r="C38" s="2" t="s">
        <v>256</v>
      </c>
      <c r="D38" s="2" t="s">
        <v>56</v>
      </c>
      <c r="E38" s="98" t="s">
        <v>257</v>
      </c>
      <c r="F38" s="90" t="s">
        <v>258</v>
      </c>
      <c r="G38" s="89" t="s">
        <v>259</v>
      </c>
      <c r="H38" s="97" t="s">
        <v>260</v>
      </c>
      <c r="I38" s="91">
        <v>1640163.12</v>
      </c>
      <c r="J38" s="92">
        <v>8200</v>
      </c>
      <c r="K38" s="91">
        <v>314238</v>
      </c>
      <c r="L38" s="91">
        <f t="shared" si="141"/>
        <v>1954779.7200000002</v>
      </c>
      <c r="M38" s="91">
        <v>378.6</v>
      </c>
      <c r="N38" s="140">
        <v>0</v>
      </c>
      <c r="O38" s="114">
        <v>3550</v>
      </c>
      <c r="P38" s="110">
        <v>6.7000000000000004E-2</v>
      </c>
      <c r="Q38" s="31">
        <f>1408000/2</f>
        <v>704000</v>
      </c>
      <c r="R38" s="111">
        <f t="shared" si="142"/>
        <v>47168</v>
      </c>
      <c r="S38" s="31">
        <f>23592+2620555.97</f>
        <v>2644147.9700000002</v>
      </c>
      <c r="T38" s="31">
        <v>3500461.19</v>
      </c>
      <c r="U38" s="23">
        <f t="shared" si="143"/>
        <v>177157.91399000003</v>
      </c>
      <c r="V38" s="23">
        <f t="shared" si="144"/>
        <v>234530.89973</v>
      </c>
      <c r="W38" s="24">
        <f t="shared" si="145"/>
        <v>542492.51399000001</v>
      </c>
      <c r="X38" s="32">
        <v>45741</v>
      </c>
      <c r="Y38" s="32">
        <v>45742</v>
      </c>
      <c r="Z38" s="115">
        <v>45761</v>
      </c>
      <c r="AA38" s="115">
        <v>45764</v>
      </c>
      <c r="AB38" s="115">
        <v>45764</v>
      </c>
      <c r="AC38" s="94" t="s">
        <v>138</v>
      </c>
    </row>
    <row r="39" spans="1:29" ht="15.75" customHeight="1" x14ac:dyDescent="0.35">
      <c r="A39" s="2">
        <v>38</v>
      </c>
      <c r="B39" s="2" t="s">
        <v>13</v>
      </c>
      <c r="C39" s="2" t="s">
        <v>251</v>
      </c>
      <c r="D39" s="2" t="s">
        <v>56</v>
      </c>
      <c r="E39" s="98" t="s">
        <v>252</v>
      </c>
      <c r="F39" s="90" t="s">
        <v>253</v>
      </c>
      <c r="G39" s="89" t="s">
        <v>254</v>
      </c>
      <c r="H39" s="97" t="s">
        <v>255</v>
      </c>
      <c r="I39" s="91">
        <v>2559915.09</v>
      </c>
      <c r="J39" s="92">
        <v>8200</v>
      </c>
      <c r="K39" s="91">
        <v>310452</v>
      </c>
      <c r="L39" s="91">
        <f t="shared" ref="L39" si="146">I39+K39+M39</f>
        <v>2870745.69</v>
      </c>
      <c r="M39" s="91">
        <v>378.6</v>
      </c>
      <c r="N39" s="140">
        <v>450</v>
      </c>
      <c r="O39" s="114">
        <v>3502</v>
      </c>
      <c r="P39" s="110">
        <v>6.7000000000000004E-2</v>
      </c>
      <c r="Q39" s="31">
        <v>1408000</v>
      </c>
      <c r="R39" s="111">
        <f t="shared" ref="R39" si="147">Q39*P39</f>
        <v>94336</v>
      </c>
      <c r="S39" s="31">
        <f>(23592*2)+2946277.51+1428104.17</f>
        <v>4421565.68</v>
      </c>
      <c r="T39" s="31">
        <f>3597160.47+1734420.32</f>
        <v>5331580.79</v>
      </c>
      <c r="U39" s="23">
        <f t="shared" ref="U39" si="148">S39*P39</f>
        <v>296244.90055999998</v>
      </c>
      <c r="V39" s="23">
        <f t="shared" ref="V39" si="149">T39*P39</f>
        <v>357215.91293000005</v>
      </c>
      <c r="W39" s="24">
        <f t="shared" ref="W39" si="150">K39+M39+O39+R39+U39+N39</f>
        <v>705363.50055999996</v>
      </c>
      <c r="X39" s="32">
        <v>45740</v>
      </c>
      <c r="Y39" s="32">
        <v>45741</v>
      </c>
      <c r="Z39" s="115">
        <v>45761</v>
      </c>
      <c r="AA39" s="115">
        <v>45763</v>
      </c>
      <c r="AB39" s="115">
        <v>45763</v>
      </c>
      <c r="AC39" s="94" t="s">
        <v>138</v>
      </c>
    </row>
    <row r="40" spans="1:29" ht="15.75" customHeight="1" x14ac:dyDescent="0.35">
      <c r="A40" s="2">
        <v>39</v>
      </c>
      <c r="B40" s="2" t="s">
        <v>13</v>
      </c>
      <c r="C40" s="2" t="s">
        <v>265</v>
      </c>
      <c r="D40" s="2" t="s">
        <v>56</v>
      </c>
      <c r="E40" s="98" t="s">
        <v>263</v>
      </c>
      <c r="F40" s="90" t="s">
        <v>264</v>
      </c>
      <c r="G40" s="89" t="s">
        <v>261</v>
      </c>
      <c r="H40" s="97" t="s">
        <v>262</v>
      </c>
      <c r="I40" s="91">
        <v>2700799.2000000011</v>
      </c>
      <c r="J40" s="92">
        <v>8200</v>
      </c>
      <c r="K40" s="91">
        <v>310850.52</v>
      </c>
      <c r="L40" s="91">
        <f t="shared" ref="L40" si="151">I40+K40+M40</f>
        <v>3012028.810000001</v>
      </c>
      <c r="M40" s="91">
        <v>379.09</v>
      </c>
      <c r="N40" s="140">
        <v>1050</v>
      </c>
      <c r="O40" s="114">
        <v>3461</v>
      </c>
      <c r="P40" s="110">
        <v>6.7000000000000004E-2</v>
      </c>
      <c r="Q40" s="31">
        <v>2128000</v>
      </c>
      <c r="R40" s="111">
        <f t="shared" ref="R40" si="152">Q40*P40</f>
        <v>142576</v>
      </c>
      <c r="S40" s="31">
        <f>(23592*2)+3720883.26+1037254.15</f>
        <v>4805321.41</v>
      </c>
      <c r="T40" s="31">
        <f>(4255261.7+1299989.7)</f>
        <v>5555251.4000000004</v>
      </c>
      <c r="U40" s="23">
        <f t="shared" ref="U40" si="153">S40*P40</f>
        <v>321956.53447000001</v>
      </c>
      <c r="V40" s="23">
        <f t="shared" ref="V40" si="154">T40*P40</f>
        <v>372201.84380000003</v>
      </c>
      <c r="W40" s="24">
        <f t="shared" ref="W40" si="155">K40+M40+O40+R40+U40+N40</f>
        <v>780273.14447000006</v>
      </c>
      <c r="X40" s="32">
        <v>45741</v>
      </c>
      <c r="Y40" s="32">
        <v>45742</v>
      </c>
      <c r="Z40" s="115">
        <v>45761</v>
      </c>
      <c r="AA40" s="115">
        <v>45770</v>
      </c>
      <c r="AB40" s="115">
        <v>45770</v>
      </c>
      <c r="AC40" s="94" t="s">
        <v>138</v>
      </c>
    </row>
    <row r="41" spans="1:29" ht="15.75" customHeight="1" x14ac:dyDescent="0.35">
      <c r="A41" s="2">
        <v>40</v>
      </c>
      <c r="B41" s="2" t="s">
        <v>13</v>
      </c>
      <c r="C41" s="2" t="s">
        <v>266</v>
      </c>
      <c r="D41" s="2" t="s">
        <v>56</v>
      </c>
      <c r="E41" s="98" t="s">
        <v>267</v>
      </c>
      <c r="F41" s="90" t="s">
        <v>269</v>
      </c>
      <c r="G41" s="89" t="s">
        <v>268</v>
      </c>
      <c r="H41" s="97" t="s">
        <v>270</v>
      </c>
      <c r="I41" s="91">
        <v>1957987.71</v>
      </c>
      <c r="J41" s="92">
        <v>8200</v>
      </c>
      <c r="K41" s="91">
        <v>309677.92</v>
      </c>
      <c r="L41" s="91">
        <f t="shared" ref="L41" si="156">I41+K41+M41</f>
        <v>2268043.29</v>
      </c>
      <c r="M41" s="91">
        <v>377.66</v>
      </c>
      <c r="N41" s="140">
        <v>300</v>
      </c>
      <c r="O41" s="85">
        <v>3256</v>
      </c>
      <c r="P41" s="110">
        <v>6.7000000000000004E-2</v>
      </c>
      <c r="Q41" s="31">
        <f>1408000/2</f>
        <v>704000</v>
      </c>
      <c r="R41" s="111">
        <f t="shared" ref="R41" si="157">Q41*P41</f>
        <v>47168</v>
      </c>
      <c r="S41" s="31">
        <f>23592+3259853.74</f>
        <v>3283445.74</v>
      </c>
      <c r="T41" s="31">
        <v>4251860.7</v>
      </c>
      <c r="U41" s="23">
        <f t="shared" ref="U41" si="158">S41*P41</f>
        <v>219990.86458000002</v>
      </c>
      <c r="V41" s="23">
        <f t="shared" ref="V41" si="159">T41*P41</f>
        <v>284874.66690000001</v>
      </c>
      <c r="W41" s="24">
        <f t="shared" ref="W41" si="160">K41+M41+O41+R41+U41+N41</f>
        <v>580770.44458000001</v>
      </c>
      <c r="X41" s="32">
        <v>45749</v>
      </c>
      <c r="Y41" s="32">
        <v>45750</v>
      </c>
      <c r="Z41" s="115">
        <v>45761</v>
      </c>
      <c r="AA41" s="115">
        <v>45764</v>
      </c>
      <c r="AB41" s="115">
        <v>45764</v>
      </c>
      <c r="AC41" s="94" t="s">
        <v>138</v>
      </c>
    </row>
    <row r="42" spans="1:29" ht="15.75" customHeight="1" x14ac:dyDescent="0.35">
      <c r="A42" s="2">
        <v>41</v>
      </c>
      <c r="B42" s="2" t="s">
        <v>13</v>
      </c>
      <c r="C42" s="2" t="s">
        <v>271</v>
      </c>
      <c r="D42" s="2" t="s">
        <v>56</v>
      </c>
      <c r="E42" s="98" t="s">
        <v>272</v>
      </c>
      <c r="F42" s="90" t="s">
        <v>273</v>
      </c>
      <c r="G42" s="89" t="s">
        <v>274</v>
      </c>
      <c r="H42" s="97" t="s">
        <v>275</v>
      </c>
      <c r="I42" s="91">
        <v>1957987.71</v>
      </c>
      <c r="J42" s="92">
        <v>8200</v>
      </c>
      <c r="K42" s="91">
        <v>311050.59999999998</v>
      </c>
      <c r="L42" s="91">
        <f>I42+K42+M42</f>
        <v>2269417.64</v>
      </c>
      <c r="M42" s="91">
        <v>379.33</v>
      </c>
      <c r="N42" s="140">
        <v>150</v>
      </c>
      <c r="O42" s="85">
        <v>2518</v>
      </c>
      <c r="P42" s="110">
        <v>6.7000000000000004E-2</v>
      </c>
      <c r="Q42" s="31">
        <f>1408000/2</f>
        <v>704000</v>
      </c>
      <c r="R42" s="111">
        <f t="shared" ref="R42:R43" si="161">Q42*P42</f>
        <v>47168</v>
      </c>
      <c r="S42" s="31">
        <f>23592+3270127.01</f>
        <v>3293719.01</v>
      </c>
      <c r="T42" s="31">
        <v>4304362.7300000004</v>
      </c>
      <c r="U42" s="23">
        <f t="shared" ref="U42" si="162">S42*P42</f>
        <v>220679.17366999999</v>
      </c>
      <c r="V42" s="23">
        <f t="shared" ref="V42" si="163">T42*P42</f>
        <v>288392.30291000003</v>
      </c>
      <c r="W42" s="24">
        <f t="shared" ref="W42:W43" si="164">K42+M42+O42+R42+U42+N42</f>
        <v>581945.10366999998</v>
      </c>
      <c r="X42" s="32">
        <v>45754</v>
      </c>
      <c r="Y42" s="32">
        <v>45755</v>
      </c>
      <c r="Z42" s="115">
        <v>45768</v>
      </c>
      <c r="AA42" s="115">
        <v>45770</v>
      </c>
      <c r="AB42" s="115">
        <v>45770</v>
      </c>
      <c r="AC42" s="94" t="s">
        <v>138</v>
      </c>
    </row>
    <row r="43" spans="1:29" x14ac:dyDescent="0.35">
      <c r="A43" s="2">
        <v>42</v>
      </c>
      <c r="B43" s="2" t="s">
        <v>13</v>
      </c>
      <c r="C43" s="2" t="s">
        <v>276</v>
      </c>
      <c r="D43" s="2" t="s">
        <v>56</v>
      </c>
      <c r="E43" s="98" t="s">
        <v>277</v>
      </c>
      <c r="F43" s="90" t="s">
        <v>278</v>
      </c>
      <c r="G43" s="84" t="s">
        <v>279</v>
      </c>
      <c r="H43" s="97" t="s">
        <v>287</v>
      </c>
      <c r="I43" s="91">
        <v>1723294.789999973</v>
      </c>
      <c r="J43" s="92">
        <v>8200</v>
      </c>
      <c r="K43" s="91">
        <v>311312.18</v>
      </c>
      <c r="L43" s="91">
        <v>2034986.6199999729</v>
      </c>
      <c r="M43" s="85">
        <v>379.65</v>
      </c>
      <c r="N43" s="140">
        <v>1350</v>
      </c>
      <c r="O43" s="85">
        <v>2436</v>
      </c>
      <c r="P43" s="110">
        <v>6.7000000000000004E-2</v>
      </c>
      <c r="Q43" s="31">
        <f>1408000/2</f>
        <v>704000</v>
      </c>
      <c r="R43" s="111">
        <f t="shared" si="161"/>
        <v>47168</v>
      </c>
      <c r="S43" s="31">
        <f>23592+3914182.32</f>
        <v>3937774.32</v>
      </c>
      <c r="T43" s="31">
        <v>4754976.99</v>
      </c>
      <c r="U43" s="23">
        <f t="shared" ref="U43" si="165">S43*P43</f>
        <v>263830.87943999999</v>
      </c>
      <c r="V43" s="23">
        <f t="shared" ref="V43" si="166">T43*P43</f>
        <v>318583.45833000005</v>
      </c>
      <c r="W43" s="24">
        <f t="shared" si="164"/>
        <v>626476.70944000001</v>
      </c>
      <c r="X43" s="86">
        <v>45762</v>
      </c>
      <c r="Y43" s="86">
        <v>45763</v>
      </c>
      <c r="Z43" s="115">
        <v>45775</v>
      </c>
      <c r="AA43" s="115">
        <v>45785</v>
      </c>
      <c r="AB43" s="115">
        <v>45785</v>
      </c>
      <c r="AC43" s="94" t="s">
        <v>138</v>
      </c>
    </row>
    <row r="44" spans="1:29" x14ac:dyDescent="0.35">
      <c r="A44" s="2">
        <v>43</v>
      </c>
      <c r="B44" s="2" t="s">
        <v>13</v>
      </c>
      <c r="C44" s="3" t="s">
        <v>282</v>
      </c>
      <c r="D44" s="148" t="s">
        <v>56</v>
      </c>
      <c r="E44" s="148" t="s">
        <v>281</v>
      </c>
      <c r="F44" s="90">
        <v>645</v>
      </c>
      <c r="G44" s="84" t="s">
        <v>280</v>
      </c>
      <c r="H44" s="89" t="s">
        <v>284</v>
      </c>
      <c r="I44" s="91">
        <v>1372319.1799999997</v>
      </c>
      <c r="J44" s="92">
        <v>5500</v>
      </c>
      <c r="K44" s="91">
        <v>208490.15</v>
      </c>
      <c r="L44" s="91">
        <f>I44+K44+M44</f>
        <v>1581074.6799999997</v>
      </c>
      <c r="M44" s="91">
        <v>265.35000000000002</v>
      </c>
      <c r="N44" s="142">
        <v>750</v>
      </c>
      <c r="O44" s="85">
        <v>3550</v>
      </c>
      <c r="P44" s="87">
        <v>6.7000000000000004E-2</v>
      </c>
      <c r="Q44" s="31">
        <f t="shared" ref="Q44:Q47" si="167">1408000/2</f>
        <v>704000</v>
      </c>
      <c r="R44" s="93">
        <f>Q44*P44</f>
        <v>47168</v>
      </c>
      <c r="S44" s="31">
        <f>23592+2053871.77+1830651.36</f>
        <v>3908115.13</v>
      </c>
      <c r="T44" s="31">
        <v>3018931.04</v>
      </c>
      <c r="U44" s="23">
        <f>S44*P44</f>
        <v>261843.71371000001</v>
      </c>
      <c r="V44" s="23">
        <f>T44*P44</f>
        <v>202268.37968000001</v>
      </c>
      <c r="W44" s="24">
        <f>K44+M44+O44+R44+U44+N44</f>
        <v>522067.21371000004</v>
      </c>
      <c r="X44" s="32">
        <v>45764</v>
      </c>
      <c r="Y44" s="1">
        <v>45763</v>
      </c>
      <c r="Z44" s="144">
        <v>45782</v>
      </c>
      <c r="AA44" s="144">
        <v>45783</v>
      </c>
      <c r="AB44" s="144">
        <v>45783</v>
      </c>
      <c r="AC44" s="146" t="s">
        <v>138</v>
      </c>
    </row>
    <row r="45" spans="1:29" ht="15.75" customHeight="1" x14ac:dyDescent="0.35">
      <c r="A45" s="2">
        <v>44</v>
      </c>
      <c r="B45" s="2" t="s">
        <v>13</v>
      </c>
      <c r="C45" s="3" t="s">
        <v>283</v>
      </c>
      <c r="D45" s="149"/>
      <c r="E45" s="149"/>
      <c r="F45" s="90">
        <v>15</v>
      </c>
      <c r="G45" s="84" t="s">
        <v>285</v>
      </c>
      <c r="H45" s="89" t="s">
        <v>286</v>
      </c>
      <c r="I45" s="91">
        <v>801420.13000000385</v>
      </c>
      <c r="J45" s="92">
        <v>2800</v>
      </c>
      <c r="K45" s="91">
        <v>106418.2</v>
      </c>
      <c r="L45" s="91">
        <f t="shared" ref="L45" si="168">I45+K45+M45</f>
        <v>907952.35000000382</v>
      </c>
      <c r="M45" s="91">
        <v>114.02</v>
      </c>
      <c r="N45" s="143"/>
      <c r="O45" s="85">
        <f>2682+660</f>
        <v>3342</v>
      </c>
      <c r="P45" s="87">
        <v>6.7000000000000004E-2</v>
      </c>
      <c r="Q45" s="31">
        <f t="shared" si="167"/>
        <v>704000</v>
      </c>
      <c r="R45" s="93">
        <f t="shared" ref="R45:R46" si="169">Q45*P45</f>
        <v>47168</v>
      </c>
      <c r="S45" s="31">
        <f>23592+1244001.75</f>
        <v>1267593.75</v>
      </c>
      <c r="T45" s="31">
        <v>1616456.85</v>
      </c>
      <c r="U45" s="23">
        <f t="shared" ref="U45:U46" si="170">S45*P45</f>
        <v>84928.78125</v>
      </c>
      <c r="V45" s="23">
        <f t="shared" ref="V45:V46" si="171">T45*P45</f>
        <v>108302.60895000001</v>
      </c>
      <c r="W45" s="24">
        <f t="shared" ref="W45:W46" si="172">K45+M45+O45+R45+U45+N45</f>
        <v>241971.00125</v>
      </c>
      <c r="X45" s="32">
        <v>45762</v>
      </c>
      <c r="Y45" s="1">
        <v>45763</v>
      </c>
      <c r="Z45" s="145"/>
      <c r="AA45" s="145"/>
      <c r="AB45" s="145"/>
      <c r="AC45" s="147"/>
    </row>
    <row r="46" spans="1:29" ht="15.75" customHeight="1" x14ac:dyDescent="0.35">
      <c r="A46" s="2">
        <v>45</v>
      </c>
      <c r="B46" s="2" t="s">
        <v>13</v>
      </c>
      <c r="C46" s="2" t="s">
        <v>289</v>
      </c>
      <c r="D46" s="2" t="s">
        <v>56</v>
      </c>
      <c r="E46" s="98" t="s">
        <v>288</v>
      </c>
      <c r="F46" s="90">
        <v>150</v>
      </c>
      <c r="G46" s="89" t="s">
        <v>290</v>
      </c>
      <c r="H46" s="113" t="s">
        <v>324</v>
      </c>
      <c r="I46" s="91">
        <v>432653.89999999997</v>
      </c>
      <c r="J46" s="92">
        <v>8200</v>
      </c>
      <c r="K46" s="91">
        <v>311987.03999999998</v>
      </c>
      <c r="L46" s="91">
        <f>I46+K46+M46</f>
        <v>745021.40999999992</v>
      </c>
      <c r="M46" s="91">
        <v>380.47</v>
      </c>
      <c r="N46" s="140">
        <v>0</v>
      </c>
      <c r="O46" s="85">
        <v>2515</v>
      </c>
      <c r="P46" s="110">
        <v>6.7000000000000004E-2</v>
      </c>
      <c r="Q46" s="31">
        <v>866000</v>
      </c>
      <c r="R46" s="111">
        <f t="shared" si="169"/>
        <v>58022</v>
      </c>
      <c r="S46" s="31">
        <f>23592+910959.89</f>
        <v>934551.89</v>
      </c>
      <c r="T46" s="31">
        <v>1275273.6499999999</v>
      </c>
      <c r="U46" s="23">
        <f t="shared" si="170"/>
        <v>62614.976630000005</v>
      </c>
      <c r="V46" s="23">
        <f t="shared" si="171"/>
        <v>85443.33455</v>
      </c>
      <c r="W46" s="24">
        <f t="shared" si="172"/>
        <v>435519.48662999994</v>
      </c>
      <c r="X46" s="32">
        <v>45763</v>
      </c>
      <c r="Y46" s="32">
        <v>45764</v>
      </c>
      <c r="Z46" s="32">
        <v>45775</v>
      </c>
      <c r="AA46" s="32">
        <v>45831</v>
      </c>
      <c r="AB46" s="32">
        <v>45775</v>
      </c>
      <c r="AC46" s="94" t="s">
        <v>138</v>
      </c>
    </row>
    <row r="47" spans="1:29" ht="15.75" customHeight="1" x14ac:dyDescent="0.35">
      <c r="A47" s="2">
        <v>46</v>
      </c>
      <c r="B47" s="2" t="s">
        <v>13</v>
      </c>
      <c r="C47" s="2" t="s">
        <v>291</v>
      </c>
      <c r="D47" s="2" t="s">
        <v>56</v>
      </c>
      <c r="E47" s="98" t="s">
        <v>293</v>
      </c>
      <c r="F47" s="90" t="s">
        <v>294</v>
      </c>
      <c r="G47" s="89" t="s">
        <v>292</v>
      </c>
      <c r="H47" s="97" t="s">
        <v>295</v>
      </c>
      <c r="I47" s="91">
        <v>2420049.94</v>
      </c>
      <c r="J47" s="92">
        <v>8200</v>
      </c>
      <c r="K47" s="91">
        <v>312534.8</v>
      </c>
      <c r="L47" s="91">
        <f>I47+K47+M47</f>
        <v>2732965.88</v>
      </c>
      <c r="M47" s="91">
        <v>381.14</v>
      </c>
      <c r="N47" s="140">
        <f>300+450</f>
        <v>750</v>
      </c>
      <c r="O47" s="23">
        <v>2682</v>
      </c>
      <c r="P47" s="110">
        <v>6.7000000000000004E-2</v>
      </c>
      <c r="Q47" s="31">
        <f t="shared" si="167"/>
        <v>704000</v>
      </c>
      <c r="R47" s="111">
        <f t="shared" ref="R47:R48" si="173">Q47*P47</f>
        <v>47168</v>
      </c>
      <c r="S47" s="31">
        <f>23592+4584885.31</f>
        <v>4608477.3099999996</v>
      </c>
      <c r="T47" s="31">
        <v>5242013.88</v>
      </c>
      <c r="U47" s="23">
        <f t="shared" ref="U47:U48" si="174">S47*P47</f>
        <v>308767.97976999998</v>
      </c>
      <c r="V47" s="23">
        <f t="shared" ref="V47:V48" si="175">T47*P47</f>
        <v>351214.92996000004</v>
      </c>
      <c r="W47" s="24">
        <f t="shared" ref="W47:W48" si="176">K47+M47+O47+R47+U47+N47</f>
        <v>672283.91977000004</v>
      </c>
      <c r="X47" s="32">
        <v>45768</v>
      </c>
      <c r="Y47" s="32">
        <v>45769</v>
      </c>
      <c r="Z47" s="32">
        <v>45785</v>
      </c>
      <c r="AA47" s="32">
        <v>45789</v>
      </c>
      <c r="AB47" s="32">
        <v>45789</v>
      </c>
      <c r="AC47" s="94" t="s">
        <v>138</v>
      </c>
    </row>
    <row r="48" spans="1:29" ht="15.75" customHeight="1" x14ac:dyDescent="0.35">
      <c r="A48" s="2">
        <v>47</v>
      </c>
      <c r="B48" s="2" t="s">
        <v>13</v>
      </c>
      <c r="C48" s="2" t="s">
        <v>297</v>
      </c>
      <c r="D48" s="2" t="s">
        <v>56</v>
      </c>
      <c r="E48" s="98" t="s">
        <v>296</v>
      </c>
      <c r="F48" s="90">
        <v>440</v>
      </c>
      <c r="G48" s="89" t="s">
        <v>298</v>
      </c>
      <c r="H48" s="113" t="s">
        <v>325</v>
      </c>
      <c r="I48" s="91">
        <v>1611342</v>
      </c>
      <c r="J48" s="92">
        <v>8200</v>
      </c>
      <c r="K48" s="91">
        <v>312677.48</v>
      </c>
      <c r="L48" s="91">
        <f>I48+K48+M48</f>
        <v>1924400.79</v>
      </c>
      <c r="M48" s="91">
        <v>381.31</v>
      </c>
      <c r="N48" s="140">
        <v>300</v>
      </c>
      <c r="O48" s="23">
        <v>3294</v>
      </c>
      <c r="P48" s="110">
        <v>6.7000000000000004E-2</v>
      </c>
      <c r="Q48" s="31">
        <f>866000+400000</f>
        <v>1266000</v>
      </c>
      <c r="R48" s="111">
        <f t="shared" si="173"/>
        <v>84822</v>
      </c>
      <c r="S48" s="31">
        <f>23592+3435515.94</f>
        <v>3459107.94</v>
      </c>
      <c r="T48" s="31">
        <v>4072210.59</v>
      </c>
      <c r="U48" s="23">
        <f t="shared" si="174"/>
        <v>231760.23198000001</v>
      </c>
      <c r="V48" s="23">
        <f t="shared" si="175"/>
        <v>272838.10953000002</v>
      </c>
      <c r="W48" s="24">
        <f t="shared" si="176"/>
        <v>633235.02197999996</v>
      </c>
      <c r="X48" s="32">
        <v>45769</v>
      </c>
      <c r="Y48" s="32">
        <v>45771</v>
      </c>
      <c r="Z48" s="32">
        <v>45784</v>
      </c>
      <c r="AA48" s="32">
        <v>45832</v>
      </c>
      <c r="AB48" s="32">
        <v>45785</v>
      </c>
      <c r="AC48" s="94" t="s">
        <v>138</v>
      </c>
    </row>
    <row r="49" spans="1:29" x14ac:dyDescent="0.35">
      <c r="A49" s="2">
        <v>48</v>
      </c>
      <c r="B49" s="2" t="s">
        <v>13</v>
      </c>
      <c r="C49" s="3" t="s">
        <v>299</v>
      </c>
      <c r="D49" s="148" t="s">
        <v>56</v>
      </c>
      <c r="E49" s="148" t="s">
        <v>301</v>
      </c>
      <c r="F49" s="90" t="s">
        <v>304</v>
      </c>
      <c r="G49" s="84" t="s">
        <v>303</v>
      </c>
      <c r="H49" s="89" t="s">
        <v>306</v>
      </c>
      <c r="I49" s="91">
        <v>968066.7</v>
      </c>
      <c r="J49" s="92">
        <v>5500</v>
      </c>
      <c r="K49" s="91">
        <v>210350.25</v>
      </c>
      <c r="L49" s="91">
        <f>I49+K49+M49</f>
        <v>1178684.67</v>
      </c>
      <c r="M49" s="91">
        <v>267.72000000000003</v>
      </c>
      <c r="N49" s="142">
        <v>450</v>
      </c>
      <c r="O49" s="23">
        <v>3550</v>
      </c>
      <c r="P49" s="87">
        <v>6.7000000000000004E-2</v>
      </c>
      <c r="Q49" s="31">
        <f t="shared" ref="Q49:Q60" si="177">1408000/2</f>
        <v>704000</v>
      </c>
      <c r="R49" s="93">
        <f>Q49*P49</f>
        <v>47168</v>
      </c>
      <c r="S49" s="31">
        <f>23592+1771116.22</f>
        <v>1794708.22</v>
      </c>
      <c r="T49" s="31">
        <v>2089473.6</v>
      </c>
      <c r="U49" s="23">
        <f>S49*P49</f>
        <v>120245.45074</v>
      </c>
      <c r="V49" s="23">
        <f>T49*P49</f>
        <v>139994.73120000001</v>
      </c>
      <c r="W49" s="24">
        <f>K49+M49+O49+R49+U49+N49</f>
        <v>382031.42073999997</v>
      </c>
      <c r="X49" s="32">
        <v>45777</v>
      </c>
      <c r="Y49" s="1">
        <v>45776</v>
      </c>
      <c r="Z49" s="144">
        <v>45789</v>
      </c>
      <c r="AA49" s="144">
        <v>45792</v>
      </c>
      <c r="AB49" s="144">
        <v>45792</v>
      </c>
      <c r="AC49" s="146" t="s">
        <v>138</v>
      </c>
    </row>
    <row r="50" spans="1:29" ht="15.75" customHeight="1" x14ac:dyDescent="0.35">
      <c r="A50" s="2">
        <v>49</v>
      </c>
      <c r="B50" s="2" t="s">
        <v>13</v>
      </c>
      <c r="C50" s="3" t="s">
        <v>300</v>
      </c>
      <c r="D50" s="149"/>
      <c r="E50" s="149"/>
      <c r="F50" s="90" t="s">
        <v>305</v>
      </c>
      <c r="G50" s="89" t="s">
        <v>302</v>
      </c>
      <c r="H50" s="89" t="s">
        <v>307</v>
      </c>
      <c r="I50" s="91">
        <v>975222.67</v>
      </c>
      <c r="J50" s="92">
        <v>2800</v>
      </c>
      <c r="K50" s="91">
        <v>107426.2</v>
      </c>
      <c r="L50" s="91">
        <f t="shared" ref="L50:L51" si="178">I50+K50+M50</f>
        <v>1082763.9700000002</v>
      </c>
      <c r="M50" s="91">
        <v>115.1</v>
      </c>
      <c r="N50" s="143"/>
      <c r="O50" s="23">
        <v>2067</v>
      </c>
      <c r="P50" s="87">
        <v>6.7000000000000004E-2</v>
      </c>
      <c r="Q50" s="31">
        <f t="shared" si="177"/>
        <v>704000</v>
      </c>
      <c r="R50" s="93">
        <f t="shared" ref="R50:R51" si="179">Q50*P50</f>
        <v>47168</v>
      </c>
      <c r="S50" s="31">
        <f>23592+1352381.17</f>
        <v>1375973.17</v>
      </c>
      <c r="T50" s="31">
        <v>1886711.51</v>
      </c>
      <c r="U50" s="23">
        <f t="shared" ref="U50" si="180">S50*P50</f>
        <v>92190.202390000006</v>
      </c>
      <c r="V50" s="23">
        <f t="shared" ref="V50" si="181">T50*P50</f>
        <v>126409.67117</v>
      </c>
      <c r="W50" s="24">
        <f t="shared" ref="W50:W51" si="182">K50+M50+O50+R50+U50+N50</f>
        <v>248966.50238999998</v>
      </c>
      <c r="X50" s="1">
        <v>45776</v>
      </c>
      <c r="Y50" s="1">
        <v>45776</v>
      </c>
      <c r="Z50" s="145"/>
      <c r="AA50" s="145"/>
      <c r="AB50" s="145"/>
      <c r="AC50" s="147"/>
    </row>
    <row r="51" spans="1:29" x14ac:dyDescent="0.35">
      <c r="A51" s="2">
        <v>50</v>
      </c>
      <c r="B51" s="2" t="s">
        <v>13</v>
      </c>
      <c r="C51" s="2" t="s">
        <v>308</v>
      </c>
      <c r="D51" s="2" t="s">
        <v>56</v>
      </c>
      <c r="E51" s="118" t="s">
        <v>215</v>
      </c>
      <c r="F51" s="2" t="s">
        <v>309</v>
      </c>
      <c r="G51" s="84" t="s">
        <v>310</v>
      </c>
      <c r="H51" s="89" t="s">
        <v>311</v>
      </c>
      <c r="I51" s="91">
        <v>2356819.1999999676</v>
      </c>
      <c r="J51" s="92">
        <v>8200</v>
      </c>
      <c r="K51" s="91">
        <v>314611.03999999998</v>
      </c>
      <c r="L51" s="91">
        <f t="shared" si="178"/>
        <v>2671813.9099999676</v>
      </c>
      <c r="M51" s="91">
        <v>383.67</v>
      </c>
      <c r="N51" s="140">
        <v>300</v>
      </c>
      <c r="O51" s="23">
        <f>3051+660</f>
        <v>3711</v>
      </c>
      <c r="P51" s="87">
        <v>6.7000000000000004E-2</v>
      </c>
      <c r="Q51" s="31">
        <f t="shared" si="177"/>
        <v>704000</v>
      </c>
      <c r="R51" s="93">
        <f t="shared" si="179"/>
        <v>47168</v>
      </c>
      <c r="S51" s="31">
        <f>23592+3419314.1</f>
        <v>3442906.1</v>
      </c>
      <c r="T51" s="31">
        <v>4283321.5599999996</v>
      </c>
      <c r="U51" s="23">
        <f t="shared" ref="U51" si="183">S51*P51</f>
        <v>230674.70870000002</v>
      </c>
      <c r="V51" s="23">
        <f t="shared" ref="V51" si="184">T51*P51</f>
        <v>286982.54452</v>
      </c>
      <c r="W51" s="24">
        <f t="shared" si="182"/>
        <v>596848.41870000004</v>
      </c>
      <c r="X51" s="86">
        <v>45777</v>
      </c>
      <c r="Y51" s="86">
        <v>45778</v>
      </c>
      <c r="Z51" s="32">
        <v>45789</v>
      </c>
      <c r="AA51" s="32">
        <v>45791</v>
      </c>
      <c r="AB51" s="32">
        <v>45791</v>
      </c>
      <c r="AC51" s="94" t="s">
        <v>138</v>
      </c>
    </row>
    <row r="52" spans="1:29" x14ac:dyDescent="0.35">
      <c r="A52" s="2">
        <v>51</v>
      </c>
      <c r="B52" s="2" t="s">
        <v>13</v>
      </c>
      <c r="C52" s="2" t="s">
        <v>312</v>
      </c>
      <c r="D52" s="2" t="s">
        <v>56</v>
      </c>
      <c r="E52" s="118" t="s">
        <v>116</v>
      </c>
      <c r="F52" s="2" t="s">
        <v>314</v>
      </c>
      <c r="G52" s="84" t="s">
        <v>313</v>
      </c>
      <c r="H52" s="89" t="s">
        <v>315</v>
      </c>
      <c r="I52" s="91">
        <v>1827763.75</v>
      </c>
      <c r="J52" s="92">
        <v>8200</v>
      </c>
      <c r="K52" s="91">
        <v>315786.09999999998</v>
      </c>
      <c r="L52" s="91">
        <f t="shared" ref="L52" si="185">I52+K52+M52</f>
        <v>2143934.96</v>
      </c>
      <c r="M52" s="91">
        <v>385.11</v>
      </c>
      <c r="N52" s="140">
        <v>0</v>
      </c>
      <c r="O52" s="23">
        <v>2723</v>
      </c>
      <c r="P52" s="87">
        <v>6.7000000000000004E-2</v>
      </c>
      <c r="Q52" s="31">
        <v>1064000</v>
      </c>
      <c r="R52" s="93">
        <f t="shared" ref="R52" si="186">Q52*P52</f>
        <v>71288</v>
      </c>
      <c r="S52" s="31">
        <f>23592+3475586.12</f>
        <v>3499178.12</v>
      </c>
      <c r="T52" s="31">
        <v>4055402.54</v>
      </c>
      <c r="U52" s="23">
        <f t="shared" ref="U52" si="187">S52*P52</f>
        <v>234444.93404000002</v>
      </c>
      <c r="V52" s="23">
        <f t="shared" ref="V52" si="188">T52*P52</f>
        <v>271711.97018</v>
      </c>
      <c r="W52" s="24">
        <f t="shared" ref="W52" si="189">K52+M52+O52+R52+U52+N52</f>
        <v>624627.14403999993</v>
      </c>
      <c r="X52" s="86">
        <v>45782</v>
      </c>
      <c r="Y52" s="86">
        <v>45783</v>
      </c>
      <c r="Z52" s="32">
        <v>45794</v>
      </c>
      <c r="AA52" s="32">
        <v>45798</v>
      </c>
      <c r="AB52" s="32">
        <v>45798</v>
      </c>
      <c r="AC52" s="94" t="s">
        <v>138</v>
      </c>
    </row>
    <row r="53" spans="1:29" x14ac:dyDescent="0.35">
      <c r="A53" s="2">
        <v>52</v>
      </c>
      <c r="B53" s="2" t="s">
        <v>13</v>
      </c>
      <c r="C53" s="3" t="s">
        <v>316</v>
      </c>
      <c r="D53" s="148" t="s">
        <v>56</v>
      </c>
      <c r="E53" s="148" t="s">
        <v>319</v>
      </c>
      <c r="F53" s="90" t="s">
        <v>320</v>
      </c>
      <c r="G53" s="84" t="s">
        <v>318</v>
      </c>
      <c r="H53" s="89" t="s">
        <v>322</v>
      </c>
      <c r="I53" s="91">
        <v>990555.06</v>
      </c>
      <c r="J53" s="92">
        <v>3300</v>
      </c>
      <c r="K53" s="91">
        <v>127289.25</v>
      </c>
      <c r="L53" s="91">
        <f>I53+K53+M53</f>
        <v>1117998.6000000001</v>
      </c>
      <c r="M53" s="91">
        <v>154.29</v>
      </c>
      <c r="N53" s="140">
        <v>0</v>
      </c>
      <c r="O53" s="23">
        <v>3550</v>
      </c>
      <c r="P53" s="87">
        <v>6.7000000000000004E-2</v>
      </c>
      <c r="Q53" s="31">
        <f t="shared" si="177"/>
        <v>704000</v>
      </c>
      <c r="R53" s="93">
        <f>Q53*P53</f>
        <v>47168</v>
      </c>
      <c r="S53" s="31">
        <f>23592+1447564.62</f>
        <v>1471156.62</v>
      </c>
      <c r="T53" s="31">
        <v>2021221.92</v>
      </c>
      <c r="U53" s="23">
        <f>S53*P53</f>
        <v>98567.49354000001</v>
      </c>
      <c r="V53" s="23">
        <f>T53*P53</f>
        <v>135421.86864</v>
      </c>
      <c r="W53" s="24">
        <f>K53+M53+O53+R53+U53+N53</f>
        <v>276729.03353999997</v>
      </c>
      <c r="X53" s="1">
        <v>45762</v>
      </c>
      <c r="Y53" s="1">
        <v>45762</v>
      </c>
      <c r="Z53" s="144">
        <v>45811</v>
      </c>
      <c r="AA53" s="144">
        <v>45813</v>
      </c>
      <c r="AB53" s="144">
        <v>45813</v>
      </c>
      <c r="AC53" s="146" t="s">
        <v>138</v>
      </c>
    </row>
    <row r="54" spans="1:29" ht="15.75" customHeight="1" x14ac:dyDescent="0.35">
      <c r="A54" s="2">
        <v>53</v>
      </c>
      <c r="B54" s="2" t="s">
        <v>13</v>
      </c>
      <c r="C54" s="3" t="s">
        <v>317</v>
      </c>
      <c r="D54" s="149"/>
      <c r="E54" s="149"/>
      <c r="F54" s="90">
        <v>15</v>
      </c>
      <c r="G54" s="89" t="s">
        <v>321</v>
      </c>
      <c r="H54" s="89" t="s">
        <v>323</v>
      </c>
      <c r="I54" s="91">
        <v>932724.49</v>
      </c>
      <c r="J54" s="92">
        <v>5000</v>
      </c>
      <c r="K54" s="91">
        <v>193561.5</v>
      </c>
      <c r="L54" s="91">
        <f t="shared" ref="L54:L55" si="190">I54+K54+M54</f>
        <v>1126518.26</v>
      </c>
      <c r="M54" s="91">
        <v>232.27</v>
      </c>
      <c r="N54" s="140">
        <v>0</v>
      </c>
      <c r="O54" s="23">
        <v>2638</v>
      </c>
      <c r="P54" s="87">
        <v>6.7000000000000004E-2</v>
      </c>
      <c r="Q54" s="31">
        <f t="shared" si="177"/>
        <v>704000</v>
      </c>
      <c r="R54" s="93">
        <f t="shared" ref="R54:R55" si="191">Q54*P54</f>
        <v>47168</v>
      </c>
      <c r="S54" s="31">
        <f>23592+1289637.51</f>
        <v>1313229.51</v>
      </c>
      <c r="T54" s="31">
        <v>2034516.91</v>
      </c>
      <c r="U54" s="23">
        <f t="shared" ref="U54:U55" si="192">S54*P54</f>
        <v>87986.377170000007</v>
      </c>
      <c r="V54" s="23">
        <f t="shared" ref="V54:V55" si="193">T54*P54</f>
        <v>136312.63297000001</v>
      </c>
      <c r="W54" s="24">
        <f t="shared" ref="W54:W55" si="194">K54+M54+O54+R54+U54+N54</f>
        <v>331586.14717000001</v>
      </c>
      <c r="X54" s="1">
        <v>45761</v>
      </c>
      <c r="Y54" s="1">
        <v>45761</v>
      </c>
      <c r="Z54" s="145"/>
      <c r="AA54" s="145"/>
      <c r="AB54" s="145"/>
      <c r="AC54" s="147"/>
    </row>
    <row r="55" spans="1:29" x14ac:dyDescent="0.35">
      <c r="A55" s="2">
        <v>54</v>
      </c>
      <c r="B55" s="2" t="s">
        <v>13</v>
      </c>
      <c r="C55" s="2" t="s">
        <v>326</v>
      </c>
      <c r="D55" s="2" t="s">
        <v>56</v>
      </c>
      <c r="E55" s="118" t="s">
        <v>327</v>
      </c>
      <c r="F55" s="2" t="s">
        <v>328</v>
      </c>
      <c r="G55" s="84" t="s">
        <v>329</v>
      </c>
      <c r="H55" s="89" t="s">
        <v>330</v>
      </c>
      <c r="I55" s="91">
        <v>1477590.88</v>
      </c>
      <c r="J55" s="92">
        <v>8200</v>
      </c>
      <c r="K55" s="91">
        <v>317921.38</v>
      </c>
      <c r="L55" s="91">
        <f t="shared" si="190"/>
        <v>1795899.9699999997</v>
      </c>
      <c r="M55" s="91">
        <v>387.71</v>
      </c>
      <c r="N55" s="140">
        <v>750</v>
      </c>
      <c r="O55" s="23">
        <f>3051</f>
        <v>3051</v>
      </c>
      <c r="P55" s="87">
        <v>6.7000000000000004E-2</v>
      </c>
      <c r="Q55" s="31">
        <f t="shared" si="177"/>
        <v>704000</v>
      </c>
      <c r="R55" s="93">
        <f t="shared" si="191"/>
        <v>47168</v>
      </c>
      <c r="S55" s="31">
        <f>23592+2613987.26</f>
        <v>2637579.2599999998</v>
      </c>
      <c r="T55" s="31">
        <v>3379017.06</v>
      </c>
      <c r="U55" s="23">
        <f t="shared" si="192"/>
        <v>176717.81041999999</v>
      </c>
      <c r="V55" s="23">
        <f t="shared" si="193"/>
        <v>226394.14302000002</v>
      </c>
      <c r="W55" s="24">
        <f t="shared" si="194"/>
        <v>545995.90042000008</v>
      </c>
      <c r="X55" s="86">
        <v>45797</v>
      </c>
      <c r="Y55" s="86">
        <v>45798</v>
      </c>
      <c r="Z55" s="32">
        <v>45812</v>
      </c>
      <c r="AA55" s="32">
        <v>45815</v>
      </c>
      <c r="AB55" s="32">
        <v>45815</v>
      </c>
      <c r="AC55" s="94" t="s">
        <v>138</v>
      </c>
    </row>
    <row r="56" spans="1:29" x14ac:dyDescent="0.35">
      <c r="A56" s="2">
        <v>55</v>
      </c>
      <c r="B56" s="2" t="s">
        <v>13</v>
      </c>
      <c r="C56" s="2" t="s">
        <v>331</v>
      </c>
      <c r="D56" s="2" t="s">
        <v>56</v>
      </c>
      <c r="E56" s="118" t="s">
        <v>333</v>
      </c>
      <c r="F56" s="2">
        <v>12</v>
      </c>
      <c r="G56" s="84" t="s">
        <v>334</v>
      </c>
      <c r="H56" s="113" t="s">
        <v>332</v>
      </c>
      <c r="I56" s="91">
        <v>566010</v>
      </c>
      <c r="J56" s="92">
        <v>8200</v>
      </c>
      <c r="K56" s="91">
        <v>317921.38</v>
      </c>
      <c r="L56" s="91">
        <f t="shared" ref="L56" si="195">I56+K56+M56</f>
        <v>884319.09</v>
      </c>
      <c r="M56" s="91">
        <v>387.71</v>
      </c>
      <c r="N56" s="140">
        <v>0</v>
      </c>
      <c r="O56" s="23">
        <v>2515</v>
      </c>
      <c r="P56" s="87">
        <v>6.7000000000000004E-2</v>
      </c>
      <c r="Q56" s="31">
        <f t="shared" si="177"/>
        <v>704000</v>
      </c>
      <c r="R56" s="93">
        <f t="shared" ref="R56" si="196">Q56*P56</f>
        <v>47168</v>
      </c>
      <c r="S56" s="31">
        <f>23592+1244895.98</f>
        <v>1268487.98</v>
      </c>
      <c r="T56" s="31">
        <v>1540245.81</v>
      </c>
      <c r="U56" s="23">
        <f t="shared" ref="U56" si="197">S56*P56</f>
        <v>84988.694660000008</v>
      </c>
      <c r="V56" s="23">
        <f t="shared" ref="V56" si="198">T56*P56</f>
        <v>103196.46927000002</v>
      </c>
      <c r="W56" s="24">
        <f t="shared" ref="W56" si="199">K56+M56+O56+R56+U56+N56</f>
        <v>452980.78466</v>
      </c>
      <c r="X56" s="86">
        <v>45798</v>
      </c>
      <c r="Y56" s="86">
        <v>45799</v>
      </c>
      <c r="Z56" s="32">
        <v>45811</v>
      </c>
      <c r="AA56" s="32">
        <v>45813</v>
      </c>
      <c r="AB56" s="32">
        <v>45813</v>
      </c>
      <c r="AC56" s="94" t="s">
        <v>138</v>
      </c>
    </row>
    <row r="57" spans="1:29" x14ac:dyDescent="0.35">
      <c r="A57" s="2">
        <v>56</v>
      </c>
      <c r="B57" s="2" t="s">
        <v>13</v>
      </c>
      <c r="C57" s="3" t="s">
        <v>335</v>
      </c>
      <c r="D57" s="148" t="s">
        <v>56</v>
      </c>
      <c r="E57" s="148" t="s">
        <v>120</v>
      </c>
      <c r="F57" s="90">
        <v>24</v>
      </c>
      <c r="G57" s="84" t="s">
        <v>337</v>
      </c>
      <c r="H57" s="89" t="s">
        <v>340</v>
      </c>
      <c r="I57" s="91">
        <v>1260248.68</v>
      </c>
      <c r="J57" s="92">
        <v>7000</v>
      </c>
      <c r="K57" s="91">
        <v>271575.5</v>
      </c>
      <c r="L57" s="91">
        <f>I57+K57+M57</f>
        <v>1532134.55</v>
      </c>
      <c r="M57" s="91">
        <v>310.37</v>
      </c>
      <c r="N57" s="140">
        <v>0</v>
      </c>
      <c r="O57" s="23">
        <v>2764</v>
      </c>
      <c r="P57" s="87">
        <v>6.7000000000000004E-2</v>
      </c>
      <c r="Q57" s="31">
        <f t="shared" si="177"/>
        <v>704000</v>
      </c>
      <c r="R57" s="93">
        <f>Q57*P57</f>
        <v>47168</v>
      </c>
      <c r="S57" s="31">
        <f>23592+1501071.07</f>
        <v>1524663.07</v>
      </c>
      <c r="T57" s="31">
        <v>2587798.04</v>
      </c>
      <c r="U57" s="23">
        <f>S57*P57</f>
        <v>102152.42569</v>
      </c>
      <c r="V57" s="23">
        <f>T57*P57</f>
        <v>173382.46868000002</v>
      </c>
      <c r="W57" s="24">
        <f>K57+M57+O57+R57+U57+N57</f>
        <v>423970.29569</v>
      </c>
      <c r="X57" s="1">
        <v>45799</v>
      </c>
      <c r="Y57" s="1">
        <v>45800</v>
      </c>
      <c r="Z57" s="144">
        <v>45811</v>
      </c>
      <c r="AA57" s="144">
        <v>45812</v>
      </c>
      <c r="AB57" s="144">
        <v>45812</v>
      </c>
      <c r="AC57" s="146" t="s">
        <v>138</v>
      </c>
    </row>
    <row r="58" spans="1:29" ht="15.75" customHeight="1" x14ac:dyDescent="0.35">
      <c r="A58" s="2">
        <v>57</v>
      </c>
      <c r="B58" s="2" t="s">
        <v>13</v>
      </c>
      <c r="C58" s="3" t="s">
        <v>336</v>
      </c>
      <c r="D58" s="149"/>
      <c r="E58" s="149"/>
      <c r="F58" s="90">
        <v>50</v>
      </c>
      <c r="G58" s="84" t="s">
        <v>338</v>
      </c>
      <c r="H58" s="113" t="s">
        <v>339</v>
      </c>
      <c r="I58" s="91">
        <v>268340</v>
      </c>
      <c r="J58" s="92">
        <v>1200</v>
      </c>
      <c r="K58" s="91">
        <v>46555.8</v>
      </c>
      <c r="L58" s="91">
        <f t="shared" ref="L58" si="200">I58+K58+M58</f>
        <v>314973.39</v>
      </c>
      <c r="M58" s="91">
        <v>77.59</v>
      </c>
      <c r="N58" s="140">
        <v>0</v>
      </c>
      <c r="O58" s="23">
        <v>2515</v>
      </c>
      <c r="P58" s="87">
        <v>6.7000000000000004E-2</v>
      </c>
      <c r="Q58" s="31">
        <f t="shared" si="177"/>
        <v>704000</v>
      </c>
      <c r="R58" s="93">
        <f t="shared" ref="R58" si="201">Q58*P58</f>
        <v>47168</v>
      </c>
      <c r="S58" s="31">
        <f>23592+552645.65</f>
        <v>576237.65</v>
      </c>
      <c r="T58" s="31">
        <v>563530.72</v>
      </c>
      <c r="U58" s="23">
        <f t="shared" ref="U58" si="202">S58*P58</f>
        <v>38607.922550000003</v>
      </c>
      <c r="V58" s="23">
        <f t="shared" ref="V58" si="203">T58*P58</f>
        <v>37756.558239999998</v>
      </c>
      <c r="W58" s="24">
        <f t="shared" ref="W58" si="204">K58+M58+O58+R58+U58+N58</f>
        <v>134924.31255</v>
      </c>
      <c r="X58" s="1">
        <v>45799</v>
      </c>
      <c r="Y58" s="1">
        <v>45800</v>
      </c>
      <c r="Z58" s="145"/>
      <c r="AA58" s="145"/>
      <c r="AB58" s="145"/>
      <c r="AC58" s="147"/>
    </row>
    <row r="59" spans="1:29" ht="15.75" customHeight="1" x14ac:dyDescent="0.35">
      <c r="A59" s="2">
        <v>58</v>
      </c>
      <c r="B59" s="2" t="s">
        <v>13</v>
      </c>
      <c r="C59" s="3" t="s">
        <v>345</v>
      </c>
      <c r="D59" s="2" t="s">
        <v>56</v>
      </c>
      <c r="E59" s="16" t="s">
        <v>203</v>
      </c>
      <c r="F59" s="90" t="s">
        <v>347</v>
      </c>
      <c r="G59" s="84" t="s">
        <v>346</v>
      </c>
      <c r="H59" s="97" t="s">
        <v>348</v>
      </c>
      <c r="I59" s="91">
        <v>1953871.27</v>
      </c>
      <c r="J59" s="92">
        <v>8200</v>
      </c>
      <c r="K59" s="91">
        <v>320743.82</v>
      </c>
      <c r="L59" s="91">
        <f t="shared" ref="L59" si="205">I59+K59+M59</f>
        <v>2275006.2399999998</v>
      </c>
      <c r="M59" s="91">
        <v>391.15</v>
      </c>
      <c r="N59" s="140">
        <v>450</v>
      </c>
      <c r="O59" s="23">
        <v>3051</v>
      </c>
      <c r="P59" s="87">
        <v>6.7000000000000004E-2</v>
      </c>
      <c r="Q59" s="31">
        <f>1408000</f>
        <v>1408000</v>
      </c>
      <c r="R59" s="93">
        <f t="shared" ref="R59" si="206">Q59*P59</f>
        <v>94336</v>
      </c>
      <c r="S59" s="31">
        <f>(23592*2)+(2051021.39+1047590.64)</f>
        <v>3145796.03</v>
      </c>
      <c r="T59" s="31">
        <f>2798861.8+1273298.38</f>
        <v>4072160.1799999997</v>
      </c>
      <c r="U59" s="23">
        <f t="shared" ref="U59" si="207">S59*P59</f>
        <v>210768.33400999999</v>
      </c>
      <c r="V59" s="23">
        <f t="shared" ref="V59" si="208">T59*P59</f>
        <v>272834.73206000001</v>
      </c>
      <c r="W59" s="24">
        <f t="shared" ref="W59" si="209">K59+M59+O59+R59+U59+N59</f>
        <v>629740.30401000008</v>
      </c>
      <c r="X59" s="1">
        <v>45810</v>
      </c>
      <c r="Y59" s="1">
        <v>45811</v>
      </c>
      <c r="Z59" s="1">
        <v>45833</v>
      </c>
      <c r="AA59" s="32">
        <v>45838</v>
      </c>
      <c r="AB59" s="32">
        <v>45838</v>
      </c>
      <c r="AC59" s="94" t="s">
        <v>138</v>
      </c>
    </row>
    <row r="60" spans="1:29" ht="15.75" customHeight="1" x14ac:dyDescent="0.35">
      <c r="A60" s="2">
        <v>59</v>
      </c>
      <c r="B60" s="2" t="s">
        <v>13</v>
      </c>
      <c r="C60" s="3" t="s">
        <v>341</v>
      </c>
      <c r="D60" s="2" t="s">
        <v>56</v>
      </c>
      <c r="E60" s="16" t="s">
        <v>342</v>
      </c>
      <c r="F60" s="90">
        <v>430</v>
      </c>
      <c r="G60" s="84" t="s">
        <v>343</v>
      </c>
      <c r="H60" s="113" t="s">
        <v>344</v>
      </c>
      <c r="I60" s="91">
        <v>2862084.1</v>
      </c>
      <c r="J60" s="92">
        <v>8200</v>
      </c>
      <c r="K60" s="91">
        <v>320743.82</v>
      </c>
      <c r="L60" s="91">
        <f t="shared" ref="L60" si="210">I60+K60+M60</f>
        <v>3183219.07</v>
      </c>
      <c r="M60" s="91">
        <v>391.15</v>
      </c>
      <c r="N60" s="140">
        <v>0</v>
      </c>
      <c r="O60" s="23">
        <v>3048</v>
      </c>
      <c r="P60" s="87">
        <v>6.7000000000000004E-2</v>
      </c>
      <c r="Q60" s="31">
        <f t="shared" si="177"/>
        <v>704000</v>
      </c>
      <c r="R60" s="93">
        <f t="shared" ref="R60" si="211">Q60*P60</f>
        <v>47168</v>
      </c>
      <c r="S60" s="31">
        <f>23592+5032982.35</f>
        <v>5056574.3499999996</v>
      </c>
      <c r="T60" s="31">
        <v>5576430.4900000002</v>
      </c>
      <c r="U60" s="23">
        <f t="shared" ref="U60" si="212">S60*P60</f>
        <v>338790.48145000002</v>
      </c>
      <c r="V60" s="23">
        <f t="shared" ref="V60" si="213">T60*P60</f>
        <v>373620.84283000004</v>
      </c>
      <c r="W60" s="24">
        <f t="shared" ref="W60" si="214">K60+M60+O60+R60+U60+N60</f>
        <v>710141.45145000005</v>
      </c>
      <c r="X60" s="1">
        <v>45810</v>
      </c>
      <c r="Y60" s="1">
        <v>45811</v>
      </c>
      <c r="Z60" s="1">
        <v>45824</v>
      </c>
      <c r="AA60" s="1">
        <v>45825</v>
      </c>
      <c r="AB60" s="1">
        <v>45825</v>
      </c>
      <c r="AC60" s="94" t="s">
        <v>138</v>
      </c>
    </row>
    <row r="61" spans="1:29" ht="15.75" customHeight="1" x14ac:dyDescent="0.35">
      <c r="A61" s="2">
        <v>60</v>
      </c>
      <c r="B61" s="2" t="s">
        <v>13</v>
      </c>
      <c r="C61" s="3" t="s">
        <v>349</v>
      </c>
      <c r="D61" s="2" t="s">
        <v>56</v>
      </c>
      <c r="E61" s="16" t="s">
        <v>351</v>
      </c>
      <c r="F61" s="90">
        <v>62</v>
      </c>
      <c r="G61" s="84" t="s">
        <v>352</v>
      </c>
      <c r="H61" s="113" t="s">
        <v>350</v>
      </c>
      <c r="I61" s="91">
        <v>236006</v>
      </c>
      <c r="J61" s="92">
        <v>8200</v>
      </c>
      <c r="K61" s="91">
        <v>320454.36</v>
      </c>
      <c r="L61" s="91">
        <f t="shared" ref="L61" si="215">I61+K61+M61</f>
        <v>556851.16</v>
      </c>
      <c r="M61" s="91">
        <v>390.8</v>
      </c>
      <c r="N61" s="140">
        <v>0</v>
      </c>
      <c r="O61" s="23">
        <v>2515</v>
      </c>
      <c r="P61" s="87">
        <v>6.7000000000000004E-2</v>
      </c>
      <c r="Q61" s="31">
        <v>1084000</v>
      </c>
      <c r="R61" s="93">
        <f t="shared" ref="R61" si="216">Q61*P61</f>
        <v>72628</v>
      </c>
      <c r="S61" s="31">
        <f>23592+667334.71</f>
        <v>690926.71</v>
      </c>
      <c r="T61" s="31">
        <v>952267.24</v>
      </c>
      <c r="U61" s="23">
        <f t="shared" ref="U61" si="217">S61*P61</f>
        <v>46292.089570000004</v>
      </c>
      <c r="V61" s="23">
        <f t="shared" ref="V61" si="218">T61*P61</f>
        <v>63801.905080000004</v>
      </c>
      <c r="W61" s="24">
        <f t="shared" ref="W61" si="219">K61+M61+O61+R61+U61+N61</f>
        <v>442280.24956999999</v>
      </c>
      <c r="X61" s="1">
        <v>45811</v>
      </c>
      <c r="Y61" s="1">
        <v>45812</v>
      </c>
      <c r="Z61" s="1">
        <v>45824</v>
      </c>
      <c r="AA61" s="1">
        <v>45828</v>
      </c>
      <c r="AB61" s="1">
        <v>45828</v>
      </c>
      <c r="AC61" s="94" t="s">
        <v>138</v>
      </c>
    </row>
    <row r="62" spans="1:29" ht="15.75" customHeight="1" x14ac:dyDescent="0.35">
      <c r="A62" s="2">
        <v>61</v>
      </c>
      <c r="B62" s="2" t="s">
        <v>13</v>
      </c>
      <c r="C62" s="3" t="s">
        <v>353</v>
      </c>
      <c r="D62" s="2" t="s">
        <v>56</v>
      </c>
      <c r="E62" s="16" t="s">
        <v>354</v>
      </c>
      <c r="F62" s="90">
        <v>26</v>
      </c>
      <c r="G62" s="84" t="s">
        <v>355</v>
      </c>
      <c r="H62" s="97" t="s">
        <v>356</v>
      </c>
      <c r="I62" s="91">
        <v>1499068.69</v>
      </c>
      <c r="J62" s="92">
        <v>8200</v>
      </c>
      <c r="K62" s="91">
        <v>320454.36</v>
      </c>
      <c r="L62" s="91">
        <f t="shared" ref="L62:L63" si="220">I62+K62+M62</f>
        <v>1819913.8499999999</v>
      </c>
      <c r="M62" s="91">
        <v>390.8</v>
      </c>
      <c r="N62" s="140">
        <v>0</v>
      </c>
      <c r="O62" s="23">
        <v>2887</v>
      </c>
      <c r="P62" s="87">
        <v>6.7000000000000004E-2</v>
      </c>
      <c r="Q62" s="31">
        <f t="shared" ref="Q62:Q67" si="221">1408000/2</f>
        <v>704000</v>
      </c>
      <c r="R62" s="93">
        <f t="shared" ref="R62:R63" si="222">Q62*P62</f>
        <v>47168</v>
      </c>
      <c r="S62" s="31">
        <f>23592+2185330.47</f>
        <v>2208922.4700000002</v>
      </c>
      <c r="T62" s="31">
        <v>3246117.4</v>
      </c>
      <c r="U62" s="23">
        <f t="shared" ref="U62:U63" si="223">S62*P62</f>
        <v>147997.80549000003</v>
      </c>
      <c r="V62" s="23">
        <f t="shared" ref="V62:V63" si="224">T62*P62</f>
        <v>217489.8658</v>
      </c>
      <c r="W62" s="24">
        <f t="shared" ref="W62:W63" si="225">K62+M62+O62+R62+U62+N62</f>
        <v>518897.96548999997</v>
      </c>
      <c r="X62" s="1">
        <v>45812</v>
      </c>
      <c r="Y62" s="1">
        <v>45813</v>
      </c>
      <c r="Z62" s="1">
        <v>45824</v>
      </c>
      <c r="AA62" s="1">
        <v>45825</v>
      </c>
      <c r="AB62" s="1">
        <v>45826</v>
      </c>
      <c r="AC62" s="94" t="s">
        <v>138</v>
      </c>
    </row>
    <row r="63" spans="1:29" ht="15.75" customHeight="1" x14ac:dyDescent="0.35">
      <c r="A63" s="2">
        <v>62</v>
      </c>
      <c r="B63" s="2" t="s">
        <v>13</v>
      </c>
      <c r="C63" s="3" t="s">
        <v>357</v>
      </c>
      <c r="D63" s="2" t="s">
        <v>56</v>
      </c>
      <c r="E63" s="16" t="s">
        <v>359</v>
      </c>
      <c r="F63" s="90" t="s">
        <v>360</v>
      </c>
      <c r="G63" s="84" t="s">
        <v>358</v>
      </c>
      <c r="H63" s="97" t="s">
        <v>361</v>
      </c>
      <c r="I63" s="91">
        <v>2415392.2799999998</v>
      </c>
      <c r="J63" s="92">
        <v>8200</v>
      </c>
      <c r="K63" s="91">
        <v>322432.2</v>
      </c>
      <c r="L63" s="91">
        <f t="shared" si="220"/>
        <v>2738217.69</v>
      </c>
      <c r="M63" s="91">
        <v>393.21</v>
      </c>
      <c r="N63" s="140">
        <v>300</v>
      </c>
      <c r="O63" s="23">
        <v>3092</v>
      </c>
      <c r="P63" s="87">
        <v>6.7000000000000004E-2</v>
      </c>
      <c r="Q63" s="31">
        <f t="shared" si="221"/>
        <v>704000</v>
      </c>
      <c r="R63" s="93">
        <f t="shared" si="222"/>
        <v>47168</v>
      </c>
      <c r="S63" s="31">
        <f>23592+4067168.82</f>
        <v>4090760.82</v>
      </c>
      <c r="T63" s="31">
        <v>4890471.34</v>
      </c>
      <c r="U63" s="23">
        <f t="shared" si="223"/>
        <v>274080.97493999999</v>
      </c>
      <c r="V63" s="23">
        <f t="shared" si="224"/>
        <v>327661.57978000003</v>
      </c>
      <c r="W63" s="24">
        <f t="shared" si="225"/>
        <v>647466.38494000002</v>
      </c>
      <c r="X63" s="1">
        <v>45824</v>
      </c>
      <c r="Y63" s="1">
        <v>45825</v>
      </c>
      <c r="Z63" s="1">
        <v>45837</v>
      </c>
      <c r="AA63" s="1">
        <v>45841</v>
      </c>
      <c r="AB63" s="1">
        <v>45841</v>
      </c>
      <c r="AC63" s="94" t="s">
        <v>138</v>
      </c>
    </row>
    <row r="64" spans="1:29" x14ac:dyDescent="0.35">
      <c r="A64" s="2">
        <v>63</v>
      </c>
      <c r="B64" s="2" t="s">
        <v>13</v>
      </c>
      <c r="C64" s="3" t="s">
        <v>362</v>
      </c>
      <c r="D64" s="148" t="s">
        <v>56</v>
      </c>
      <c r="E64" s="148" t="s">
        <v>116</v>
      </c>
      <c r="F64" s="90" t="s">
        <v>365</v>
      </c>
      <c r="G64" s="84" t="s">
        <v>364</v>
      </c>
      <c r="H64" s="89" t="s">
        <v>366</v>
      </c>
      <c r="I64" s="91">
        <v>466895.88</v>
      </c>
      <c r="J64" s="92">
        <v>2500</v>
      </c>
      <c r="K64" s="91">
        <v>98302.5</v>
      </c>
      <c r="L64" s="91">
        <f>I64+K64+M64</f>
        <v>565316.34</v>
      </c>
      <c r="M64" s="91">
        <v>117.96</v>
      </c>
      <c r="N64" s="140">
        <v>300</v>
      </c>
      <c r="O64" s="23">
        <v>3550</v>
      </c>
      <c r="P64" s="87">
        <v>6.7000000000000004E-2</v>
      </c>
      <c r="Q64" s="31">
        <f t="shared" si="221"/>
        <v>704000</v>
      </c>
      <c r="R64" s="93">
        <f>Q64*P64</f>
        <v>47168</v>
      </c>
      <c r="S64" s="31">
        <f>23592+903769.9</f>
        <v>927361.9</v>
      </c>
      <c r="T64" s="31">
        <v>1002652.57</v>
      </c>
      <c r="U64" s="23">
        <f>S64*P64</f>
        <v>62133.247300000003</v>
      </c>
      <c r="V64" s="23">
        <f>T64*P64</f>
        <v>67177.72219</v>
      </c>
      <c r="W64" s="24">
        <f>K64+M64+O64+R64+U64+N64</f>
        <v>211571.70730000001</v>
      </c>
      <c r="X64" s="1">
        <v>45827</v>
      </c>
      <c r="Y64" s="1">
        <v>45827</v>
      </c>
      <c r="Z64" s="144">
        <v>45845</v>
      </c>
      <c r="AA64" s="144">
        <v>45849</v>
      </c>
      <c r="AB64" s="144">
        <v>45849</v>
      </c>
      <c r="AC64" s="146" t="s">
        <v>138</v>
      </c>
    </row>
    <row r="65" spans="1:29" ht="15.75" customHeight="1" x14ac:dyDescent="0.35">
      <c r="A65" s="2">
        <v>64</v>
      </c>
      <c r="B65" s="2" t="s">
        <v>13</v>
      </c>
      <c r="C65" s="3" t="s">
        <v>363</v>
      </c>
      <c r="D65" s="149"/>
      <c r="E65" s="149"/>
      <c r="F65" s="90" t="s">
        <v>368</v>
      </c>
      <c r="G65" s="84" t="s">
        <v>367</v>
      </c>
      <c r="H65" s="97" t="s">
        <v>369</v>
      </c>
      <c r="I65" s="91">
        <v>1518352.25</v>
      </c>
      <c r="J65" s="92">
        <v>5800</v>
      </c>
      <c r="K65" s="91">
        <v>228652.82</v>
      </c>
      <c r="L65" s="91">
        <f t="shared" ref="L65" si="226">I65+K65+M65</f>
        <v>1747281.03</v>
      </c>
      <c r="M65" s="91">
        <v>275.95999999999998</v>
      </c>
      <c r="N65" s="140">
        <v>0</v>
      </c>
      <c r="O65" s="23">
        <v>2764</v>
      </c>
      <c r="P65" s="87">
        <v>6.7000000000000004E-2</v>
      </c>
      <c r="Q65" s="31">
        <f t="shared" si="221"/>
        <v>704000</v>
      </c>
      <c r="R65" s="93">
        <f t="shared" ref="R65" si="227">Q65*P65</f>
        <v>47168</v>
      </c>
      <c r="S65" s="31">
        <f>23592+2839779.26</f>
        <v>2863371.26</v>
      </c>
      <c r="T65" s="31">
        <v>3260533.55</v>
      </c>
      <c r="U65" s="23">
        <f t="shared" ref="U65" si="228">S65*P65</f>
        <v>191845.87442000001</v>
      </c>
      <c r="V65" s="23">
        <f t="shared" ref="V65" si="229">T65*P65</f>
        <v>218455.74785000001</v>
      </c>
      <c r="W65" s="24">
        <f t="shared" ref="W65" si="230">K65+M65+O65+R65+U65+N65</f>
        <v>470706.65442000004</v>
      </c>
      <c r="X65" s="1">
        <v>45825</v>
      </c>
      <c r="Y65" s="1">
        <v>45826</v>
      </c>
      <c r="Z65" s="145"/>
      <c r="AA65" s="145"/>
      <c r="AB65" s="145"/>
      <c r="AC65" s="147"/>
    </row>
    <row r="66" spans="1:29" ht="14.5" customHeight="1" x14ac:dyDescent="0.35">
      <c r="A66" s="2">
        <v>65</v>
      </c>
      <c r="B66" s="2" t="s">
        <v>13</v>
      </c>
      <c r="C66" s="3" t="s">
        <v>378</v>
      </c>
      <c r="D66" s="148" t="s">
        <v>56</v>
      </c>
      <c r="E66" s="148" t="s">
        <v>380</v>
      </c>
      <c r="F66" s="90" t="s">
        <v>382</v>
      </c>
      <c r="G66" s="84" t="s">
        <v>381</v>
      </c>
      <c r="H66" s="119" t="s">
        <v>385</v>
      </c>
      <c r="I66" s="91">
        <v>217214.4</v>
      </c>
      <c r="J66" s="92">
        <v>1500</v>
      </c>
      <c r="K66" s="91">
        <v>59311.5</v>
      </c>
      <c r="L66" s="91">
        <f>I66+K66+M66</f>
        <v>276604.98000000004</v>
      </c>
      <c r="M66" s="91">
        <v>79.08</v>
      </c>
      <c r="N66" s="140">
        <v>600</v>
      </c>
      <c r="O66" s="23">
        <v>3550</v>
      </c>
      <c r="P66" s="87">
        <v>6.7000000000000004E-2</v>
      </c>
      <c r="Q66" s="31">
        <f t="shared" si="221"/>
        <v>704000</v>
      </c>
      <c r="R66" s="93">
        <f>Q66*P66</f>
        <v>47168</v>
      </c>
      <c r="S66" s="31">
        <f>23592+395253.4</f>
        <v>418845.4</v>
      </c>
      <c r="T66" s="31">
        <v>489399.53</v>
      </c>
      <c r="U66" s="23">
        <f>S66*P66</f>
        <v>28062.641800000005</v>
      </c>
      <c r="V66" s="23">
        <f>T66*P66</f>
        <v>32789.768510000002</v>
      </c>
      <c r="W66" s="24">
        <f>K66+M66+O66+R66+U66+N66</f>
        <v>138771.2218</v>
      </c>
      <c r="X66" s="1">
        <v>45838</v>
      </c>
      <c r="Y66" s="1">
        <v>45834</v>
      </c>
      <c r="Z66" s="144">
        <v>45854</v>
      </c>
      <c r="AA66" s="144">
        <v>45859</v>
      </c>
      <c r="AB66" s="144">
        <v>45859</v>
      </c>
      <c r="AC66" s="146" t="s">
        <v>138</v>
      </c>
    </row>
    <row r="67" spans="1:29" ht="15.75" customHeight="1" x14ac:dyDescent="0.35">
      <c r="A67" s="2">
        <v>66</v>
      </c>
      <c r="B67" s="2" t="s">
        <v>13</v>
      </c>
      <c r="C67" s="3" t="s">
        <v>379</v>
      </c>
      <c r="D67" s="149"/>
      <c r="E67" s="149"/>
      <c r="F67" s="90" t="s">
        <v>384</v>
      </c>
      <c r="G67" s="84" t="s">
        <v>383</v>
      </c>
      <c r="H67" s="119" t="s">
        <v>386</v>
      </c>
      <c r="I67" s="91">
        <v>1701739.22</v>
      </c>
      <c r="J67" s="92">
        <v>6800</v>
      </c>
      <c r="K67" s="91">
        <v>269952.52</v>
      </c>
      <c r="L67" s="91">
        <f t="shared" ref="L67" si="231">I67+K67+M67</f>
        <v>1972009.33</v>
      </c>
      <c r="M67" s="91">
        <v>317.58999999999997</v>
      </c>
      <c r="N67" s="140">
        <v>600</v>
      </c>
      <c r="O67" s="23">
        <v>2559</v>
      </c>
      <c r="P67" s="87">
        <v>6.7000000000000004E-2</v>
      </c>
      <c r="Q67" s="31">
        <f t="shared" si="221"/>
        <v>704000</v>
      </c>
      <c r="R67" s="93">
        <f t="shared" ref="R67" si="232">Q67*P67</f>
        <v>47168</v>
      </c>
      <c r="S67" s="31">
        <f>23592+2964237.21</f>
        <v>2987829.21</v>
      </c>
      <c r="T67" s="31">
        <v>3618497.32</v>
      </c>
      <c r="U67" s="23">
        <f t="shared" ref="U67" si="233">S67*P67</f>
        <v>200184.55707000001</v>
      </c>
      <c r="V67" s="23">
        <f t="shared" ref="V67" si="234">T67*P67</f>
        <v>242439.32044000001</v>
      </c>
      <c r="W67" s="24">
        <f t="shared" ref="W67" si="235">K67+M67+O67+R67+U67+N67</f>
        <v>520781.66707000008</v>
      </c>
      <c r="X67" s="1">
        <v>45834</v>
      </c>
      <c r="Y67" s="1">
        <v>45835</v>
      </c>
      <c r="Z67" s="145"/>
      <c r="AA67" s="145"/>
      <c r="AB67" s="145"/>
      <c r="AC67" s="147"/>
    </row>
    <row r="68" spans="1:29" x14ac:dyDescent="0.35">
      <c r="A68" s="2">
        <v>67</v>
      </c>
      <c r="B68" s="2" t="s">
        <v>13</v>
      </c>
      <c r="C68" s="3" t="s">
        <v>370</v>
      </c>
      <c r="D68" s="148" t="s">
        <v>56</v>
      </c>
      <c r="E68" s="148" t="s">
        <v>372</v>
      </c>
      <c r="F68" s="90" t="s">
        <v>375</v>
      </c>
      <c r="G68" s="84" t="s">
        <v>373</v>
      </c>
      <c r="H68" s="89" t="s">
        <v>376</v>
      </c>
      <c r="I68" s="91">
        <v>1436860.92</v>
      </c>
      <c r="J68" s="92">
        <v>6000</v>
      </c>
      <c r="K68" s="91">
        <v>237301.2</v>
      </c>
      <c r="L68" s="91">
        <f>I68+K68+M68</f>
        <v>1674399.42</v>
      </c>
      <c r="M68" s="91">
        <v>237.3</v>
      </c>
      <c r="N68" s="140">
        <v>450</v>
      </c>
      <c r="O68" s="23">
        <v>2928</v>
      </c>
      <c r="P68" s="87">
        <v>6.7000000000000004E-2</v>
      </c>
      <c r="Q68" s="31">
        <f t="shared" ref="Q68:Q69" si="236">1408000/2</f>
        <v>704000</v>
      </c>
      <c r="R68" s="93">
        <f>Q68*P68</f>
        <v>47168</v>
      </c>
      <c r="S68" s="31">
        <f>23592+2369949.94</f>
        <v>2393541.94</v>
      </c>
      <c r="T68" s="31">
        <v>3110250.2</v>
      </c>
      <c r="U68" s="23">
        <f>S68*P68</f>
        <v>160367.30998000002</v>
      </c>
      <c r="V68" s="23">
        <f>T68*P68</f>
        <v>208386.76340000003</v>
      </c>
      <c r="W68" s="24">
        <f>K68+M68+O68+R68+U68+N68</f>
        <v>448451.80998000002</v>
      </c>
      <c r="X68" s="1">
        <v>45832</v>
      </c>
      <c r="Y68" s="1">
        <v>45833</v>
      </c>
      <c r="Z68" s="144">
        <v>45848</v>
      </c>
      <c r="AA68" s="144">
        <v>45852</v>
      </c>
      <c r="AB68" s="144">
        <v>45852</v>
      </c>
      <c r="AC68" s="146" t="s">
        <v>138</v>
      </c>
    </row>
    <row r="69" spans="1:29" ht="15.75" customHeight="1" x14ac:dyDescent="0.35">
      <c r="A69" s="2">
        <v>68</v>
      </c>
      <c r="B69" s="2" t="s">
        <v>13</v>
      </c>
      <c r="C69" s="3" t="s">
        <v>371</v>
      </c>
      <c r="D69" s="149"/>
      <c r="E69" s="149"/>
      <c r="F69" s="90">
        <v>7</v>
      </c>
      <c r="G69" s="84" t="s">
        <v>374</v>
      </c>
      <c r="H69" s="113" t="s">
        <v>377</v>
      </c>
      <c r="I69" s="91">
        <v>67666.460000000006</v>
      </c>
      <c r="J69" s="92">
        <v>2300</v>
      </c>
      <c r="K69" s="91">
        <v>90965.46</v>
      </c>
      <c r="L69" s="91">
        <f t="shared" ref="L69" si="237">I69+K69+M69</f>
        <v>158790.12000000002</v>
      </c>
      <c r="M69" s="91">
        <v>158.19999999999999</v>
      </c>
      <c r="N69" s="140">
        <v>0</v>
      </c>
      <c r="O69" s="23">
        <v>2515</v>
      </c>
      <c r="P69" s="87">
        <v>6.7000000000000004E-2</v>
      </c>
      <c r="Q69" s="31">
        <f t="shared" si="236"/>
        <v>704000</v>
      </c>
      <c r="R69" s="93">
        <f t="shared" ref="R69" si="238">Q69*P69</f>
        <v>47168</v>
      </c>
      <c r="S69" s="31">
        <f>23592+154701.26</f>
        <v>178293.26</v>
      </c>
      <c r="T69" s="31">
        <v>268917.2</v>
      </c>
      <c r="U69" s="23">
        <f t="shared" ref="U69" si="239">S69*P69</f>
        <v>11945.648420000001</v>
      </c>
      <c r="V69" s="23">
        <f t="shared" ref="V69" si="240">T69*P69</f>
        <v>18017.452400000002</v>
      </c>
      <c r="W69" s="24">
        <f t="shared" ref="W69" si="241">K69+M69+O69+R69+U69+N69</f>
        <v>152752.30842000002</v>
      </c>
      <c r="X69" s="1">
        <v>45832</v>
      </c>
      <c r="Y69" s="1">
        <v>45833</v>
      </c>
      <c r="Z69" s="145"/>
      <c r="AA69" s="145"/>
      <c r="AB69" s="145"/>
      <c r="AC69" s="147"/>
    </row>
    <row r="70" spans="1:29" x14ac:dyDescent="0.35">
      <c r="A70" s="2">
        <v>69</v>
      </c>
      <c r="B70" s="2" t="s">
        <v>13</v>
      </c>
      <c r="C70" s="3" t="s">
        <v>387</v>
      </c>
      <c r="D70" s="148" t="s">
        <v>56</v>
      </c>
      <c r="E70" s="150" t="s">
        <v>389</v>
      </c>
      <c r="F70" s="90" t="s">
        <v>391</v>
      </c>
      <c r="G70" s="84" t="s">
        <v>390</v>
      </c>
      <c r="H70" s="120" t="s">
        <v>394</v>
      </c>
      <c r="I70" s="91">
        <v>333299.03999999998</v>
      </c>
      <c r="J70" s="92">
        <v>1800</v>
      </c>
      <c r="K70" s="91">
        <v>71823.42</v>
      </c>
      <c r="L70" s="91">
        <f>I70+K70+M70</f>
        <v>405202.25999999995</v>
      </c>
      <c r="M70" s="91">
        <v>79.8</v>
      </c>
      <c r="N70" s="142">
        <v>150</v>
      </c>
      <c r="O70" s="23">
        <f>4260</f>
        <v>4260</v>
      </c>
      <c r="P70" s="87">
        <v>6.7000000000000004E-2</v>
      </c>
      <c r="Q70" s="31">
        <f>704000/2</f>
        <v>352000</v>
      </c>
      <c r="R70" s="93">
        <f>Q70*P70</f>
        <v>23584</v>
      </c>
      <c r="S70" s="31">
        <f>(23592+3286151.15)*0.18</f>
        <v>595753.76699999999</v>
      </c>
      <c r="T70" s="31">
        <f>0.18*4159059.04</f>
        <v>748630.62719999999</v>
      </c>
      <c r="U70" s="23">
        <f>S70*P70</f>
        <v>39915.502389000001</v>
      </c>
      <c r="V70" s="23">
        <f>T70*P70</f>
        <v>50158.252022400004</v>
      </c>
      <c r="W70" s="24">
        <f>K70+M70+O70+R70+U70+N70</f>
        <v>139812.722389</v>
      </c>
      <c r="X70" s="1">
        <v>45848</v>
      </c>
      <c r="Y70" s="1">
        <v>45847</v>
      </c>
      <c r="Z70" s="144">
        <v>45867</v>
      </c>
      <c r="AA70" s="153">
        <v>45873</v>
      </c>
      <c r="AB70" s="153">
        <v>45873</v>
      </c>
      <c r="AC70" s="146" t="s">
        <v>138</v>
      </c>
    </row>
    <row r="71" spans="1:29" ht="15.75" customHeight="1" x14ac:dyDescent="0.35">
      <c r="A71" s="2">
        <v>70</v>
      </c>
      <c r="B71" s="2" t="s">
        <v>13</v>
      </c>
      <c r="C71" s="3" t="s">
        <v>388</v>
      </c>
      <c r="D71" s="149"/>
      <c r="E71" s="151"/>
      <c r="F71" s="90" t="s">
        <v>393</v>
      </c>
      <c r="G71" s="84" t="s">
        <v>392</v>
      </c>
      <c r="H71" s="120" t="s">
        <v>395</v>
      </c>
      <c r="I71" s="91">
        <v>1620481.12</v>
      </c>
      <c r="J71" s="92">
        <v>6500</v>
      </c>
      <c r="K71" s="91">
        <v>259565.8</v>
      </c>
      <c r="L71" s="91">
        <f t="shared" ref="L71:L72" si="242">I71+K71+M71</f>
        <v>1880366.3900000001</v>
      </c>
      <c r="M71" s="91">
        <v>319.47000000000003</v>
      </c>
      <c r="N71" s="143"/>
      <c r="O71" s="23">
        <v>2928</v>
      </c>
      <c r="P71" s="87">
        <v>6.7000000000000004E-2</v>
      </c>
      <c r="Q71" s="31">
        <f>704000/2</f>
        <v>352000</v>
      </c>
      <c r="R71" s="93">
        <f t="shared" ref="R71" si="243">Q71*P71</f>
        <v>23584</v>
      </c>
      <c r="S71" s="31">
        <f>(23592+3286151.15)*0.82</f>
        <v>2713989.3829999999</v>
      </c>
      <c r="T71" s="31">
        <f>0.82*4159059.04</f>
        <v>3410428.4128</v>
      </c>
      <c r="U71" s="23">
        <f t="shared" ref="U71:U72" si="244">S71*P71</f>
        <v>181837.288661</v>
      </c>
      <c r="V71" s="23">
        <f t="shared" ref="V71:V72" si="245">T71*P71</f>
        <v>228498.70365760001</v>
      </c>
      <c r="W71" s="24">
        <f t="shared" ref="W71:W72" si="246">K71+M71+O71+R71+U71+N71</f>
        <v>468234.55866099999</v>
      </c>
      <c r="X71" s="1">
        <v>45846</v>
      </c>
      <c r="Y71" s="1">
        <v>45847</v>
      </c>
      <c r="Z71" s="145"/>
      <c r="AA71" s="155"/>
      <c r="AB71" s="155"/>
      <c r="AC71" s="147"/>
    </row>
    <row r="72" spans="1:29" ht="15.75" customHeight="1" x14ac:dyDescent="0.35">
      <c r="A72" s="2">
        <v>71</v>
      </c>
      <c r="B72" s="2" t="s">
        <v>13</v>
      </c>
      <c r="C72" s="3" t="s">
        <v>396</v>
      </c>
      <c r="D72" s="2" t="s">
        <v>56</v>
      </c>
      <c r="E72" s="16" t="s">
        <v>235</v>
      </c>
      <c r="F72" s="90" t="s">
        <v>398</v>
      </c>
      <c r="G72" s="84" t="s">
        <v>397</v>
      </c>
      <c r="H72" s="97" t="s">
        <v>399</v>
      </c>
      <c r="I72" s="91">
        <v>1534793.19</v>
      </c>
      <c r="J72" s="92">
        <v>8200</v>
      </c>
      <c r="K72" s="91">
        <v>327815.5</v>
      </c>
      <c r="L72" s="91">
        <f t="shared" si="242"/>
        <v>1863008.47</v>
      </c>
      <c r="M72" s="91">
        <v>399.78</v>
      </c>
      <c r="N72" s="140">
        <v>900</v>
      </c>
      <c r="O72" s="23">
        <f>3840+660</f>
        <v>4500</v>
      </c>
      <c r="P72" s="87">
        <v>6.7000000000000004E-2</v>
      </c>
      <c r="Q72" s="31">
        <v>1084000</v>
      </c>
      <c r="R72" s="93">
        <f t="shared" ref="R72" si="247">Q72*P72</f>
        <v>72628</v>
      </c>
      <c r="S72" s="31">
        <f>23592+2563362.17</f>
        <v>2586954.17</v>
      </c>
      <c r="T72" s="31">
        <v>3476257.76</v>
      </c>
      <c r="U72" s="23">
        <f t="shared" si="244"/>
        <v>173325.92939</v>
      </c>
      <c r="V72" s="23">
        <f t="shared" si="245"/>
        <v>232909.26991999999</v>
      </c>
      <c r="W72" s="24">
        <f t="shared" si="246"/>
        <v>579569.20938999997</v>
      </c>
      <c r="X72" s="1">
        <v>45848</v>
      </c>
      <c r="Y72" s="1">
        <v>45849</v>
      </c>
      <c r="Z72" s="1">
        <v>45866</v>
      </c>
      <c r="AA72" s="1">
        <v>45873</v>
      </c>
      <c r="AB72" s="1">
        <v>45873</v>
      </c>
      <c r="AC72" s="94" t="s">
        <v>138</v>
      </c>
    </row>
    <row r="73" spans="1:29" x14ac:dyDescent="0.35">
      <c r="A73" s="2">
        <v>72</v>
      </c>
      <c r="B73" s="2" t="s">
        <v>13</v>
      </c>
      <c r="C73" s="3" t="s">
        <v>400</v>
      </c>
      <c r="D73" s="148" t="s">
        <v>56</v>
      </c>
      <c r="E73" s="150" t="s">
        <v>132</v>
      </c>
      <c r="F73" s="90" t="s">
        <v>403</v>
      </c>
      <c r="G73" s="84" t="s">
        <v>402</v>
      </c>
      <c r="H73" s="120" t="s">
        <v>406</v>
      </c>
      <c r="I73" s="91">
        <v>246650.48</v>
      </c>
      <c r="J73" s="92">
        <v>1500</v>
      </c>
      <c r="K73" s="91">
        <v>60011.4</v>
      </c>
      <c r="L73" s="91">
        <f>I73+K73+M73</f>
        <v>306781.90000000002</v>
      </c>
      <c r="M73" s="91">
        <v>120.02</v>
      </c>
      <c r="N73" s="142">
        <v>300</v>
      </c>
      <c r="O73" s="23">
        <f>3550</f>
        <v>3550</v>
      </c>
      <c r="P73" s="87">
        <v>6.7000000000000004E-2</v>
      </c>
      <c r="Q73" s="31">
        <f t="shared" ref="Q73:Q76" si="248">1408000/2</f>
        <v>704000</v>
      </c>
      <c r="R73" s="93">
        <f>Q73*P73</f>
        <v>47168</v>
      </c>
      <c r="S73" s="31">
        <f>23592+448289.18</f>
        <v>471881.18</v>
      </c>
      <c r="T73" s="31">
        <v>668000.18999999994</v>
      </c>
      <c r="U73" s="23">
        <f>S73*P73</f>
        <v>31616.039060000003</v>
      </c>
      <c r="V73" s="23">
        <f>T73*P73</f>
        <v>44756.012730000002</v>
      </c>
      <c r="W73" s="24">
        <f>K73+M73+O73+R73+U73+N73</f>
        <v>142765.45905999999</v>
      </c>
      <c r="X73" s="1">
        <v>45856</v>
      </c>
      <c r="Y73" s="1">
        <v>45855</v>
      </c>
      <c r="Z73" s="144">
        <v>45873</v>
      </c>
      <c r="AA73" s="144">
        <v>45876</v>
      </c>
      <c r="AB73" s="144">
        <v>45876</v>
      </c>
      <c r="AC73" s="146" t="s">
        <v>138</v>
      </c>
    </row>
    <row r="74" spans="1:29" ht="15.75" customHeight="1" x14ac:dyDescent="0.35">
      <c r="A74" s="2">
        <v>73</v>
      </c>
      <c r="B74" s="2" t="s">
        <v>13</v>
      </c>
      <c r="C74" s="3" t="s">
        <v>401</v>
      </c>
      <c r="D74" s="149"/>
      <c r="E74" s="151"/>
      <c r="F74" s="90" t="s">
        <v>405</v>
      </c>
      <c r="G74" s="84" t="s">
        <v>404</v>
      </c>
      <c r="H74" s="120" t="s">
        <v>407</v>
      </c>
      <c r="I74" s="91">
        <v>1820026.67</v>
      </c>
      <c r="J74" s="92">
        <v>6800</v>
      </c>
      <c r="K74" s="91">
        <v>273114.52</v>
      </c>
      <c r="L74" s="91">
        <f t="shared" ref="L74:L75" si="249">I74+K74+M74</f>
        <v>2093422.3399999999</v>
      </c>
      <c r="M74" s="91">
        <v>281.14999999999998</v>
      </c>
      <c r="N74" s="143"/>
      <c r="O74" s="23">
        <f>4760</f>
        <v>4760</v>
      </c>
      <c r="P74" s="87">
        <v>6.7000000000000004E-2</v>
      </c>
      <c r="Q74" s="31">
        <f t="shared" si="248"/>
        <v>704000</v>
      </c>
      <c r="R74" s="93">
        <f t="shared" ref="R74:R75" si="250">Q74*P74</f>
        <v>47168</v>
      </c>
      <c r="S74" s="31">
        <f>23592+3031493.57</f>
        <v>3055085.57</v>
      </c>
      <c r="T74" s="31">
        <v>3875386.63</v>
      </c>
      <c r="U74" s="23">
        <f t="shared" ref="U74:U75" si="251">S74*P74</f>
        <v>204690.73319</v>
      </c>
      <c r="V74" s="23">
        <f t="shared" ref="V74:V75" si="252">T74*P74</f>
        <v>259650.90421000001</v>
      </c>
      <c r="W74" s="24">
        <f t="shared" ref="W74:W75" si="253">K74+M74+O74+R74+U74+N74</f>
        <v>530014.40318999998</v>
      </c>
      <c r="X74" s="1">
        <v>45854</v>
      </c>
      <c r="Y74" s="1">
        <v>45855</v>
      </c>
      <c r="Z74" s="145"/>
      <c r="AA74" s="145"/>
      <c r="AB74" s="145"/>
      <c r="AC74" s="147"/>
    </row>
    <row r="75" spans="1:29" ht="15.75" customHeight="1" x14ac:dyDescent="0.35">
      <c r="A75" s="2">
        <v>74</v>
      </c>
      <c r="B75" s="2" t="s">
        <v>13</v>
      </c>
      <c r="C75" s="3" t="s">
        <v>408</v>
      </c>
      <c r="D75" s="2" t="s">
        <v>56</v>
      </c>
      <c r="E75" s="16" t="s">
        <v>409</v>
      </c>
      <c r="F75" s="90">
        <v>33</v>
      </c>
      <c r="G75" s="84" t="s">
        <v>410</v>
      </c>
      <c r="H75" s="97" t="s">
        <v>411</v>
      </c>
      <c r="I75" s="91">
        <v>1939778.82</v>
      </c>
      <c r="J75" s="92">
        <v>8200</v>
      </c>
      <c r="K75" s="91">
        <v>329651.48</v>
      </c>
      <c r="L75" s="91">
        <f t="shared" si="249"/>
        <v>2269832.3099999996</v>
      </c>
      <c r="M75" s="91">
        <v>402.01</v>
      </c>
      <c r="N75" s="140">
        <v>450</v>
      </c>
      <c r="O75" s="23">
        <f>5505</f>
        <v>5505</v>
      </c>
      <c r="P75" s="87">
        <v>6.7000000000000004E-2</v>
      </c>
      <c r="Q75" s="31">
        <f>1408000</f>
        <v>1408000</v>
      </c>
      <c r="R75" s="93">
        <f t="shared" si="250"/>
        <v>94336</v>
      </c>
      <c r="S75" s="31">
        <f>(23592*2)+777537.13+2902126.07</f>
        <v>3726847.1999999997</v>
      </c>
      <c r="T75" s="31">
        <f>3478150.79+906620.82</f>
        <v>4384771.6100000003</v>
      </c>
      <c r="U75" s="23">
        <f t="shared" si="251"/>
        <v>249698.76240000001</v>
      </c>
      <c r="V75" s="23">
        <f t="shared" si="252"/>
        <v>293779.69787000003</v>
      </c>
      <c r="W75" s="24">
        <f t="shared" si="253"/>
        <v>680043.2524</v>
      </c>
      <c r="X75" s="1">
        <v>45855</v>
      </c>
      <c r="Y75" s="1">
        <v>45856</v>
      </c>
      <c r="Z75" s="1">
        <v>45869</v>
      </c>
      <c r="AA75" s="1">
        <v>45873</v>
      </c>
      <c r="AB75" s="1">
        <v>45873</v>
      </c>
      <c r="AC75" s="94" t="s">
        <v>138</v>
      </c>
    </row>
    <row r="76" spans="1:29" ht="15.75" customHeight="1" x14ac:dyDescent="0.35">
      <c r="A76" s="2">
        <v>75</v>
      </c>
      <c r="B76" s="2" t="s">
        <v>13</v>
      </c>
      <c r="C76" s="3" t="s">
        <v>412</v>
      </c>
      <c r="D76" s="2" t="s">
        <v>56</v>
      </c>
      <c r="E76" s="16" t="s">
        <v>413</v>
      </c>
      <c r="F76" s="90">
        <v>33</v>
      </c>
      <c r="G76" s="84" t="s">
        <v>414</v>
      </c>
      <c r="H76" s="97" t="s">
        <v>419</v>
      </c>
      <c r="I76" s="91">
        <v>1294170.1000000001</v>
      </c>
      <c r="J76" s="92">
        <v>8300</v>
      </c>
      <c r="K76" s="91">
        <v>333360.37</v>
      </c>
      <c r="L76" s="91">
        <f t="shared" ref="L76" si="254">I76+K76+M76</f>
        <v>1627932.11</v>
      </c>
      <c r="M76" s="91">
        <v>401.64</v>
      </c>
      <c r="N76" s="140">
        <v>600</v>
      </c>
      <c r="O76" s="23">
        <v>4685</v>
      </c>
      <c r="P76" s="87">
        <v>6.7000000000000004E-2</v>
      </c>
      <c r="Q76" s="31">
        <f t="shared" si="248"/>
        <v>704000</v>
      </c>
      <c r="R76" s="93">
        <f t="shared" ref="R76" si="255">Q76*P76</f>
        <v>47168</v>
      </c>
      <c r="S76" s="31">
        <f>23592+2080622.58</f>
        <v>2104214.58</v>
      </c>
      <c r="T76" s="31">
        <v>2872804.57</v>
      </c>
      <c r="U76" s="23">
        <f t="shared" ref="U76" si="256">S76*P76</f>
        <v>140982.37686000002</v>
      </c>
      <c r="V76" s="23">
        <f t="shared" ref="V76" si="257">T76*P76</f>
        <v>192477.90619000001</v>
      </c>
      <c r="W76" s="24">
        <f t="shared" ref="W76" si="258">K76+M76+O76+R76+U76+N76</f>
        <v>527197.38685999997</v>
      </c>
      <c r="X76" s="1">
        <v>45859</v>
      </c>
      <c r="Y76" s="1">
        <v>45859</v>
      </c>
      <c r="Z76" s="1">
        <v>45877</v>
      </c>
      <c r="AA76" s="1">
        <v>45882</v>
      </c>
      <c r="AB76" s="1">
        <v>45882</v>
      </c>
      <c r="AC76" s="94" t="s">
        <v>138</v>
      </c>
    </row>
    <row r="77" spans="1:29" ht="15.75" customHeight="1" x14ac:dyDescent="0.35">
      <c r="A77" s="2">
        <v>76</v>
      </c>
      <c r="B77" s="2" t="s">
        <v>13</v>
      </c>
      <c r="C77" s="3" t="s">
        <v>415</v>
      </c>
      <c r="D77" s="2" t="s">
        <v>56</v>
      </c>
      <c r="E77" s="16" t="s">
        <v>417</v>
      </c>
      <c r="F77" s="90">
        <v>33</v>
      </c>
      <c r="G77" s="84" t="s">
        <v>416</v>
      </c>
      <c r="H77" s="97" t="s">
        <v>420</v>
      </c>
      <c r="I77" s="91">
        <v>1168976.21</v>
      </c>
      <c r="J77" s="92">
        <v>8300</v>
      </c>
      <c r="K77" s="91">
        <v>333360.37</v>
      </c>
      <c r="L77" s="91">
        <f t="shared" ref="L77" si="259">I77+K77+M77</f>
        <v>1502738.22</v>
      </c>
      <c r="M77" s="91">
        <v>401.64</v>
      </c>
      <c r="N77" s="140">
        <v>750</v>
      </c>
      <c r="O77" s="23">
        <v>4685</v>
      </c>
      <c r="P77" s="87">
        <v>6.7000000000000004E-2</v>
      </c>
      <c r="Q77" s="31">
        <v>1084000</v>
      </c>
      <c r="R77" s="93">
        <f t="shared" ref="R77" si="260">Q77*P77</f>
        <v>72628</v>
      </c>
      <c r="S77" s="31">
        <f>23592+1994083.48</f>
        <v>2017675.48</v>
      </c>
      <c r="T77" s="31">
        <v>2754916.74</v>
      </c>
      <c r="U77" s="23">
        <f t="shared" ref="U77" si="261">S77*P77</f>
        <v>135184.25716000001</v>
      </c>
      <c r="V77" s="23">
        <f t="shared" ref="V77" si="262">T77*P77</f>
        <v>184579.42158000002</v>
      </c>
      <c r="W77" s="24">
        <f t="shared" ref="W77" si="263">K77+M77+O77+R77+U77+N77</f>
        <v>547009.26716000005</v>
      </c>
      <c r="X77" s="1">
        <v>45860</v>
      </c>
      <c r="Y77" s="1">
        <v>45860</v>
      </c>
      <c r="Z77" s="1">
        <v>45874</v>
      </c>
      <c r="AA77" s="1">
        <v>45880</v>
      </c>
      <c r="AB77" s="1">
        <v>45880</v>
      </c>
      <c r="AC77" s="94" t="s">
        <v>138</v>
      </c>
    </row>
    <row r="78" spans="1:29" ht="15.75" customHeight="1" x14ac:dyDescent="0.35">
      <c r="A78" s="2">
        <v>77</v>
      </c>
      <c r="B78" s="2" t="s">
        <v>13</v>
      </c>
      <c r="C78" s="3" t="s">
        <v>418</v>
      </c>
      <c r="D78" s="2" t="s">
        <v>56</v>
      </c>
      <c r="E78" s="16" t="s">
        <v>421</v>
      </c>
      <c r="F78" s="90" t="s">
        <v>170</v>
      </c>
      <c r="G78" s="84" t="s">
        <v>422</v>
      </c>
      <c r="H78" s="97" t="s">
        <v>423</v>
      </c>
      <c r="I78" s="91">
        <v>1851722.12</v>
      </c>
      <c r="J78" s="92">
        <v>8200</v>
      </c>
      <c r="K78" s="91">
        <v>331221.78000000003</v>
      </c>
      <c r="L78" s="91">
        <f t="shared" ref="L78:L80" si="264">I78+K78+M78</f>
        <v>2183347.8300000005</v>
      </c>
      <c r="M78" s="91">
        <v>403.93</v>
      </c>
      <c r="N78" s="140">
        <v>1050</v>
      </c>
      <c r="O78" s="23">
        <v>4770</v>
      </c>
      <c r="P78" s="87">
        <v>6.7000000000000004E-2</v>
      </c>
      <c r="Q78" s="31">
        <v>1788000</v>
      </c>
      <c r="R78" s="93">
        <f t="shared" ref="R78" si="265">Q78*P78</f>
        <v>119796</v>
      </c>
      <c r="S78" s="31">
        <f>(23592*2)+(856838.41+2354962.22)</f>
        <v>3258984.6300000004</v>
      </c>
      <c r="T78" s="31">
        <f>1159015.06+2921136.49</f>
        <v>4080151.5500000003</v>
      </c>
      <c r="U78" s="23">
        <f t="shared" ref="U78" si="266">S78*P78</f>
        <v>218351.97021000003</v>
      </c>
      <c r="V78" s="23">
        <f t="shared" ref="V78" si="267">T78*P78</f>
        <v>273370.15385000006</v>
      </c>
      <c r="W78" s="24">
        <f t="shared" ref="W78" si="268">K78+M78+O78+R78+U78+N78</f>
        <v>675593.68021000002</v>
      </c>
      <c r="X78" s="1">
        <v>45862</v>
      </c>
      <c r="Y78" s="1">
        <v>45863</v>
      </c>
      <c r="Z78" s="1">
        <v>45882</v>
      </c>
      <c r="AA78" s="1">
        <v>45889</v>
      </c>
      <c r="AB78" s="1">
        <v>45889</v>
      </c>
      <c r="AC78" s="94" t="s">
        <v>138</v>
      </c>
    </row>
    <row r="79" spans="1:29" x14ac:dyDescent="0.35">
      <c r="A79" s="2">
        <v>78</v>
      </c>
      <c r="B79" s="2" t="s">
        <v>13</v>
      </c>
      <c r="C79" s="3" t="s">
        <v>424</v>
      </c>
      <c r="D79" s="148" t="s">
        <v>56</v>
      </c>
      <c r="E79" s="150" t="s">
        <v>426</v>
      </c>
      <c r="F79" s="90" t="s">
        <v>428</v>
      </c>
      <c r="G79" s="84" t="s">
        <v>427</v>
      </c>
      <c r="H79" s="120" t="s">
        <v>431</v>
      </c>
      <c r="I79" s="91">
        <v>381742.62</v>
      </c>
      <c r="J79" s="92">
        <v>2700</v>
      </c>
      <c r="K79" s="91">
        <v>109077.3</v>
      </c>
      <c r="L79" s="91">
        <f t="shared" si="264"/>
        <v>490941.12</v>
      </c>
      <c r="M79" s="91">
        <v>121.2</v>
      </c>
      <c r="N79" s="142">
        <v>150</v>
      </c>
      <c r="O79" s="23">
        <v>3550</v>
      </c>
      <c r="P79" s="87">
        <v>6.7000000000000004E-2</v>
      </c>
      <c r="Q79" s="31">
        <f>704000/2</f>
        <v>352000</v>
      </c>
      <c r="R79" s="93">
        <f>Q79*P79</f>
        <v>23584</v>
      </c>
      <c r="S79" s="31">
        <f>0.23*2929238.9</f>
        <v>673724.94700000004</v>
      </c>
      <c r="T79" s="31">
        <f>0.23*4046828.93</f>
        <v>930770.65390000003</v>
      </c>
      <c r="U79" s="23">
        <f>S79*P79</f>
        <v>45139.571449000003</v>
      </c>
      <c r="V79" s="23">
        <f>T79*P79</f>
        <v>62361.633811300009</v>
      </c>
      <c r="W79" s="24">
        <f>K79+M79+O79+R79+U79+N79</f>
        <v>181622.07144900001</v>
      </c>
      <c r="X79" s="1">
        <v>45868</v>
      </c>
      <c r="Y79" s="1">
        <v>45868</v>
      </c>
      <c r="Z79" s="144">
        <v>45881</v>
      </c>
      <c r="AA79" s="144">
        <v>45883</v>
      </c>
      <c r="AB79" s="144">
        <v>45883</v>
      </c>
      <c r="AC79" s="146" t="s">
        <v>138</v>
      </c>
    </row>
    <row r="80" spans="1:29" ht="15.75" customHeight="1" x14ac:dyDescent="0.35">
      <c r="A80" s="2">
        <v>79</v>
      </c>
      <c r="B80" s="2" t="s">
        <v>13</v>
      </c>
      <c r="C80" s="3" t="s">
        <v>425</v>
      </c>
      <c r="D80" s="149"/>
      <c r="E80" s="151"/>
      <c r="F80" s="90" t="s">
        <v>429</v>
      </c>
      <c r="G80" s="84" t="s">
        <v>430</v>
      </c>
      <c r="H80" s="120" t="s">
        <v>432</v>
      </c>
      <c r="I80" s="91">
        <v>1439157.9</v>
      </c>
      <c r="J80" s="92">
        <v>5600</v>
      </c>
      <c r="K80" s="91">
        <v>226234.4</v>
      </c>
      <c r="L80" s="91">
        <f t="shared" si="264"/>
        <v>1665675.0899999999</v>
      </c>
      <c r="M80" s="91">
        <v>282.79000000000002</v>
      </c>
      <c r="N80" s="143"/>
      <c r="O80" s="23">
        <v>2272</v>
      </c>
      <c r="P80" s="87">
        <v>6.7000000000000004E-2</v>
      </c>
      <c r="Q80" s="31">
        <f>704000/2</f>
        <v>352000</v>
      </c>
      <c r="R80" s="93">
        <f t="shared" ref="R80:R81" si="269">Q80*P80</f>
        <v>23584</v>
      </c>
      <c r="S80" s="31">
        <f>0.77*2929238.9</f>
        <v>2255513.9530000002</v>
      </c>
      <c r="T80" s="31">
        <f>0.77*4046828.93</f>
        <v>3116058.2761000004</v>
      </c>
      <c r="U80" s="23">
        <f t="shared" ref="U80:U81" si="270">S80*P80</f>
        <v>151119.43485100003</v>
      </c>
      <c r="V80" s="23">
        <f t="shared" ref="V80:V81" si="271">T80*P80</f>
        <v>208775.90449870002</v>
      </c>
      <c r="W80" s="24">
        <f t="shared" ref="W80:W81" si="272">K80+M80+O80+R80+U80+N80</f>
        <v>403492.62485100003</v>
      </c>
      <c r="X80" s="1">
        <v>45866</v>
      </c>
      <c r="Y80" s="1">
        <v>45867</v>
      </c>
      <c r="Z80" s="145"/>
      <c r="AA80" s="145"/>
      <c r="AB80" s="145"/>
      <c r="AC80" s="147"/>
    </row>
    <row r="81" spans="1:29" ht="15.75" customHeight="1" x14ac:dyDescent="0.35">
      <c r="A81" s="2">
        <v>80</v>
      </c>
      <c r="B81" s="2" t="s">
        <v>13</v>
      </c>
      <c r="C81" s="3" t="s">
        <v>433</v>
      </c>
      <c r="D81" s="2" t="s">
        <v>56</v>
      </c>
      <c r="E81" s="16" t="s">
        <v>434</v>
      </c>
      <c r="F81" s="90" t="s">
        <v>435</v>
      </c>
      <c r="G81" s="84" t="s">
        <v>436</v>
      </c>
      <c r="H81" s="97" t="s">
        <v>437</v>
      </c>
      <c r="I81" s="91">
        <v>2247996.7400000002</v>
      </c>
      <c r="J81" s="92">
        <v>8200</v>
      </c>
      <c r="K81" s="91">
        <v>332042.59999999998</v>
      </c>
      <c r="L81" s="91">
        <f t="shared" ref="L81" si="273">I81+K81+M81</f>
        <v>2580444.2700000005</v>
      </c>
      <c r="M81" s="91">
        <v>404.93</v>
      </c>
      <c r="N81" s="140">
        <v>300</v>
      </c>
      <c r="O81" s="23">
        <v>2723</v>
      </c>
      <c r="P81" s="87">
        <v>6.7000000000000004E-2</v>
      </c>
      <c r="Q81" s="31">
        <f t="shared" ref="Q81:Q83" si="274">1408000/2</f>
        <v>704000</v>
      </c>
      <c r="R81" s="93">
        <f t="shared" si="269"/>
        <v>47168</v>
      </c>
      <c r="S81" s="31">
        <f>23592+3935727</f>
        <v>3959319</v>
      </c>
      <c r="T81" s="31">
        <v>4928222.8099999996</v>
      </c>
      <c r="U81" s="23">
        <f t="shared" si="270"/>
        <v>265274.37300000002</v>
      </c>
      <c r="V81" s="23">
        <f t="shared" si="271"/>
        <v>330190.92826999997</v>
      </c>
      <c r="W81" s="24">
        <f t="shared" si="272"/>
        <v>647912.90299999993</v>
      </c>
      <c r="X81" s="1">
        <v>45867</v>
      </c>
      <c r="Y81" s="1">
        <v>45868</v>
      </c>
      <c r="Z81" s="1">
        <v>45882</v>
      </c>
      <c r="AA81" s="1">
        <v>45891</v>
      </c>
      <c r="AB81" s="1">
        <v>45891</v>
      </c>
      <c r="AC81" s="94" t="s">
        <v>138</v>
      </c>
    </row>
    <row r="82" spans="1:29" ht="15.75" customHeight="1" x14ac:dyDescent="0.35">
      <c r="A82" s="2">
        <v>81</v>
      </c>
      <c r="B82" s="2" t="s">
        <v>13</v>
      </c>
      <c r="C82" s="3" t="s">
        <v>438</v>
      </c>
      <c r="D82" s="2" t="s">
        <v>56</v>
      </c>
      <c r="E82" s="16" t="s">
        <v>441</v>
      </c>
      <c r="F82" s="90" t="s">
        <v>442</v>
      </c>
      <c r="G82" s="84" t="s">
        <v>439</v>
      </c>
      <c r="H82" s="97" t="s">
        <v>440</v>
      </c>
      <c r="I82" s="91">
        <v>2043946.69</v>
      </c>
      <c r="J82" s="92">
        <v>8200</v>
      </c>
      <c r="K82" s="91">
        <v>332204.96000000002</v>
      </c>
      <c r="L82" s="91">
        <f t="shared" ref="L82" si="275">I82+K82+M82</f>
        <v>2376556.7799999998</v>
      </c>
      <c r="M82" s="91">
        <v>405.13</v>
      </c>
      <c r="N82" s="140">
        <v>1500</v>
      </c>
      <c r="O82" s="23">
        <f>3215+660</f>
        <v>3875</v>
      </c>
      <c r="P82" s="87">
        <v>6.7000000000000004E-2</v>
      </c>
      <c r="Q82" s="31">
        <v>1788000</v>
      </c>
      <c r="R82" s="93">
        <f t="shared" ref="R82" si="276">Q82*P82</f>
        <v>119796</v>
      </c>
      <c r="S82" s="31">
        <f>(23592*2)+2865567.6+862766.41</f>
        <v>3775518.0100000002</v>
      </c>
      <c r="T82" s="31">
        <f>1130603.45+3250774.51</f>
        <v>4381377.96</v>
      </c>
      <c r="U82" s="23">
        <f t="shared" ref="U82" si="277">S82*P82</f>
        <v>252959.70667000004</v>
      </c>
      <c r="V82" s="23">
        <f t="shared" ref="V82" si="278">T82*P82</f>
        <v>293552.32332000002</v>
      </c>
      <c r="W82" s="24">
        <f t="shared" ref="W82" si="279">K82+M82+O82+R82+U82+N82</f>
        <v>710740.79667000007</v>
      </c>
      <c r="X82" s="1">
        <v>45869</v>
      </c>
      <c r="Y82" s="1">
        <v>45870</v>
      </c>
      <c r="Z82" s="1">
        <v>45891</v>
      </c>
      <c r="AA82" s="1">
        <v>45902</v>
      </c>
      <c r="AB82" s="1">
        <v>45902</v>
      </c>
      <c r="AC82" s="94" t="s">
        <v>138</v>
      </c>
    </row>
    <row r="83" spans="1:29" ht="15.75" customHeight="1" x14ac:dyDescent="0.35">
      <c r="A83" s="2">
        <v>82</v>
      </c>
      <c r="B83" s="2" t="s">
        <v>13</v>
      </c>
      <c r="C83" s="3" t="s">
        <v>443</v>
      </c>
      <c r="D83" s="2" t="s">
        <v>56</v>
      </c>
      <c r="E83" s="16" t="s">
        <v>446</v>
      </c>
      <c r="F83" s="90" t="s">
        <v>447</v>
      </c>
      <c r="G83" s="84" t="s">
        <v>445</v>
      </c>
      <c r="H83" s="97" t="s">
        <v>448</v>
      </c>
      <c r="I83" s="91">
        <v>1677607.66</v>
      </c>
      <c r="J83" s="92">
        <v>8200</v>
      </c>
      <c r="K83" s="91">
        <v>332941.32</v>
      </c>
      <c r="L83" s="91">
        <f t="shared" ref="L83" si="280">I83+K83+M83</f>
        <v>2010955.01</v>
      </c>
      <c r="M83" s="91">
        <v>406.03</v>
      </c>
      <c r="N83" s="140">
        <v>600</v>
      </c>
      <c r="O83" s="23">
        <f>2723</f>
        <v>2723</v>
      </c>
      <c r="P83" s="87">
        <v>6.7000000000000004E-2</v>
      </c>
      <c r="Q83" s="31">
        <f t="shared" si="274"/>
        <v>704000</v>
      </c>
      <c r="R83" s="93">
        <f t="shared" ref="R83" si="281">Q83*P83</f>
        <v>47168</v>
      </c>
      <c r="S83" s="31">
        <f>23592+3467757.81</f>
        <v>3491349.81</v>
      </c>
      <c r="T83" s="31">
        <v>3968719.36</v>
      </c>
      <c r="U83" s="23">
        <f t="shared" ref="U83" si="282">S83*P83</f>
        <v>233920.43727000002</v>
      </c>
      <c r="V83" s="23">
        <f t="shared" ref="V83" si="283">T83*P83</f>
        <v>265904.19712000003</v>
      </c>
      <c r="W83" s="24">
        <f t="shared" ref="W83" si="284">K83+M83+O83+R83+U83+N83</f>
        <v>617758.78727000009</v>
      </c>
      <c r="X83" s="1">
        <v>45874</v>
      </c>
      <c r="Y83" s="1">
        <v>45875</v>
      </c>
      <c r="Z83" s="1">
        <v>45890</v>
      </c>
      <c r="AA83" s="1">
        <v>45896</v>
      </c>
      <c r="AB83" s="1">
        <v>45896</v>
      </c>
      <c r="AC83" s="94" t="s">
        <v>138</v>
      </c>
    </row>
    <row r="84" spans="1:29" ht="15.75" customHeight="1" x14ac:dyDescent="0.35">
      <c r="A84" s="2">
        <v>83</v>
      </c>
      <c r="B84" s="2" t="s">
        <v>13</v>
      </c>
      <c r="C84" s="3" t="s">
        <v>444</v>
      </c>
      <c r="D84" s="2" t="s">
        <v>56</v>
      </c>
      <c r="E84" s="16" t="s">
        <v>449</v>
      </c>
      <c r="F84" s="90" t="s">
        <v>142</v>
      </c>
      <c r="G84" s="84" t="s">
        <v>450</v>
      </c>
      <c r="H84" s="97" t="s">
        <v>451</v>
      </c>
      <c r="I84" s="91">
        <v>1983555.48</v>
      </c>
      <c r="J84" s="92">
        <v>8200</v>
      </c>
      <c r="K84" s="91">
        <v>332941.32</v>
      </c>
      <c r="L84" s="91">
        <f t="shared" ref="L84" si="285">I84+K84+M84</f>
        <v>2316902.8299999996</v>
      </c>
      <c r="M84" s="91">
        <v>406.03</v>
      </c>
      <c r="N84" s="140">
        <v>600</v>
      </c>
      <c r="O84" s="23">
        <f>2805</f>
        <v>2805</v>
      </c>
      <c r="P84" s="87">
        <v>6.7000000000000004E-2</v>
      </c>
      <c r="Q84" s="31">
        <f t="shared" ref="Q84:Q86" si="286">1408000/2</f>
        <v>704000</v>
      </c>
      <c r="R84" s="93">
        <f t="shared" ref="R84" si="287">Q84*P84</f>
        <v>47168</v>
      </c>
      <c r="S84" s="31">
        <f>23592+3879606.08</f>
        <v>3903198.08</v>
      </c>
      <c r="T84" s="31">
        <v>4322005.88</v>
      </c>
      <c r="U84" s="23">
        <f t="shared" ref="U84" si="288">S84*P84</f>
        <v>261514.27136000001</v>
      </c>
      <c r="V84" s="23">
        <f t="shared" ref="V84" si="289">T84*P84</f>
        <v>289574.39396000002</v>
      </c>
      <c r="W84" s="24">
        <f t="shared" ref="W84" si="290">K84+M84+O84+R84+U84+N84</f>
        <v>645434.62135999999</v>
      </c>
      <c r="X84" s="1">
        <v>45874</v>
      </c>
      <c r="Y84" s="1">
        <v>45875</v>
      </c>
      <c r="Z84" s="1">
        <v>45890</v>
      </c>
      <c r="AA84" s="1">
        <v>45896</v>
      </c>
      <c r="AB84" s="1">
        <v>45896</v>
      </c>
      <c r="AC84" s="94" t="s">
        <v>138</v>
      </c>
    </row>
    <row r="85" spans="1:29" ht="15.75" customHeight="1" x14ac:dyDescent="0.35">
      <c r="A85" s="2">
        <v>84</v>
      </c>
      <c r="B85" s="2" t="s">
        <v>13</v>
      </c>
      <c r="C85" s="3" t="s">
        <v>452</v>
      </c>
      <c r="D85" s="2" t="s">
        <v>56</v>
      </c>
      <c r="E85" s="16" t="s">
        <v>453</v>
      </c>
      <c r="F85" s="90" t="s">
        <v>455</v>
      </c>
      <c r="G85" s="84" t="s">
        <v>454</v>
      </c>
      <c r="H85" s="97" t="s">
        <v>456</v>
      </c>
      <c r="I85" s="91">
        <v>1955844.67</v>
      </c>
      <c r="J85" s="92">
        <v>8200</v>
      </c>
      <c r="K85" s="91">
        <v>332545.26</v>
      </c>
      <c r="L85" s="91">
        <f t="shared" ref="L85" si="291">I85+K85+M85</f>
        <v>2288795.4699999997</v>
      </c>
      <c r="M85" s="91">
        <v>405.54</v>
      </c>
      <c r="N85" s="140">
        <v>300</v>
      </c>
      <c r="O85" s="23">
        <v>3174</v>
      </c>
      <c r="P85" s="87">
        <v>6.7000000000000004E-2</v>
      </c>
      <c r="Q85" s="31">
        <f>1408000</f>
        <v>1408000</v>
      </c>
      <c r="R85" s="93">
        <f t="shared" ref="R85" si="292">Q85*P85</f>
        <v>94336</v>
      </c>
      <c r="S85" s="31">
        <f>(23592*2)+2560051.54+1057237.28</f>
        <v>3664472.8200000003</v>
      </c>
      <c r="T85" s="31">
        <f>3117717.44+1173177.18</f>
        <v>4290894.62</v>
      </c>
      <c r="U85" s="23">
        <f t="shared" ref="U85" si="293">S85*P85</f>
        <v>245519.67894000004</v>
      </c>
      <c r="V85" s="23">
        <f t="shared" ref="V85" si="294">T85*P85</f>
        <v>287489.93954000005</v>
      </c>
      <c r="W85" s="24">
        <f t="shared" ref="W85" si="295">K85+M85+O85+R85+U85+N85</f>
        <v>676280.47894000006</v>
      </c>
      <c r="X85" s="1">
        <v>45877</v>
      </c>
      <c r="Y85" s="1">
        <v>45880</v>
      </c>
      <c r="Z85" s="1">
        <v>45894</v>
      </c>
      <c r="AA85" s="1">
        <v>45897</v>
      </c>
      <c r="AB85" s="1">
        <v>45897</v>
      </c>
      <c r="AC85" s="94" t="s">
        <v>138</v>
      </c>
    </row>
    <row r="86" spans="1:29" ht="15.75" customHeight="1" x14ac:dyDescent="0.35">
      <c r="A86" s="2">
        <v>85</v>
      </c>
      <c r="B86" s="2" t="s">
        <v>13</v>
      </c>
      <c r="C86" s="3" t="s">
        <v>457</v>
      </c>
      <c r="D86" s="2" t="s">
        <v>56</v>
      </c>
      <c r="E86" s="16" t="s">
        <v>354</v>
      </c>
      <c r="F86" s="90">
        <v>33</v>
      </c>
      <c r="G86" s="84" t="s">
        <v>458</v>
      </c>
      <c r="H86" s="97" t="s">
        <v>459</v>
      </c>
      <c r="I86" s="91">
        <v>1861304.6</v>
      </c>
      <c r="J86" s="92">
        <v>8200</v>
      </c>
      <c r="K86" s="91">
        <v>333234.88</v>
      </c>
      <c r="L86" s="91">
        <f t="shared" ref="L86:L88" si="296">I86+K86+M86</f>
        <v>2194945.86</v>
      </c>
      <c r="M86" s="91">
        <v>406.38</v>
      </c>
      <c r="N86" s="140">
        <v>150</v>
      </c>
      <c r="O86" s="23">
        <v>2641</v>
      </c>
      <c r="P86" s="87">
        <v>6.7000000000000004E-2</v>
      </c>
      <c r="Q86" s="31">
        <f t="shared" si="286"/>
        <v>704000</v>
      </c>
      <c r="R86" s="93">
        <f t="shared" ref="R86" si="297">Q86*P86</f>
        <v>47168</v>
      </c>
      <c r="S86" s="31">
        <f>23592+3632179.3</f>
        <v>3655771.3</v>
      </c>
      <c r="T86" s="31">
        <v>4253735.33</v>
      </c>
      <c r="U86" s="23">
        <f t="shared" ref="U86" si="298">S86*P86</f>
        <v>244936.6771</v>
      </c>
      <c r="V86" s="23">
        <f t="shared" ref="V86" si="299">T86*P86</f>
        <v>285000.26711000002</v>
      </c>
      <c r="W86" s="24">
        <f t="shared" ref="W86" si="300">K86+M86+O86+R86+U86+N86</f>
        <v>628536.93709999998</v>
      </c>
      <c r="X86" s="1">
        <v>45881</v>
      </c>
      <c r="Y86" s="1">
        <v>45882</v>
      </c>
      <c r="Z86" s="1">
        <v>45896</v>
      </c>
      <c r="AA86" s="1">
        <v>45898</v>
      </c>
      <c r="AB86" s="1">
        <v>45898</v>
      </c>
      <c r="AC86" s="94" t="s">
        <v>138</v>
      </c>
    </row>
    <row r="87" spans="1:29" x14ac:dyDescent="0.35">
      <c r="A87" s="2">
        <v>86</v>
      </c>
      <c r="B87" s="2" t="s">
        <v>13</v>
      </c>
      <c r="C87" s="3" t="s">
        <v>460</v>
      </c>
      <c r="D87" s="148" t="s">
        <v>56</v>
      </c>
      <c r="E87" s="150" t="s">
        <v>462</v>
      </c>
      <c r="F87" s="90" t="s">
        <v>464</v>
      </c>
      <c r="G87" s="84" t="s">
        <v>463</v>
      </c>
      <c r="H87" s="120" t="s">
        <v>468</v>
      </c>
      <c r="I87" s="91">
        <v>901515.3</v>
      </c>
      <c r="J87" s="92">
        <v>8300</v>
      </c>
      <c r="K87" s="91">
        <v>336600.69</v>
      </c>
      <c r="L87" s="91">
        <f t="shared" si="296"/>
        <v>1238521.53</v>
      </c>
      <c r="M87" s="91">
        <v>405.54</v>
      </c>
      <c r="N87" s="142">
        <v>750</v>
      </c>
      <c r="O87" s="23">
        <f>3503</f>
        <v>3503</v>
      </c>
      <c r="P87" s="87">
        <v>6.7000000000000004E-2</v>
      </c>
      <c r="Q87" s="31">
        <f>1658000/2</f>
        <v>829000</v>
      </c>
      <c r="R87" s="93">
        <f>Q87*P87</f>
        <v>55543</v>
      </c>
      <c r="S87" s="31">
        <f>23592+1207430.85</f>
        <v>1231022.8500000001</v>
      </c>
      <c r="T87" s="31">
        <v>1389793.59</v>
      </c>
      <c r="U87" s="23">
        <f>S87*P87</f>
        <v>82478.530950000015</v>
      </c>
      <c r="V87" s="23">
        <f>T87*P87</f>
        <v>93116.170530000018</v>
      </c>
      <c r="W87" s="24">
        <f>K87+M87+O87+R87+U87+N87</f>
        <v>479280.76095000003</v>
      </c>
      <c r="X87" s="1">
        <v>45890</v>
      </c>
      <c r="Y87" s="1">
        <v>45890</v>
      </c>
      <c r="Z87" s="144">
        <v>45905</v>
      </c>
      <c r="AA87" s="144">
        <v>45911</v>
      </c>
      <c r="AB87" s="144">
        <v>45911</v>
      </c>
      <c r="AC87" s="146" t="s">
        <v>138</v>
      </c>
    </row>
    <row r="88" spans="1:29" ht="15.75" customHeight="1" x14ac:dyDescent="0.35">
      <c r="A88" s="2">
        <v>87</v>
      </c>
      <c r="B88" s="2" t="s">
        <v>13</v>
      </c>
      <c r="C88" s="3" t="s">
        <v>461</v>
      </c>
      <c r="D88" s="149"/>
      <c r="E88" s="151"/>
      <c r="F88" s="90" t="s">
        <v>466</v>
      </c>
      <c r="G88" s="84" t="s">
        <v>465</v>
      </c>
      <c r="H88" s="120" t="s">
        <v>467</v>
      </c>
      <c r="I88" s="91">
        <v>618735.98</v>
      </c>
      <c r="J88" s="92">
        <v>500</v>
      </c>
      <c r="K88" s="91">
        <v>20406</v>
      </c>
      <c r="L88" s="91">
        <f t="shared" si="296"/>
        <v>639346.04</v>
      </c>
      <c r="M88" s="91">
        <v>204.06</v>
      </c>
      <c r="N88" s="143"/>
      <c r="O88" s="23">
        <f>2579</f>
        <v>2579</v>
      </c>
      <c r="P88" s="87">
        <v>6.7000000000000004E-2</v>
      </c>
      <c r="Q88" s="31">
        <f>1658000/2</f>
        <v>829000</v>
      </c>
      <c r="R88" s="93">
        <f t="shared" ref="R88" si="301">Q88*P88</f>
        <v>55543</v>
      </c>
      <c r="S88" s="31">
        <f>23592+1656982.99</f>
        <v>1680574.99</v>
      </c>
      <c r="T88" s="31">
        <v>2151597.2000000002</v>
      </c>
      <c r="U88" s="23">
        <f t="shared" ref="U88" si="302">S88*P88</f>
        <v>112598.52433</v>
      </c>
      <c r="V88" s="23">
        <f t="shared" ref="V88" si="303">T88*P88</f>
        <v>144157.01240000001</v>
      </c>
      <c r="W88" s="24">
        <f t="shared" ref="W88" si="304">K88+M88+O88+R88+U88+N88</f>
        <v>191330.58432999998</v>
      </c>
      <c r="X88" s="1">
        <v>45889</v>
      </c>
      <c r="Y88" s="1">
        <v>45889</v>
      </c>
      <c r="Z88" s="145"/>
      <c r="AA88" s="145"/>
      <c r="AB88" s="145"/>
      <c r="AC88" s="147"/>
    </row>
    <row r="89" spans="1:29" x14ac:dyDescent="0.35">
      <c r="A89" s="2">
        <v>88</v>
      </c>
      <c r="B89" s="2" t="s">
        <v>13</v>
      </c>
      <c r="C89" s="3" t="s">
        <v>469</v>
      </c>
      <c r="D89" s="148" t="s">
        <v>56</v>
      </c>
      <c r="E89" s="150" t="s">
        <v>471</v>
      </c>
      <c r="F89" s="90" t="s">
        <v>475</v>
      </c>
      <c r="G89" s="84" t="s">
        <v>472</v>
      </c>
      <c r="H89" s="120" t="s">
        <v>476</v>
      </c>
      <c r="I89" s="91">
        <v>424281.66</v>
      </c>
      <c r="J89" s="92">
        <v>3100</v>
      </c>
      <c r="K89" s="91">
        <v>126918.03</v>
      </c>
      <c r="L89" s="91">
        <f t="shared" ref="L89:L93" si="305">I89+K89+M89</f>
        <v>551404.39999999991</v>
      </c>
      <c r="M89" s="91">
        <v>204.71</v>
      </c>
      <c r="N89" s="142">
        <v>450</v>
      </c>
      <c r="O89" s="23">
        <v>2928</v>
      </c>
      <c r="P89" s="87">
        <v>6.7000000000000004E-2</v>
      </c>
      <c r="Q89" s="31">
        <f>704000*(L89/($L$89+$L$90))</f>
        <v>203236.2155826895</v>
      </c>
      <c r="R89" s="93">
        <f>Q89*P89</f>
        <v>13616.826444040198</v>
      </c>
      <c r="S89" s="31">
        <f>(23592+2731201.8)*(L89/($L$89+$L$90))</f>
        <v>795275.37872536422</v>
      </c>
      <c r="T89" s="31">
        <f>3385037.24*(L89/($L$89+$L$90))</f>
        <v>977218.97480692097</v>
      </c>
      <c r="U89" s="23">
        <f>S89*P89</f>
        <v>53283.450374599408</v>
      </c>
      <c r="V89" s="23">
        <f>T89*P89</f>
        <v>65473.671312063707</v>
      </c>
      <c r="W89" s="24">
        <f>K89+M89+O89+R89+U89+N89</f>
        <v>197401.01681863962</v>
      </c>
      <c r="X89" s="1">
        <v>45897</v>
      </c>
      <c r="Y89" s="1">
        <v>45897</v>
      </c>
      <c r="Z89" s="144">
        <v>45915</v>
      </c>
      <c r="AA89" s="144">
        <v>45919</v>
      </c>
      <c r="AB89" s="144">
        <v>45919</v>
      </c>
      <c r="AC89" s="146" t="s">
        <v>138</v>
      </c>
    </row>
    <row r="90" spans="1:29" ht="15.75" customHeight="1" x14ac:dyDescent="0.35">
      <c r="A90" s="2">
        <v>89</v>
      </c>
      <c r="B90" s="2" t="s">
        <v>13</v>
      </c>
      <c r="C90" s="3" t="s">
        <v>470</v>
      </c>
      <c r="D90" s="149"/>
      <c r="E90" s="151"/>
      <c r="F90" s="90" t="s">
        <v>474</v>
      </c>
      <c r="G90" s="84" t="s">
        <v>473</v>
      </c>
      <c r="H90" s="120" t="s">
        <v>477</v>
      </c>
      <c r="I90" s="91">
        <v>1145328.46</v>
      </c>
      <c r="J90" s="92">
        <v>5200</v>
      </c>
      <c r="K90" s="91">
        <v>212894.76</v>
      </c>
      <c r="L90" s="91">
        <f t="shared" si="305"/>
        <v>1358632.63</v>
      </c>
      <c r="M90" s="91">
        <v>409.41</v>
      </c>
      <c r="N90" s="143"/>
      <c r="O90" s="23">
        <v>4685</v>
      </c>
      <c r="P90" s="87">
        <v>6.7000000000000004E-2</v>
      </c>
      <c r="Q90" s="31">
        <f>704000*(L90/($L$89+$L$90))</f>
        <v>500763.7844173105</v>
      </c>
      <c r="R90" s="93">
        <f t="shared" ref="R90:R93" si="306">Q90*P90</f>
        <v>33551.173555959802</v>
      </c>
      <c r="S90" s="31">
        <f>(23592+2731201.8)*(L90/($L$89+$L$90))</f>
        <v>1959518.4212746355</v>
      </c>
      <c r="T90" s="31">
        <f>3385037.24*(L90/($L$89+$L$90))</f>
        <v>2407818.2651930791</v>
      </c>
      <c r="U90" s="23">
        <f t="shared" ref="U90:U93" si="307">S90*P90</f>
        <v>131287.73422540058</v>
      </c>
      <c r="V90" s="23">
        <f t="shared" ref="V90:V93" si="308">T90*P90</f>
        <v>161323.82376793632</v>
      </c>
      <c r="W90" s="24">
        <f t="shared" ref="W90:W93" si="309">K90+M90+O90+R90+U90+N90</f>
        <v>382828.07778136036</v>
      </c>
      <c r="X90" s="1">
        <v>45895</v>
      </c>
      <c r="Y90" s="1">
        <v>45896</v>
      </c>
      <c r="Z90" s="145"/>
      <c r="AA90" s="145"/>
      <c r="AB90" s="145"/>
      <c r="AC90" s="147"/>
    </row>
    <row r="91" spans="1:29" x14ac:dyDescent="0.35">
      <c r="A91" s="2">
        <v>88</v>
      </c>
      <c r="B91" s="2" t="s">
        <v>13</v>
      </c>
      <c r="C91" s="3" t="s">
        <v>483</v>
      </c>
      <c r="D91" s="148" t="s">
        <v>56</v>
      </c>
      <c r="E91" s="150" t="s">
        <v>487</v>
      </c>
      <c r="F91" s="90" t="s">
        <v>486</v>
      </c>
      <c r="G91" s="84" t="s">
        <v>485</v>
      </c>
      <c r="H91" s="120" t="s">
        <v>490</v>
      </c>
      <c r="I91" s="91">
        <v>474172.24</v>
      </c>
      <c r="J91" s="92">
        <v>1500</v>
      </c>
      <c r="K91" s="91">
        <v>61416.15</v>
      </c>
      <c r="L91" s="91">
        <f t="shared" ref="L91:L92" si="310">I91+K91+M91</f>
        <v>535670.28</v>
      </c>
      <c r="M91" s="91">
        <v>81.89</v>
      </c>
      <c r="N91" s="142">
        <v>150</v>
      </c>
      <c r="O91" s="23">
        <v>3550</v>
      </c>
      <c r="P91" s="87">
        <v>6.7000000000000004E-2</v>
      </c>
      <c r="Q91" s="31">
        <f t="shared" ref="Q91:Q94" si="311">1408000/2</f>
        <v>704000</v>
      </c>
      <c r="R91" s="93">
        <f>Q91*P91</f>
        <v>47168</v>
      </c>
      <c r="S91" s="31">
        <f>23592+919249.22</f>
        <v>942841.22</v>
      </c>
      <c r="T91" s="31">
        <v>955857.45</v>
      </c>
      <c r="U91" s="23">
        <f>S91*P91</f>
        <v>63170.36174</v>
      </c>
      <c r="V91" s="23">
        <f>T91*P91</f>
        <v>64042.44915</v>
      </c>
      <c r="W91" s="24">
        <f>K91+M91+O91+R91+U91+N91</f>
        <v>175536.40174</v>
      </c>
      <c r="X91" s="1">
        <v>45904</v>
      </c>
      <c r="Y91" s="1">
        <v>45903</v>
      </c>
      <c r="Z91" s="144">
        <v>45922</v>
      </c>
      <c r="AA91" s="144">
        <v>45925</v>
      </c>
      <c r="AB91" s="144">
        <v>45925</v>
      </c>
      <c r="AC91" s="146" t="s">
        <v>138</v>
      </c>
    </row>
    <row r="92" spans="1:29" ht="15.75" customHeight="1" x14ac:dyDescent="0.35">
      <c r="A92" s="2">
        <v>89</v>
      </c>
      <c r="B92" s="2" t="s">
        <v>13</v>
      </c>
      <c r="C92" s="3" t="s">
        <v>484</v>
      </c>
      <c r="D92" s="149"/>
      <c r="E92" s="151"/>
      <c r="F92" s="90" t="s">
        <v>488</v>
      </c>
      <c r="G92" s="84" t="s">
        <v>489</v>
      </c>
      <c r="H92" s="120" t="s">
        <v>491</v>
      </c>
      <c r="I92" s="91">
        <v>1389035.38</v>
      </c>
      <c r="J92" s="92">
        <v>6300</v>
      </c>
      <c r="K92" s="91">
        <v>258783.84</v>
      </c>
      <c r="L92" s="91">
        <f t="shared" si="310"/>
        <v>1648147.83</v>
      </c>
      <c r="M92" s="91">
        <v>328.61</v>
      </c>
      <c r="N92" s="143"/>
      <c r="O92" s="23">
        <v>3092</v>
      </c>
      <c r="P92" s="87">
        <v>6.7000000000000004E-2</v>
      </c>
      <c r="Q92" s="31">
        <f t="shared" si="311"/>
        <v>704000</v>
      </c>
      <c r="R92" s="93">
        <f t="shared" ref="R92" si="312">Q92*P92</f>
        <v>47168</v>
      </c>
      <c r="S92" s="31">
        <f>23592+2771934.85</f>
        <v>2795526.85</v>
      </c>
      <c r="T92" s="31">
        <v>3216374.05</v>
      </c>
      <c r="U92" s="23">
        <f t="shared" ref="U92" si="313">S92*P92</f>
        <v>187300.29895000003</v>
      </c>
      <c r="V92" s="23">
        <f t="shared" ref="V92" si="314">T92*P92</f>
        <v>215497.06135</v>
      </c>
      <c r="W92" s="24">
        <f t="shared" ref="W92" si="315">K92+M92+O92+R92+U92+N92</f>
        <v>496672.74894999998</v>
      </c>
      <c r="X92" s="1">
        <v>45902</v>
      </c>
      <c r="Y92" s="1">
        <v>45903</v>
      </c>
      <c r="Z92" s="145"/>
      <c r="AA92" s="145"/>
      <c r="AB92" s="145"/>
      <c r="AC92" s="147"/>
    </row>
    <row r="93" spans="1:29" ht="15.75" customHeight="1" x14ac:dyDescent="0.35">
      <c r="A93" s="2">
        <v>90</v>
      </c>
      <c r="B93" s="2" t="s">
        <v>13</v>
      </c>
      <c r="C93" s="3" t="s">
        <v>478</v>
      </c>
      <c r="D93" s="2" t="s">
        <v>56</v>
      </c>
      <c r="E93" s="16" t="s">
        <v>480</v>
      </c>
      <c r="F93" s="90" t="s">
        <v>481</v>
      </c>
      <c r="G93" s="84" t="s">
        <v>479</v>
      </c>
      <c r="H93" s="97" t="s">
        <v>482</v>
      </c>
      <c r="I93" s="91">
        <v>847776.86</v>
      </c>
      <c r="J93" s="92">
        <v>7600</v>
      </c>
      <c r="K93" s="91">
        <v>312183.67999999999</v>
      </c>
      <c r="L93" s="91">
        <f t="shared" si="305"/>
        <v>1160371.31</v>
      </c>
      <c r="M93" s="91">
        <v>410.77</v>
      </c>
      <c r="N93" s="140">
        <v>150</v>
      </c>
      <c r="O93" s="23">
        <f>2382+932</f>
        <v>3314</v>
      </c>
      <c r="P93" s="87">
        <v>6.7000000000000004E-2</v>
      </c>
      <c r="Q93" s="31">
        <f t="shared" si="311"/>
        <v>704000</v>
      </c>
      <c r="R93" s="93">
        <f t="shared" si="306"/>
        <v>47168</v>
      </c>
      <c r="S93" s="31">
        <f>23592+2516642.5</f>
        <v>2540234.5</v>
      </c>
      <c r="T93" s="31">
        <v>2130324.2999999998</v>
      </c>
      <c r="U93" s="23">
        <f t="shared" si="307"/>
        <v>170195.7115</v>
      </c>
      <c r="V93" s="23">
        <f t="shared" si="308"/>
        <v>142731.72810000001</v>
      </c>
      <c r="W93" s="24">
        <f t="shared" si="309"/>
        <v>533422.16150000005</v>
      </c>
      <c r="X93" s="1">
        <v>45902</v>
      </c>
      <c r="Y93" s="1">
        <v>45903</v>
      </c>
      <c r="Z93" s="1">
        <v>45922</v>
      </c>
      <c r="AA93" s="1">
        <v>45924</v>
      </c>
      <c r="AB93" s="1">
        <v>45924</v>
      </c>
      <c r="AC93" s="94" t="s">
        <v>138</v>
      </c>
    </row>
    <row r="94" spans="1:29" ht="15.75" customHeight="1" x14ac:dyDescent="0.35">
      <c r="A94" s="2">
        <v>91</v>
      </c>
      <c r="B94" s="2" t="s">
        <v>13</v>
      </c>
      <c r="C94" s="3" t="s">
        <v>492</v>
      </c>
      <c r="D94" s="2" t="s">
        <v>56</v>
      </c>
      <c r="E94" s="16" t="s">
        <v>499</v>
      </c>
      <c r="F94" s="90" t="s">
        <v>498</v>
      </c>
      <c r="G94" s="84" t="s">
        <v>496</v>
      </c>
      <c r="H94" s="97" t="s">
        <v>494</v>
      </c>
      <c r="I94" s="91">
        <v>1485367.21</v>
      </c>
      <c r="J94" s="92">
        <v>7600</v>
      </c>
      <c r="K94" s="91">
        <v>312246.76</v>
      </c>
      <c r="L94" s="91">
        <f t="shared" ref="L94" si="316">I94+K94+M94</f>
        <v>1798024.82</v>
      </c>
      <c r="M94" s="91">
        <v>410.85</v>
      </c>
      <c r="N94" s="140">
        <v>150</v>
      </c>
      <c r="O94" s="23">
        <v>3051</v>
      </c>
      <c r="P94" s="87">
        <v>6.7000000000000004E-2</v>
      </c>
      <c r="Q94" s="31">
        <f t="shared" si="311"/>
        <v>704000</v>
      </c>
      <c r="R94" s="93">
        <f t="shared" ref="R94" si="317">Q94*P94</f>
        <v>47168</v>
      </c>
      <c r="S94" s="31">
        <f>23592+2906280.44</f>
        <v>2929872.44</v>
      </c>
      <c r="T94" s="31">
        <v>3277434.75</v>
      </c>
      <c r="U94" s="23">
        <f t="shared" ref="U94" si="318">S94*P94</f>
        <v>196301.45348</v>
      </c>
      <c r="V94" s="23">
        <f t="shared" ref="V94" si="319">T94*P94</f>
        <v>219588.12825000001</v>
      </c>
      <c r="W94" s="24">
        <f t="shared" ref="W94" si="320">K94+M94+O94+R94+U94+N94</f>
        <v>559328.06348000001</v>
      </c>
      <c r="X94" s="1">
        <v>45903</v>
      </c>
      <c r="Y94" s="1">
        <v>45904</v>
      </c>
      <c r="Z94" s="1">
        <v>45922</v>
      </c>
      <c r="AA94" s="1">
        <v>45925</v>
      </c>
      <c r="AB94" s="1">
        <v>45925</v>
      </c>
      <c r="AC94" s="94" t="s">
        <v>138</v>
      </c>
    </row>
    <row r="95" spans="1:29" ht="15.75" customHeight="1" x14ac:dyDescent="0.35">
      <c r="A95" s="2">
        <v>92</v>
      </c>
      <c r="B95" s="2" t="s">
        <v>13</v>
      </c>
      <c r="C95" s="3" t="s">
        <v>493</v>
      </c>
      <c r="D95" s="2" t="s">
        <v>56</v>
      </c>
      <c r="E95" s="16" t="s">
        <v>501</v>
      </c>
      <c r="F95" s="90" t="s">
        <v>500</v>
      </c>
      <c r="G95" s="84" t="s">
        <v>497</v>
      </c>
      <c r="H95" s="97" t="s">
        <v>495</v>
      </c>
      <c r="I95" s="91">
        <v>1831899.36</v>
      </c>
      <c r="J95" s="92">
        <v>7600</v>
      </c>
      <c r="K95" s="91">
        <v>312246.76</v>
      </c>
      <c r="L95" s="91">
        <f t="shared" ref="L95:L97" si="321">I95+K95+M95</f>
        <v>2144556.9700000002</v>
      </c>
      <c r="M95" s="91">
        <v>410.85</v>
      </c>
      <c r="N95" s="140">
        <v>450</v>
      </c>
      <c r="O95" s="23">
        <f>3366+1634</f>
        <v>5000</v>
      </c>
      <c r="P95" s="87">
        <v>6.7000000000000004E-2</v>
      </c>
      <c r="Q95" s="31">
        <v>1084000</v>
      </c>
      <c r="R95" s="93">
        <f t="shared" ref="R95" si="322">Q95*P95</f>
        <v>72628</v>
      </c>
      <c r="S95" s="31">
        <f>23592+3263516.14</f>
        <v>3287108.14</v>
      </c>
      <c r="T95" s="31">
        <v>4010614.22</v>
      </c>
      <c r="U95" s="23">
        <f t="shared" ref="U95" si="323">S95*P95</f>
        <v>220236.24538000001</v>
      </c>
      <c r="V95" s="23">
        <f t="shared" ref="V95" si="324">T95*P95</f>
        <v>268711.15274000005</v>
      </c>
      <c r="W95" s="24">
        <f t="shared" ref="W95" si="325">K95+M95+O95+R95+U95+N95</f>
        <v>610971.85537999996</v>
      </c>
      <c r="X95" s="1">
        <v>45903</v>
      </c>
      <c r="Y95" s="1">
        <v>45904</v>
      </c>
      <c r="Z95" s="1">
        <v>45922</v>
      </c>
      <c r="AA95" s="1">
        <v>45929</v>
      </c>
      <c r="AB95" s="1">
        <v>45929</v>
      </c>
      <c r="AC95" s="94" t="s">
        <v>138</v>
      </c>
    </row>
    <row r="96" spans="1:29" x14ac:dyDescent="0.35">
      <c r="A96" s="2">
        <v>93</v>
      </c>
      <c r="B96" s="2" t="s">
        <v>13</v>
      </c>
      <c r="C96" s="3" t="s">
        <v>502</v>
      </c>
      <c r="D96" s="148" t="s">
        <v>56</v>
      </c>
      <c r="E96" s="150" t="s">
        <v>504</v>
      </c>
      <c r="F96" s="90" t="s">
        <v>506</v>
      </c>
      <c r="G96" s="84" t="s">
        <v>505</v>
      </c>
      <c r="H96" s="120" t="s">
        <v>507</v>
      </c>
      <c r="I96" s="91">
        <v>160042.88</v>
      </c>
      <c r="J96" s="92">
        <v>1200</v>
      </c>
      <c r="K96" s="91">
        <v>49450.8</v>
      </c>
      <c r="L96" s="91">
        <f t="shared" si="321"/>
        <v>209576.1</v>
      </c>
      <c r="M96" s="91">
        <v>82.42</v>
      </c>
      <c r="N96" s="142">
        <v>300</v>
      </c>
      <c r="O96" s="23">
        <v>3550</v>
      </c>
      <c r="P96" s="87">
        <v>6.7000000000000004E-2</v>
      </c>
      <c r="Q96" s="31">
        <f>480000+224000</f>
        <v>704000</v>
      </c>
      <c r="R96" s="93">
        <f>Q96*P96</f>
        <v>47168</v>
      </c>
      <c r="S96" s="31">
        <f>23592+301359.75</f>
        <v>324951.75</v>
      </c>
      <c r="T96" s="31">
        <v>403543.9</v>
      </c>
      <c r="U96" s="23">
        <f>S96*P96</f>
        <v>21771.767250000001</v>
      </c>
      <c r="V96" s="23">
        <f>T96*P96</f>
        <v>27037.441300000002</v>
      </c>
      <c r="W96" s="24">
        <f>K96+M96+O96+R96+U96+N96</f>
        <v>122322.98725000001</v>
      </c>
      <c r="X96" s="1">
        <v>45917</v>
      </c>
      <c r="Y96" s="1">
        <v>45916</v>
      </c>
      <c r="Z96" s="144">
        <v>45930</v>
      </c>
      <c r="AA96" s="144">
        <v>45933</v>
      </c>
      <c r="AB96" s="144">
        <v>45933</v>
      </c>
      <c r="AC96" s="146" t="s">
        <v>138</v>
      </c>
    </row>
    <row r="97" spans="1:29" ht="15.75" customHeight="1" x14ac:dyDescent="0.35">
      <c r="A97" s="2">
        <v>94</v>
      </c>
      <c r="B97" s="2" t="s">
        <v>13</v>
      </c>
      <c r="C97" s="3" t="s">
        <v>503</v>
      </c>
      <c r="D97" s="149"/>
      <c r="E97" s="151"/>
      <c r="F97" s="90" t="s">
        <v>509</v>
      </c>
      <c r="G97" s="84" t="s">
        <v>508</v>
      </c>
      <c r="H97" s="121" t="s">
        <v>510</v>
      </c>
      <c r="I97" s="91">
        <v>1466262.05</v>
      </c>
      <c r="J97" s="92">
        <v>6600</v>
      </c>
      <c r="K97" s="91">
        <v>272283</v>
      </c>
      <c r="L97" s="91">
        <f t="shared" si="321"/>
        <v>1738875.09</v>
      </c>
      <c r="M97" s="91">
        <v>330.04</v>
      </c>
      <c r="N97" s="143"/>
      <c r="O97" s="23">
        <v>3215</v>
      </c>
      <c r="P97" s="87">
        <v>6.7000000000000004E-2</v>
      </c>
      <c r="Q97" s="31">
        <f>480000+224000</f>
        <v>704000</v>
      </c>
      <c r="R97" s="93">
        <f t="shared" ref="R97" si="326">Q97*P97</f>
        <v>47168</v>
      </c>
      <c r="S97" s="31">
        <f>23592+2850453.82</f>
        <v>2874045.82</v>
      </c>
      <c r="T97" s="31">
        <v>3544575.2</v>
      </c>
      <c r="U97" s="23">
        <f t="shared" ref="U97" si="327">S97*P97</f>
        <v>192561.06993999999</v>
      </c>
      <c r="V97" s="23">
        <f t="shared" ref="V97" si="328">T97*P97</f>
        <v>237486.53840000002</v>
      </c>
      <c r="W97" s="24">
        <f t="shared" ref="W97" si="329">K97+M97+O97+R97+U97+N97</f>
        <v>515557.10993999999</v>
      </c>
      <c r="X97" s="1">
        <v>45915</v>
      </c>
      <c r="Y97" s="1">
        <v>45916</v>
      </c>
      <c r="Z97" s="145"/>
      <c r="AA97" s="145"/>
      <c r="AB97" s="145"/>
      <c r="AC97" s="147"/>
    </row>
    <row r="98" spans="1:29" x14ac:dyDescent="0.35">
      <c r="A98" s="2">
        <v>95</v>
      </c>
      <c r="B98" s="2" t="s">
        <v>13</v>
      </c>
      <c r="C98" s="3" t="s">
        <v>511</v>
      </c>
      <c r="D98" s="148" t="s">
        <v>56</v>
      </c>
      <c r="E98" s="150" t="s">
        <v>513</v>
      </c>
      <c r="F98" s="90" t="s">
        <v>515</v>
      </c>
      <c r="G98" s="84" t="s">
        <v>514</v>
      </c>
      <c r="H98" s="120" t="s">
        <v>519</v>
      </c>
      <c r="I98" s="91">
        <v>720108.56</v>
      </c>
      <c r="J98" s="92">
        <v>3000</v>
      </c>
      <c r="K98" s="91">
        <v>123627</v>
      </c>
      <c r="L98" s="91">
        <f t="shared" ref="L98:L100" si="330">I98+K98+M98</f>
        <v>843900.4</v>
      </c>
      <c r="M98" s="91">
        <v>164.84</v>
      </c>
      <c r="N98" s="142">
        <v>600</v>
      </c>
      <c r="O98" s="23">
        <v>4685</v>
      </c>
      <c r="P98" s="87">
        <v>6.7000000000000004E-2</v>
      </c>
      <c r="Q98" s="31">
        <f t="shared" ref="Q98:Q99" si="331">480000+224000</f>
        <v>704000</v>
      </c>
      <c r="R98" s="93">
        <f>Q98*P98</f>
        <v>47168</v>
      </c>
      <c r="S98" s="31">
        <f>23592+1272198.68</f>
        <v>1295790.68</v>
      </c>
      <c r="T98" s="31">
        <v>1491220.42</v>
      </c>
      <c r="U98" s="23">
        <f>S98*P98</f>
        <v>86817.975560000006</v>
      </c>
      <c r="V98" s="23">
        <f>T98*P98</f>
        <v>99911.76814</v>
      </c>
      <c r="W98" s="24">
        <f>K98+M98+O98+R98+U98+N98</f>
        <v>263062.81556000002</v>
      </c>
      <c r="X98" s="1">
        <v>45918</v>
      </c>
      <c r="Y98" s="1">
        <v>45917</v>
      </c>
      <c r="Z98" s="144">
        <v>45932</v>
      </c>
      <c r="AA98" s="144">
        <v>45938</v>
      </c>
      <c r="AB98" s="144">
        <v>45938</v>
      </c>
      <c r="AC98" s="146" t="s">
        <v>138</v>
      </c>
    </row>
    <row r="99" spans="1:29" ht="15.75" customHeight="1" x14ac:dyDescent="0.35">
      <c r="A99" s="2">
        <v>96</v>
      </c>
      <c r="B99" s="2" t="s">
        <v>13</v>
      </c>
      <c r="C99" s="3" t="s">
        <v>512</v>
      </c>
      <c r="D99" s="149"/>
      <c r="E99" s="151"/>
      <c r="F99" s="90" t="s">
        <v>517</v>
      </c>
      <c r="G99" s="84" t="s">
        <v>516</v>
      </c>
      <c r="H99" s="120" t="s">
        <v>518</v>
      </c>
      <c r="I99" s="91">
        <v>1326674.1000000001</v>
      </c>
      <c r="J99" s="92">
        <v>4800</v>
      </c>
      <c r="K99" s="91">
        <v>197901.6</v>
      </c>
      <c r="L99" s="91">
        <f t="shared" si="330"/>
        <v>1524823.08</v>
      </c>
      <c r="M99" s="91">
        <v>247.38</v>
      </c>
      <c r="N99" s="143"/>
      <c r="O99" s="23">
        <v>3215</v>
      </c>
      <c r="P99" s="87">
        <v>6.7000000000000004E-2</v>
      </c>
      <c r="Q99" s="31">
        <f t="shared" si="331"/>
        <v>704000</v>
      </c>
      <c r="R99" s="93">
        <f t="shared" ref="R99:R100" si="332">Q99*P99</f>
        <v>47168</v>
      </c>
      <c r="S99" s="31">
        <f>23592+1272198.68</f>
        <v>1295790.68</v>
      </c>
      <c r="T99" s="31">
        <v>1491220.42</v>
      </c>
      <c r="U99" s="23">
        <f t="shared" ref="U99:U100" si="333">S99*P99</f>
        <v>86817.975560000006</v>
      </c>
      <c r="V99" s="23">
        <f t="shared" ref="V99:V100" si="334">T99*P99</f>
        <v>99911.76814</v>
      </c>
      <c r="W99" s="24">
        <f t="shared" ref="W99:W100" si="335">K99+M99+O99+R99+U99+N99</f>
        <v>335349.95556000003</v>
      </c>
      <c r="X99" s="1">
        <v>45916</v>
      </c>
      <c r="Y99" s="1">
        <v>45917</v>
      </c>
      <c r="Z99" s="145"/>
      <c r="AA99" s="145"/>
      <c r="AB99" s="145"/>
      <c r="AC99" s="147"/>
    </row>
    <row r="100" spans="1:29" ht="15.75" customHeight="1" x14ac:dyDescent="0.35">
      <c r="A100" s="2">
        <v>97</v>
      </c>
      <c r="B100" s="2" t="s">
        <v>13</v>
      </c>
      <c r="C100" s="3" t="s">
        <v>520</v>
      </c>
      <c r="D100" s="2" t="s">
        <v>56</v>
      </c>
      <c r="E100" s="16" t="s">
        <v>522</v>
      </c>
      <c r="F100" s="90" t="s">
        <v>523</v>
      </c>
      <c r="G100" s="84" t="s">
        <v>521</v>
      </c>
      <c r="H100" s="97" t="s">
        <v>524</v>
      </c>
      <c r="I100" s="91">
        <v>1494211.26</v>
      </c>
      <c r="J100" s="92">
        <v>7600</v>
      </c>
      <c r="K100" s="91">
        <v>321430.2</v>
      </c>
      <c r="L100" s="91">
        <f t="shared" si="330"/>
        <v>1816053.55</v>
      </c>
      <c r="M100" s="91">
        <v>412.09</v>
      </c>
      <c r="N100" s="140">
        <v>0</v>
      </c>
      <c r="O100" s="23">
        <v>4685</v>
      </c>
      <c r="P100" s="87">
        <v>6.7000000000000004E-2</v>
      </c>
      <c r="Q100" s="31">
        <f>480000+224000</f>
        <v>704000</v>
      </c>
      <c r="R100" s="93">
        <f t="shared" si="332"/>
        <v>47168</v>
      </c>
      <c r="S100" s="31">
        <f>23592+2495545.41+35275.33</f>
        <v>2554412.7400000002</v>
      </c>
      <c r="T100" s="31">
        <v>3236049.61</v>
      </c>
      <c r="U100" s="23">
        <f t="shared" si="333"/>
        <v>171145.65358000001</v>
      </c>
      <c r="V100" s="23">
        <f t="shared" si="334"/>
        <v>216815.32386999999</v>
      </c>
      <c r="W100" s="24">
        <f t="shared" si="335"/>
        <v>544840.94358000008</v>
      </c>
      <c r="X100" s="1">
        <v>45918</v>
      </c>
      <c r="Y100" s="1">
        <v>45917</v>
      </c>
      <c r="Z100" s="1">
        <v>45934</v>
      </c>
      <c r="AA100" s="1">
        <v>45937</v>
      </c>
      <c r="AB100" s="1">
        <v>45937</v>
      </c>
      <c r="AC100" s="94" t="s">
        <v>138</v>
      </c>
    </row>
    <row r="101" spans="1:29" ht="15.75" customHeight="1" x14ac:dyDescent="0.35">
      <c r="A101" s="2">
        <v>98</v>
      </c>
      <c r="B101" s="2" t="s">
        <v>13</v>
      </c>
      <c r="C101" s="3" t="s">
        <v>525</v>
      </c>
      <c r="D101" s="2" t="s">
        <v>56</v>
      </c>
      <c r="E101" s="16" t="s">
        <v>526</v>
      </c>
      <c r="F101" s="90" t="s">
        <v>528</v>
      </c>
      <c r="G101" s="84" t="s">
        <v>527</v>
      </c>
      <c r="H101" s="97" t="s">
        <v>529</v>
      </c>
      <c r="I101" s="91">
        <v>1753264.73</v>
      </c>
      <c r="J101" s="92">
        <v>7600</v>
      </c>
      <c r="K101" s="91">
        <v>313242.36</v>
      </c>
      <c r="L101" s="91">
        <f t="shared" ref="L101" si="336">I101+K101+M101</f>
        <v>2066919.2499999998</v>
      </c>
      <c r="M101" s="91">
        <v>412.16</v>
      </c>
      <c r="N101" s="140">
        <v>450</v>
      </c>
      <c r="O101" s="23">
        <v>3174</v>
      </c>
      <c r="P101" s="87">
        <v>6.7000000000000004E-2</v>
      </c>
      <c r="Q101" s="31">
        <f>480000+224000</f>
        <v>704000</v>
      </c>
      <c r="R101" s="93">
        <f t="shared" ref="R101" si="337">Q101*P101</f>
        <v>47168</v>
      </c>
      <c r="S101" s="31">
        <f>23692+3154632.48</f>
        <v>3178324.48</v>
      </c>
      <c r="T101" s="31">
        <v>3890473.47</v>
      </c>
      <c r="U101" s="23">
        <f t="shared" ref="U101" si="338">S101*P101</f>
        <v>212947.74016000002</v>
      </c>
      <c r="V101" s="23">
        <f t="shared" ref="V101" si="339">T101*P101</f>
        <v>260661.72249000004</v>
      </c>
      <c r="W101" s="24">
        <f t="shared" ref="W101" si="340">K101+M101+O101+R101+U101+N101</f>
        <v>577394.26015999995</v>
      </c>
      <c r="X101" s="1">
        <v>45917</v>
      </c>
      <c r="Y101" s="1">
        <v>45918</v>
      </c>
      <c r="Z101" s="1">
        <v>45939</v>
      </c>
      <c r="AA101" s="1">
        <v>45944</v>
      </c>
      <c r="AB101" s="1">
        <v>45944</v>
      </c>
      <c r="AC101" s="94" t="s">
        <v>138</v>
      </c>
    </row>
    <row r="102" spans="1:29" ht="15.75" customHeight="1" x14ac:dyDescent="0.35">
      <c r="A102" s="2">
        <v>99</v>
      </c>
      <c r="B102" s="2" t="s">
        <v>13</v>
      </c>
      <c r="C102" s="3" t="s">
        <v>530</v>
      </c>
      <c r="D102" s="2" t="s">
        <v>56</v>
      </c>
      <c r="E102" s="16" t="s">
        <v>532</v>
      </c>
      <c r="F102" s="90" t="s">
        <v>534</v>
      </c>
      <c r="G102" s="84" t="s">
        <v>533</v>
      </c>
      <c r="H102" s="97" t="s">
        <v>538</v>
      </c>
      <c r="I102" s="91">
        <v>1732211.57</v>
      </c>
      <c r="J102" s="92">
        <v>7600</v>
      </c>
      <c r="K102" s="91">
        <v>313431.59999999998</v>
      </c>
      <c r="L102" s="91">
        <f t="shared" ref="L102" si="341">I102+K102+M102</f>
        <v>2046055.5799999998</v>
      </c>
      <c r="M102" s="91">
        <v>412.41</v>
      </c>
      <c r="N102" s="140">
        <v>150</v>
      </c>
      <c r="O102" s="23">
        <v>3379</v>
      </c>
      <c r="P102" s="87">
        <v>6.7000000000000004E-2</v>
      </c>
      <c r="Q102" s="31">
        <f>480000+224000</f>
        <v>704000</v>
      </c>
      <c r="R102" s="93">
        <f t="shared" ref="R102" si="342">Q102*P102</f>
        <v>47168</v>
      </c>
      <c r="S102" s="31">
        <f>23592+37206.61</f>
        <v>60798.61</v>
      </c>
      <c r="T102" s="31">
        <v>3857702.48</v>
      </c>
      <c r="U102" s="23">
        <f t="shared" ref="U102" si="343">S102*P102</f>
        <v>4073.5068700000002</v>
      </c>
      <c r="V102" s="23">
        <f t="shared" ref="V102" si="344">T102*P102</f>
        <v>258466.06616000002</v>
      </c>
      <c r="W102" s="24">
        <f t="shared" ref="W102" si="345">K102+M102+O102+R102+U102+N102</f>
        <v>368614.51686999993</v>
      </c>
      <c r="X102" s="1">
        <v>45918</v>
      </c>
      <c r="Y102" s="1">
        <v>45919</v>
      </c>
      <c r="Z102" s="1">
        <v>45936</v>
      </c>
      <c r="AA102" s="1">
        <v>45938</v>
      </c>
      <c r="AB102" s="1">
        <v>45938</v>
      </c>
      <c r="AC102" s="94" t="s">
        <v>138</v>
      </c>
    </row>
    <row r="103" spans="1:29" ht="15.75" customHeight="1" x14ac:dyDescent="0.35">
      <c r="A103" s="2">
        <v>100</v>
      </c>
      <c r="B103" s="2" t="s">
        <v>13</v>
      </c>
      <c r="C103" s="3" t="s">
        <v>531</v>
      </c>
      <c r="D103" s="2" t="s">
        <v>56</v>
      </c>
      <c r="E103" s="16" t="s">
        <v>536</v>
      </c>
      <c r="F103" s="90" t="s">
        <v>537</v>
      </c>
      <c r="G103" s="84" t="s">
        <v>535</v>
      </c>
      <c r="H103" s="97" t="s">
        <v>539</v>
      </c>
      <c r="I103" s="91">
        <v>1896996.65</v>
      </c>
      <c r="J103" s="92">
        <v>7600</v>
      </c>
      <c r="K103" s="91">
        <v>313431.59999999998</v>
      </c>
      <c r="L103" s="91">
        <f t="shared" ref="L103" si="346">I103+K103+M103</f>
        <v>2210840.66</v>
      </c>
      <c r="M103" s="91">
        <v>412.41</v>
      </c>
      <c r="N103" s="140">
        <v>300</v>
      </c>
      <c r="O103" s="23">
        <f>2559+660</f>
        <v>3219</v>
      </c>
      <c r="P103" s="87">
        <v>6.7000000000000004E-2</v>
      </c>
      <c r="Q103" s="31">
        <f>480000+224000</f>
        <v>704000</v>
      </c>
      <c r="R103" s="93">
        <f t="shared" ref="R103" si="347">Q103*P103</f>
        <v>47168</v>
      </c>
      <c r="S103" s="31">
        <f>23592+2999940.73</f>
        <v>3023532.73</v>
      </c>
      <c r="T103" s="31">
        <v>3941153.87</v>
      </c>
      <c r="U103" s="23">
        <f t="shared" ref="U103" si="348">S103*P103</f>
        <v>202576.69291000001</v>
      </c>
      <c r="V103" s="23">
        <f t="shared" ref="V103" si="349">T103*P103</f>
        <v>264057.30929</v>
      </c>
      <c r="W103" s="24">
        <f t="shared" ref="W103" si="350">K103+M103+O103+R103+U103+N103</f>
        <v>567107.70290999999</v>
      </c>
      <c r="X103" s="1">
        <v>45918</v>
      </c>
      <c r="Y103" s="1">
        <v>45919</v>
      </c>
      <c r="Z103" s="1">
        <v>45933</v>
      </c>
      <c r="AA103" s="1">
        <v>45936</v>
      </c>
      <c r="AB103" s="1">
        <v>45936</v>
      </c>
      <c r="AC103" s="94" t="s">
        <v>138</v>
      </c>
    </row>
    <row r="104" spans="1:29" ht="15.75" customHeight="1" x14ac:dyDescent="0.35">
      <c r="A104" s="2">
        <v>101</v>
      </c>
      <c r="B104" s="2" t="s">
        <v>13</v>
      </c>
      <c r="C104" s="3" t="s">
        <v>540</v>
      </c>
      <c r="D104" s="2" t="s">
        <v>56</v>
      </c>
      <c r="E104" s="16" t="s">
        <v>541</v>
      </c>
      <c r="F104" s="90" t="s">
        <v>543</v>
      </c>
      <c r="G104" s="84" t="s">
        <v>542</v>
      </c>
      <c r="H104" s="97" t="s">
        <v>544</v>
      </c>
      <c r="I104" s="91">
        <v>1509396.44</v>
      </c>
      <c r="J104" s="92">
        <v>7600</v>
      </c>
      <c r="K104" s="91">
        <v>315387.84000000003</v>
      </c>
      <c r="L104" s="91">
        <f t="shared" ref="L104:L106" si="351">I104+K104+M104</f>
        <v>1825199.26</v>
      </c>
      <c r="M104" s="91">
        <v>414.98</v>
      </c>
      <c r="N104" s="140">
        <v>150</v>
      </c>
      <c r="O104" s="23">
        <f>3661+1446</f>
        <v>5107</v>
      </c>
      <c r="P104" s="87">
        <v>6.7000000000000004E-2</v>
      </c>
      <c r="Q104" s="31">
        <f>2*(480000+224000)</f>
        <v>1408000</v>
      </c>
      <c r="R104" s="93">
        <f t="shared" ref="R104" si="352">Q104*P104</f>
        <v>94336</v>
      </c>
      <c r="S104" s="31">
        <f>(23592*2)+(1011503.97+1932899.73)</f>
        <v>2991587.7</v>
      </c>
      <c r="T104" s="31">
        <f>1127694.94+2113844.04</f>
        <v>3241538.98</v>
      </c>
      <c r="U104" s="23">
        <f t="shared" ref="U104" si="353">S104*P104</f>
        <v>200436.37590000001</v>
      </c>
      <c r="V104" s="23">
        <f t="shared" ref="V104" si="354">T104*P104</f>
        <v>217183.11166000002</v>
      </c>
      <c r="W104" s="24">
        <f t="shared" ref="W104" si="355">K104+M104+O104+R104+U104+N104</f>
        <v>615832.19590000005</v>
      </c>
      <c r="X104" s="1">
        <v>45929</v>
      </c>
      <c r="Y104" s="1">
        <v>45930</v>
      </c>
      <c r="Z104" s="1">
        <v>45951</v>
      </c>
      <c r="AA104" s="1">
        <v>45953</v>
      </c>
      <c r="AB104" s="1">
        <v>45953</v>
      </c>
      <c r="AC104" s="94" t="s">
        <v>138</v>
      </c>
    </row>
    <row r="105" spans="1:29" x14ac:dyDescent="0.35">
      <c r="A105" s="2">
        <v>102</v>
      </c>
      <c r="B105" s="2" t="s">
        <v>13</v>
      </c>
      <c r="C105" s="3" t="s">
        <v>545</v>
      </c>
      <c r="D105" s="148" t="s">
        <v>56</v>
      </c>
      <c r="E105" s="150" t="s">
        <v>547</v>
      </c>
      <c r="F105" s="90" t="s">
        <v>549</v>
      </c>
      <c r="G105" s="84" t="s">
        <v>548</v>
      </c>
      <c r="H105" s="120" t="s">
        <v>552</v>
      </c>
      <c r="I105" s="91">
        <v>208742.54</v>
      </c>
      <c r="J105" s="92">
        <v>1500</v>
      </c>
      <c r="K105" s="91">
        <v>62126.85</v>
      </c>
      <c r="L105" s="91">
        <f t="shared" si="351"/>
        <v>270952.23000000004</v>
      </c>
      <c r="M105" s="91">
        <v>82.84</v>
      </c>
      <c r="N105" s="142">
        <f>300+150</f>
        <v>450</v>
      </c>
      <c r="O105" s="23">
        <v>4260</v>
      </c>
      <c r="P105" s="87">
        <v>6.7000000000000004E-2</v>
      </c>
      <c r="Q105" s="31">
        <f>704000*(L105/($L$105+$L$106))</f>
        <v>134286.17733352567</v>
      </c>
      <c r="R105" s="93">
        <f>Q105*P105</f>
        <v>8997.1738813462198</v>
      </c>
      <c r="S105" s="31">
        <f>(23592+2262785.99)*(L105/($L$105+$L$106))</f>
        <v>436120.68212586647</v>
      </c>
      <c r="T105" s="31">
        <f>2535795.52*($L$105/($L$105+$L$106))</f>
        <v>483696.43022767035</v>
      </c>
      <c r="U105" s="23">
        <f>S105*P105</f>
        <v>29220.085702433054</v>
      </c>
      <c r="V105" s="23">
        <f>T105*P105</f>
        <v>32407.660825253915</v>
      </c>
      <c r="W105" s="24">
        <f>K105+M105+O105+R105+U105+N105</f>
        <v>105136.94958377926</v>
      </c>
      <c r="X105" s="1">
        <v>45933</v>
      </c>
      <c r="Y105" s="1">
        <v>45932</v>
      </c>
      <c r="Z105" s="144">
        <v>45951</v>
      </c>
      <c r="AA105" s="144">
        <v>45953</v>
      </c>
      <c r="AB105" s="144">
        <v>45953</v>
      </c>
      <c r="AC105" s="146" t="s">
        <v>138</v>
      </c>
    </row>
    <row r="106" spans="1:29" ht="15.75" customHeight="1" x14ac:dyDescent="0.35">
      <c r="A106" s="2">
        <v>103</v>
      </c>
      <c r="B106" s="2" t="s">
        <v>13</v>
      </c>
      <c r="C106" s="3" t="s">
        <v>546</v>
      </c>
      <c r="D106" s="149"/>
      <c r="E106" s="151"/>
      <c r="F106" s="90" t="s">
        <v>551</v>
      </c>
      <c r="G106" s="84" t="s">
        <v>550</v>
      </c>
      <c r="H106" s="120" t="s">
        <v>553</v>
      </c>
      <c r="I106" s="91">
        <v>887752.44</v>
      </c>
      <c r="J106" s="92">
        <v>6300</v>
      </c>
      <c r="K106" s="91">
        <v>261439.92</v>
      </c>
      <c r="L106" s="91">
        <f t="shared" si="351"/>
        <v>1149524.3499999999</v>
      </c>
      <c r="M106" s="91">
        <v>331.99</v>
      </c>
      <c r="N106" s="143"/>
      <c r="O106" s="23">
        <f>2923.2+881.5</f>
        <v>3804.7</v>
      </c>
      <c r="P106" s="87">
        <v>6.7000000000000004E-2</v>
      </c>
      <c r="Q106" s="31">
        <f>704000*(L106/($L$105+$L$106))</f>
        <v>569713.82266647439</v>
      </c>
      <c r="R106" s="93">
        <f t="shared" ref="R106:R107" si="356">Q106*P106</f>
        <v>38170.826118653786</v>
      </c>
      <c r="S106" s="31">
        <f>(23592+2262785.99)*(L106/($L$105+$L$106))</f>
        <v>1850257.307874134</v>
      </c>
      <c r="T106" s="31">
        <f>2535795.52*(L106/($L$105+$L$106))</f>
        <v>2052099.0897723299</v>
      </c>
      <c r="U106" s="23">
        <f t="shared" ref="U106:U107" si="357">S106*P106</f>
        <v>123967.23962756699</v>
      </c>
      <c r="V106" s="23">
        <f t="shared" ref="V106:V107" si="358">T106*P106</f>
        <v>137490.63901474612</v>
      </c>
      <c r="W106" s="24">
        <f t="shared" ref="W106:W107" si="359">K106+M106+O106+R106+U106+N106</f>
        <v>427714.67574622075</v>
      </c>
      <c r="X106" s="1">
        <v>45931</v>
      </c>
      <c r="Y106" s="1">
        <v>45932</v>
      </c>
      <c r="Z106" s="145"/>
      <c r="AA106" s="145"/>
      <c r="AB106" s="145"/>
      <c r="AC106" s="147"/>
    </row>
    <row r="107" spans="1:29" ht="15.75" customHeight="1" x14ac:dyDescent="0.35">
      <c r="A107" s="2">
        <v>104</v>
      </c>
      <c r="B107" s="2" t="s">
        <v>13</v>
      </c>
      <c r="C107" s="3" t="s">
        <v>554</v>
      </c>
      <c r="D107" s="2" t="s">
        <v>56</v>
      </c>
      <c r="E107" s="16" t="s">
        <v>555</v>
      </c>
      <c r="F107" s="90" t="s">
        <v>557</v>
      </c>
      <c r="G107" s="84" t="s">
        <v>556</v>
      </c>
      <c r="H107" s="97" t="s">
        <v>558</v>
      </c>
      <c r="I107" s="91">
        <v>1684614.99</v>
      </c>
      <c r="J107" s="92">
        <v>7600</v>
      </c>
      <c r="K107" s="91">
        <v>323687.52</v>
      </c>
      <c r="L107" s="91">
        <f t="shared" ref="L107" si="360">I107+K107+M107</f>
        <v>2008717.49</v>
      </c>
      <c r="M107" s="91">
        <v>414.98</v>
      </c>
      <c r="N107" s="140">
        <v>300</v>
      </c>
      <c r="O107" s="23">
        <v>5622</v>
      </c>
      <c r="P107" s="87">
        <v>6.7000000000000004E-2</v>
      </c>
      <c r="Q107" s="31">
        <f>(480000+224000+360000)</f>
        <v>1064000</v>
      </c>
      <c r="R107" s="93">
        <f t="shared" si="356"/>
        <v>71288</v>
      </c>
      <c r="S107" s="31">
        <f>23592+2950586.68</f>
        <v>2974178.68</v>
      </c>
      <c r="T107" s="31">
        <v>3820896.5</v>
      </c>
      <c r="U107" s="23">
        <f t="shared" si="357"/>
        <v>199269.97156000003</v>
      </c>
      <c r="V107" s="23">
        <f t="shared" si="358"/>
        <v>256000.06550000003</v>
      </c>
      <c r="W107" s="24">
        <f t="shared" si="359"/>
        <v>600582.47155999998</v>
      </c>
      <c r="X107" s="1">
        <v>45932</v>
      </c>
      <c r="Y107" s="1">
        <v>45933</v>
      </c>
      <c r="Z107" s="1">
        <v>45950</v>
      </c>
      <c r="AA107" s="1">
        <v>45953</v>
      </c>
      <c r="AB107" s="1">
        <v>45953</v>
      </c>
      <c r="AC107" s="94" t="s">
        <v>138</v>
      </c>
    </row>
    <row r="108" spans="1:29" ht="15.75" customHeight="1" x14ac:dyDescent="0.35">
      <c r="A108" s="2">
        <v>105</v>
      </c>
      <c r="B108" s="2" t="s">
        <v>13</v>
      </c>
      <c r="C108" s="3" t="s">
        <v>559</v>
      </c>
      <c r="D108" s="2" t="s">
        <v>56</v>
      </c>
      <c r="E108" s="16" t="s">
        <v>560</v>
      </c>
      <c r="F108" s="90" t="s">
        <v>562</v>
      </c>
      <c r="G108" s="84" t="s">
        <v>561</v>
      </c>
      <c r="H108" s="97" t="s">
        <v>563</v>
      </c>
      <c r="I108" s="91">
        <v>1474381.06</v>
      </c>
      <c r="J108" s="92">
        <v>7600</v>
      </c>
      <c r="K108" s="91">
        <v>315615.08</v>
      </c>
      <c r="L108" s="91">
        <f t="shared" ref="L108" si="361">I108+K108+M108</f>
        <v>1790411.4200000002</v>
      </c>
      <c r="M108" s="91">
        <v>415.28</v>
      </c>
      <c r="N108" s="140">
        <v>300</v>
      </c>
      <c r="O108" s="23">
        <f>3661.2+2175</f>
        <v>5836.2</v>
      </c>
      <c r="P108" s="87">
        <v>6.7000000000000004E-2</v>
      </c>
      <c r="Q108" s="31">
        <f>(480000+224000+360000)</f>
        <v>1064000</v>
      </c>
      <c r="R108" s="93">
        <f t="shared" ref="R108" si="362">Q108*P108</f>
        <v>71288</v>
      </c>
      <c r="S108" s="31">
        <f>23592+2508865.91</f>
        <v>2532457.91</v>
      </c>
      <c r="T108" s="31">
        <v>3185133.02</v>
      </c>
      <c r="U108" s="23">
        <f t="shared" ref="U108" si="363">S108*P108</f>
        <v>169674.67997000003</v>
      </c>
      <c r="V108" s="23">
        <f t="shared" ref="V108" si="364">T108*P108</f>
        <v>213403.91234000001</v>
      </c>
      <c r="W108" s="24">
        <f t="shared" ref="W108" si="365">K108+M108+O108+R108+U108+N108</f>
        <v>563129.23997000011</v>
      </c>
      <c r="X108" s="1">
        <v>45932</v>
      </c>
      <c r="Y108" s="1">
        <v>45933</v>
      </c>
      <c r="Z108" s="1">
        <v>45951</v>
      </c>
      <c r="AA108" s="1">
        <v>45954</v>
      </c>
      <c r="AB108" s="1">
        <v>45954</v>
      </c>
      <c r="AC108" s="94" t="s">
        <v>138</v>
      </c>
    </row>
    <row r="109" spans="1:29" ht="15.75" customHeight="1" x14ac:dyDescent="0.35">
      <c r="A109" s="2">
        <v>106</v>
      </c>
      <c r="B109" s="2" t="s">
        <v>13</v>
      </c>
      <c r="C109" s="3" t="s">
        <v>564</v>
      </c>
      <c r="D109" s="2" t="s">
        <v>56</v>
      </c>
      <c r="E109" s="16" t="s">
        <v>565</v>
      </c>
      <c r="F109" s="90" t="s">
        <v>567</v>
      </c>
      <c r="G109" s="84" t="s">
        <v>566</v>
      </c>
      <c r="H109" s="97" t="s">
        <v>568</v>
      </c>
      <c r="I109" s="91">
        <v>1680643.15</v>
      </c>
      <c r="J109" s="92">
        <v>7600</v>
      </c>
      <c r="K109" s="91">
        <v>316331</v>
      </c>
      <c r="L109" s="91">
        <f t="shared" ref="L109" si="366">I109+K109+M109</f>
        <v>1997390.38</v>
      </c>
      <c r="M109" s="91">
        <v>416.23</v>
      </c>
      <c r="N109" s="140">
        <v>750</v>
      </c>
      <c r="O109" s="23">
        <f>3513.6+1732</f>
        <v>5245.6</v>
      </c>
      <c r="P109" s="87">
        <v>6.7000000000000004E-2</v>
      </c>
      <c r="Q109" s="31">
        <f>(480000+224000+360000)</f>
        <v>1064000</v>
      </c>
      <c r="R109" s="93">
        <f t="shared" ref="R109" si="367">Q109*P109</f>
        <v>71288</v>
      </c>
      <c r="S109" s="31">
        <f>23592+2850243.15</f>
        <v>2873835.15</v>
      </c>
      <c r="T109" s="31">
        <v>3451976.73</v>
      </c>
      <c r="U109" s="23">
        <f t="shared" ref="U109" si="368">S109*P109</f>
        <v>192546.95505000002</v>
      </c>
      <c r="V109" s="23">
        <f t="shared" ref="V109" si="369">T109*P109</f>
        <v>231282.44091</v>
      </c>
      <c r="W109" s="24">
        <f t="shared" ref="W109" si="370">K109+M109+O109+R109+U109+N109</f>
        <v>586577.78504999995</v>
      </c>
      <c r="X109" s="1">
        <v>45936</v>
      </c>
      <c r="Y109" s="1">
        <v>45937</v>
      </c>
      <c r="Z109" s="1">
        <v>45959</v>
      </c>
      <c r="AA109" s="1">
        <v>45965</v>
      </c>
      <c r="AB109" s="1">
        <v>45965</v>
      </c>
      <c r="AC109" s="94" t="s">
        <v>138</v>
      </c>
    </row>
    <row r="110" spans="1:29" ht="15.75" customHeight="1" x14ac:dyDescent="0.35">
      <c r="A110" s="2">
        <v>107</v>
      </c>
      <c r="B110" s="2" t="s">
        <v>13</v>
      </c>
      <c r="C110" s="3" t="s">
        <v>569</v>
      </c>
      <c r="D110" s="2" t="s">
        <v>56</v>
      </c>
      <c r="E110" s="16" t="s">
        <v>571</v>
      </c>
      <c r="F110" s="90" t="s">
        <v>574</v>
      </c>
      <c r="G110" s="84" t="s">
        <v>573</v>
      </c>
      <c r="H110" s="97" t="s">
        <v>572</v>
      </c>
      <c r="I110" s="91">
        <v>1445054.43</v>
      </c>
      <c r="J110" s="92">
        <v>7600</v>
      </c>
      <c r="K110" s="91">
        <v>316479.96000000002</v>
      </c>
      <c r="L110" s="91">
        <f t="shared" ref="L110" si="371">I110+K110+M110</f>
        <v>1761950.8099999998</v>
      </c>
      <c r="M110" s="91">
        <v>416.42</v>
      </c>
      <c r="N110" s="140">
        <v>0</v>
      </c>
      <c r="O110" s="23">
        <f>3120+1520</f>
        <v>4640</v>
      </c>
      <c r="P110" s="87">
        <v>6.7000000000000004E-2</v>
      </c>
      <c r="Q110" s="31">
        <f>(480000+224000)</f>
        <v>704000</v>
      </c>
      <c r="R110" s="93">
        <f t="shared" ref="R110" si="372">Q110*P110</f>
        <v>47168</v>
      </c>
      <c r="S110" s="31">
        <f>23592+2776332.2</f>
        <v>2799924.2</v>
      </c>
      <c r="T110" s="31">
        <v>3046575.98</v>
      </c>
      <c r="U110" s="23">
        <f t="shared" ref="U110" si="373">S110*P110</f>
        <v>187594.92140000002</v>
      </c>
      <c r="V110" s="23">
        <f t="shared" ref="V110" si="374">T110*P110</f>
        <v>204120.59066000002</v>
      </c>
      <c r="W110" s="24">
        <f t="shared" ref="W110" si="375">K110+M110+O110+R110+U110+N110</f>
        <v>556299.3014</v>
      </c>
      <c r="X110" s="1">
        <v>45939</v>
      </c>
      <c r="Y110" s="1">
        <v>45940</v>
      </c>
      <c r="Z110" s="1">
        <v>45953</v>
      </c>
      <c r="AA110" s="1">
        <v>45958</v>
      </c>
      <c r="AB110" s="1">
        <v>45958</v>
      </c>
      <c r="AC110" s="94" t="s">
        <v>138</v>
      </c>
    </row>
    <row r="111" spans="1:29" ht="15.75" customHeight="1" x14ac:dyDescent="0.35">
      <c r="A111" s="2">
        <v>108</v>
      </c>
      <c r="B111" s="2" t="s">
        <v>13</v>
      </c>
      <c r="C111" s="3" t="s">
        <v>570</v>
      </c>
      <c r="D111" s="2" t="s">
        <v>56</v>
      </c>
      <c r="E111" s="16" t="s">
        <v>575</v>
      </c>
      <c r="F111" s="90" t="s">
        <v>577</v>
      </c>
      <c r="G111" s="84" t="s">
        <v>576</v>
      </c>
      <c r="H111" s="97" t="s">
        <v>578</v>
      </c>
      <c r="I111" s="91">
        <v>1603686.67</v>
      </c>
      <c r="J111" s="92">
        <v>7600</v>
      </c>
      <c r="K111" s="91">
        <v>316479.96000000002</v>
      </c>
      <c r="L111" s="91">
        <f t="shared" ref="L111:L113" si="376">I111+K111+M111</f>
        <v>1920583.0499999998</v>
      </c>
      <c r="M111" s="91">
        <v>416.42</v>
      </c>
      <c r="N111" s="140">
        <v>150</v>
      </c>
      <c r="O111" s="23">
        <f>4104+1704</f>
        <v>5808</v>
      </c>
      <c r="P111" s="87">
        <v>6.7000000000000004E-2</v>
      </c>
      <c r="Q111" s="31">
        <f>(480000+224000)</f>
        <v>704000</v>
      </c>
      <c r="R111" s="93">
        <f t="shared" ref="R111" si="377">Q111*P111</f>
        <v>47168</v>
      </c>
      <c r="S111" s="31">
        <f>23592+2579325.67</f>
        <v>2602917.67</v>
      </c>
      <c r="T111" s="31">
        <v>3273889.19</v>
      </c>
      <c r="U111" s="23">
        <f t="shared" ref="U111" si="378">S111*P111</f>
        <v>174395.48389</v>
      </c>
      <c r="V111" s="23">
        <f t="shared" ref="V111" si="379">T111*P111</f>
        <v>219350.57573000001</v>
      </c>
      <c r="W111" s="24">
        <f t="shared" ref="W111" si="380">K111+M111+O111+R111+U111+N111</f>
        <v>544417.86389000004</v>
      </c>
      <c r="X111" s="1">
        <v>45939</v>
      </c>
      <c r="Y111" s="1">
        <v>45940</v>
      </c>
      <c r="Z111" s="1">
        <v>45959</v>
      </c>
      <c r="AA111" s="1">
        <v>45961</v>
      </c>
      <c r="AB111" s="1">
        <v>45961</v>
      </c>
      <c r="AC111" s="94" t="s">
        <v>138</v>
      </c>
    </row>
    <row r="112" spans="1:29" x14ac:dyDescent="0.35">
      <c r="A112" s="2">
        <v>109</v>
      </c>
      <c r="B112" s="2" t="s">
        <v>13</v>
      </c>
      <c r="C112" s="3" t="s">
        <v>579</v>
      </c>
      <c r="D112" s="148" t="s">
        <v>56</v>
      </c>
      <c r="E112" s="150" t="s">
        <v>583</v>
      </c>
      <c r="F112" s="90" t="s">
        <v>585</v>
      </c>
      <c r="G112" s="84" t="s">
        <v>584</v>
      </c>
      <c r="H112" s="120" t="s">
        <v>600</v>
      </c>
      <c r="I112" s="91">
        <v>1101516.27</v>
      </c>
      <c r="J112" s="92">
        <v>4400</v>
      </c>
      <c r="K112" s="91">
        <v>183748.84</v>
      </c>
      <c r="L112" s="91">
        <f t="shared" si="376"/>
        <v>1285515.6800000002</v>
      </c>
      <c r="M112" s="91">
        <v>250.57</v>
      </c>
      <c r="N112" s="142">
        <f>300+150</f>
        <v>450</v>
      </c>
      <c r="O112" s="23">
        <f>3366+1179.5</f>
        <v>4545.5</v>
      </c>
      <c r="P112" s="87">
        <v>6.7000000000000004E-2</v>
      </c>
      <c r="Q112" s="31">
        <f>(480000+224000+360000)</f>
        <v>1064000</v>
      </c>
      <c r="R112" s="93">
        <f>Q112*P112</f>
        <v>71288</v>
      </c>
      <c r="S112" s="31">
        <f>23592+1898886.08</f>
        <v>1922478.0800000001</v>
      </c>
      <c r="T112" s="31">
        <v>2244982.4300000002</v>
      </c>
      <c r="U112" s="23">
        <f>S112*P112</f>
        <v>128806.03136000001</v>
      </c>
      <c r="V112" s="23">
        <f>T112*P112</f>
        <v>150413.82281000001</v>
      </c>
      <c r="W112" s="24">
        <f>K112+M112+O112+R112+U112+N112</f>
        <v>389088.94136</v>
      </c>
      <c r="X112" s="1">
        <v>45947</v>
      </c>
      <c r="Y112" s="1">
        <v>45946</v>
      </c>
      <c r="Z112" s="153">
        <v>45964</v>
      </c>
      <c r="AA112" s="153">
        <v>45966</v>
      </c>
      <c r="AB112" s="153">
        <v>45966</v>
      </c>
      <c r="AC112" s="146" t="s">
        <v>138</v>
      </c>
    </row>
    <row r="113" spans="1:29" ht="15.75" customHeight="1" x14ac:dyDescent="0.35">
      <c r="A113" s="2">
        <v>110</v>
      </c>
      <c r="B113" s="2" t="s">
        <v>13</v>
      </c>
      <c r="C113" s="3" t="s">
        <v>580</v>
      </c>
      <c r="D113" s="149"/>
      <c r="E113" s="151"/>
      <c r="F113" s="90" t="s">
        <v>597</v>
      </c>
      <c r="G113" s="84" t="s">
        <v>586</v>
      </c>
      <c r="H113" s="120" t="s">
        <v>599</v>
      </c>
      <c r="I113" s="91">
        <v>563949.77</v>
      </c>
      <c r="J113" s="92">
        <v>3900</v>
      </c>
      <c r="K113" s="91">
        <v>162706.44</v>
      </c>
      <c r="L113" s="91">
        <f t="shared" si="376"/>
        <v>726906.52999999991</v>
      </c>
      <c r="M113" s="91">
        <v>250.32</v>
      </c>
      <c r="N113" s="143"/>
      <c r="O113" s="23">
        <f>3550</f>
        <v>3550</v>
      </c>
      <c r="P113" s="87">
        <v>6.7000000000000004E-2</v>
      </c>
      <c r="Q113" s="31">
        <f>(480000+224000)</f>
        <v>704000</v>
      </c>
      <c r="R113" s="93">
        <f t="shared" ref="R113" si="381">Q113*P113</f>
        <v>47168</v>
      </c>
      <c r="S113" s="31">
        <f>23592+855881.31</f>
        <v>879473.31</v>
      </c>
      <c r="T113" s="31">
        <v>1201130.3</v>
      </c>
      <c r="U113" s="23">
        <f t="shared" ref="U113" si="382">S113*P113</f>
        <v>58924.711770000009</v>
      </c>
      <c r="V113" s="23">
        <f t="shared" ref="V113" si="383">T113*P113</f>
        <v>80475.730100000001</v>
      </c>
      <c r="W113" s="24">
        <f t="shared" ref="W113" si="384">K113+M113+O113+R113+U113+N113</f>
        <v>272599.47177</v>
      </c>
      <c r="X113" s="1">
        <v>45944</v>
      </c>
      <c r="Y113" s="1">
        <v>45945</v>
      </c>
      <c r="Z113" s="155"/>
      <c r="AA113" s="155"/>
      <c r="AB113" s="155"/>
      <c r="AC113" s="147"/>
    </row>
    <row r="114" spans="1:29" x14ac:dyDescent="0.35">
      <c r="A114" s="2">
        <v>111</v>
      </c>
      <c r="B114" s="2" t="s">
        <v>13</v>
      </c>
      <c r="C114" s="3" t="s">
        <v>581</v>
      </c>
      <c r="D114" s="148" t="s">
        <v>56</v>
      </c>
      <c r="E114" s="157" t="s">
        <v>587</v>
      </c>
      <c r="F114" s="90" t="s">
        <v>589</v>
      </c>
      <c r="G114" s="122" t="s">
        <v>588</v>
      </c>
      <c r="H114" s="121" t="s">
        <v>605</v>
      </c>
      <c r="I114" s="91">
        <v>1271530.3</v>
      </c>
      <c r="J114" s="92">
        <v>4400</v>
      </c>
      <c r="K114" s="91">
        <v>183698.24</v>
      </c>
      <c r="L114" s="91">
        <f t="shared" ref="L114:L116" si="385">I114+K114+M114</f>
        <v>1455479.04</v>
      </c>
      <c r="M114" s="91">
        <v>250.5</v>
      </c>
      <c r="N114" s="142">
        <v>150</v>
      </c>
      <c r="O114" s="23">
        <f>3218.4+1335</f>
        <v>4553.3999999999996</v>
      </c>
      <c r="P114" s="87">
        <v>6.7000000000000004E-2</v>
      </c>
      <c r="Q114" s="31">
        <f>(480000+224000)</f>
        <v>704000</v>
      </c>
      <c r="R114" s="93">
        <f>Q114*P114</f>
        <v>47168</v>
      </c>
      <c r="S114" s="31">
        <f>23592+2169773.01</f>
        <v>2193365.0099999998</v>
      </c>
      <c r="T114" s="31">
        <v>2531625</v>
      </c>
      <c r="U114" s="23">
        <f>S114*P114</f>
        <v>146955.45567</v>
      </c>
      <c r="V114" s="23">
        <f>T114*P114</f>
        <v>169618.875</v>
      </c>
      <c r="W114" s="24">
        <f>K114+M114+O114+R114+U114+N114</f>
        <v>382775.59566999995</v>
      </c>
      <c r="X114" s="1">
        <v>45947</v>
      </c>
      <c r="Y114" s="1">
        <v>45946</v>
      </c>
      <c r="Z114" s="153">
        <v>45964</v>
      </c>
      <c r="AA114" s="153">
        <v>45967</v>
      </c>
      <c r="AB114" s="153">
        <v>45967</v>
      </c>
      <c r="AC114" s="146" t="s">
        <v>138</v>
      </c>
    </row>
    <row r="115" spans="1:29" ht="15.75" customHeight="1" x14ac:dyDescent="0.35">
      <c r="A115" s="2">
        <v>112</v>
      </c>
      <c r="B115" s="2" t="s">
        <v>13</v>
      </c>
      <c r="C115" s="3" t="s">
        <v>582</v>
      </c>
      <c r="D115" s="149"/>
      <c r="E115" s="158"/>
      <c r="F115" s="90" t="s">
        <v>598</v>
      </c>
      <c r="G115" s="122" t="s">
        <v>590</v>
      </c>
      <c r="H115" s="120" t="s">
        <v>602</v>
      </c>
      <c r="I115" s="91">
        <v>598872.06000000006</v>
      </c>
      <c r="J115" s="92">
        <v>3900</v>
      </c>
      <c r="K115" s="91">
        <v>162706.44</v>
      </c>
      <c r="L115" s="91">
        <f t="shared" si="385"/>
        <v>761745.38</v>
      </c>
      <c r="M115" s="91">
        <v>166.88</v>
      </c>
      <c r="N115" s="143"/>
      <c r="O115" s="23">
        <f>4685</f>
        <v>4685</v>
      </c>
      <c r="P115" s="87">
        <v>6.7000000000000004E-2</v>
      </c>
      <c r="Q115" s="31">
        <f>(480000+224000)</f>
        <v>704000</v>
      </c>
      <c r="R115" s="93">
        <f t="shared" ref="R115:R116" si="386">Q115*P115</f>
        <v>47168</v>
      </c>
      <c r="S115" s="31">
        <f>23592+1015136.28</f>
        <v>1038728.28</v>
      </c>
      <c r="T115" s="31">
        <v>1291756.47</v>
      </c>
      <c r="U115" s="23">
        <f t="shared" ref="U115:U116" si="387">S115*P115</f>
        <v>69594.794760000004</v>
      </c>
      <c r="V115" s="23">
        <f t="shared" ref="V115:V116" si="388">T115*P115</f>
        <v>86547.68349000001</v>
      </c>
      <c r="W115" s="24">
        <f t="shared" ref="W115:W116" si="389">K115+M115+O115+R115+U115+N115</f>
        <v>284321.11476000003</v>
      </c>
      <c r="X115" s="1">
        <v>45946</v>
      </c>
      <c r="Y115" s="1">
        <v>45945</v>
      </c>
      <c r="Z115" s="155"/>
      <c r="AA115" s="155"/>
      <c r="AB115" s="155"/>
      <c r="AC115" s="147"/>
    </row>
    <row r="116" spans="1:29" ht="15.75" customHeight="1" x14ac:dyDescent="0.35">
      <c r="A116" s="2">
        <v>113</v>
      </c>
      <c r="B116" s="2" t="s">
        <v>13</v>
      </c>
      <c r="C116" s="3" t="s">
        <v>591</v>
      </c>
      <c r="D116" s="2" t="s">
        <v>56</v>
      </c>
      <c r="E116" s="16" t="s">
        <v>592</v>
      </c>
      <c r="F116" s="90">
        <v>145</v>
      </c>
      <c r="G116" s="84" t="s">
        <v>593</v>
      </c>
      <c r="H116" s="97" t="s">
        <v>601</v>
      </c>
      <c r="I116" s="91">
        <v>2043670.53</v>
      </c>
      <c r="J116" s="92">
        <v>7600</v>
      </c>
      <c r="K116" s="91">
        <v>317384.36</v>
      </c>
      <c r="L116" s="91">
        <f t="shared" si="385"/>
        <v>2361472.5</v>
      </c>
      <c r="M116" s="91">
        <v>417.61</v>
      </c>
      <c r="N116" s="140">
        <f>150+300</f>
        <v>450</v>
      </c>
      <c r="O116" s="23">
        <f>4202.4+2073.5</f>
        <v>6275.9</v>
      </c>
      <c r="P116" s="87">
        <v>6.7000000000000004E-2</v>
      </c>
      <c r="Q116" s="31">
        <f>(480000+224000)</f>
        <v>704000</v>
      </c>
      <c r="R116" s="93">
        <f t="shared" si="386"/>
        <v>47168</v>
      </c>
      <c r="S116" s="31">
        <f>23592+3202212.16</f>
        <v>3225804.16</v>
      </c>
      <c r="T116" s="31">
        <v>4132178.78</v>
      </c>
      <c r="U116" s="23">
        <f t="shared" si="387"/>
        <v>216128.87872000004</v>
      </c>
      <c r="V116" s="23">
        <f t="shared" si="388"/>
        <v>276855.97826</v>
      </c>
      <c r="W116" s="24">
        <f t="shared" si="389"/>
        <v>587824.74872000003</v>
      </c>
      <c r="X116" s="1">
        <v>45945</v>
      </c>
      <c r="Y116" s="1">
        <v>45946</v>
      </c>
      <c r="Z116" s="1">
        <v>45959</v>
      </c>
      <c r="AA116" s="1">
        <v>45961</v>
      </c>
      <c r="AB116" s="1">
        <v>45961</v>
      </c>
      <c r="AC116" s="94" t="s">
        <v>138</v>
      </c>
    </row>
    <row r="117" spans="1:29" ht="15.75" customHeight="1" x14ac:dyDescent="0.35">
      <c r="A117" s="2">
        <v>114</v>
      </c>
      <c r="B117" s="2" t="s">
        <v>13</v>
      </c>
      <c r="C117" s="3" t="s">
        <v>594</v>
      </c>
      <c r="D117" s="2" t="s">
        <v>56</v>
      </c>
      <c r="E117" s="16" t="s">
        <v>595</v>
      </c>
      <c r="F117" s="90" t="s">
        <v>596</v>
      </c>
      <c r="G117" s="84" t="s">
        <v>603</v>
      </c>
      <c r="H117" s="97" t="s">
        <v>604</v>
      </c>
      <c r="I117" s="91">
        <v>1820884.1000000059</v>
      </c>
      <c r="J117" s="92">
        <v>7600</v>
      </c>
      <c r="K117" s="91">
        <v>317479.36</v>
      </c>
      <c r="L117" s="91">
        <f t="shared" ref="L117" si="390">I117+K117+M117</f>
        <v>2138781.2000000062</v>
      </c>
      <c r="M117" s="91">
        <v>417.74</v>
      </c>
      <c r="N117" s="140">
        <v>750</v>
      </c>
      <c r="O117" s="23">
        <f>3316.8+2377.5</f>
        <v>5694.3</v>
      </c>
      <c r="P117" s="87">
        <v>6.7000000000000004E-2</v>
      </c>
      <c r="Q117" s="31">
        <f>(480000+224000+360000)</f>
        <v>1064000</v>
      </c>
      <c r="R117" s="93">
        <f t="shared" ref="R117" si="391">Q117*P117</f>
        <v>71288</v>
      </c>
      <c r="S117" s="31">
        <f>23591+3342963.07</f>
        <v>3366554.07</v>
      </c>
      <c r="T117" s="31">
        <v>3805192.09</v>
      </c>
      <c r="U117" s="23">
        <f t="shared" ref="U117" si="392">S117*P117</f>
        <v>225559.12268999999</v>
      </c>
      <c r="V117" s="23">
        <f t="shared" ref="V117" si="393">T117*P117</f>
        <v>254947.87002999999</v>
      </c>
      <c r="W117" s="24">
        <f t="shared" ref="W117" si="394">K117+M117+O117+R117+U117+N117</f>
        <v>621188.52269000001</v>
      </c>
      <c r="X117" s="1">
        <v>45947</v>
      </c>
      <c r="Y117" s="1">
        <v>45947</v>
      </c>
      <c r="Z117" s="1">
        <v>45959</v>
      </c>
      <c r="AA117" s="1">
        <v>45965</v>
      </c>
      <c r="AB117" s="1">
        <v>45965</v>
      </c>
      <c r="AC117" s="94" t="s">
        <v>138</v>
      </c>
    </row>
    <row r="118" spans="1:29" x14ac:dyDescent="0.35">
      <c r="A118" s="2">
        <v>116</v>
      </c>
      <c r="B118" s="2" t="s">
        <v>13</v>
      </c>
      <c r="C118" s="3" t="s">
        <v>610</v>
      </c>
      <c r="D118" s="148" t="s">
        <v>56</v>
      </c>
      <c r="E118" s="157" t="s">
        <v>487</v>
      </c>
      <c r="F118" s="90" t="s">
        <v>613</v>
      </c>
      <c r="G118" s="122" t="s">
        <v>612</v>
      </c>
      <c r="H118" s="120" t="s">
        <v>616</v>
      </c>
      <c r="I118" s="91">
        <v>156260.72</v>
      </c>
      <c r="J118" s="92">
        <v>1400</v>
      </c>
      <c r="K118" s="91">
        <v>58627.519999999997</v>
      </c>
      <c r="L118" s="91">
        <f>I118+K118+M118</f>
        <v>214971.99</v>
      </c>
      <c r="M118" s="91">
        <v>83.75</v>
      </c>
      <c r="N118" s="142">
        <v>150</v>
      </c>
      <c r="O118" s="23">
        <v>4260</v>
      </c>
      <c r="P118" s="87">
        <v>6.7000000000000004E-2</v>
      </c>
      <c r="Q118" s="31">
        <f>(480000+224000)</f>
        <v>704000</v>
      </c>
      <c r="R118" s="93">
        <f>Q118*P118</f>
        <v>47168</v>
      </c>
      <c r="S118" s="31">
        <f>23592+276349.34</f>
        <v>299941.34000000003</v>
      </c>
      <c r="T118" s="31">
        <v>357419.07</v>
      </c>
      <c r="U118" s="23">
        <f>S118*P118</f>
        <v>20096.069780000002</v>
      </c>
      <c r="V118" s="23">
        <f>T118*P118</f>
        <v>23947.077690000002</v>
      </c>
      <c r="W118" s="24">
        <f>K118+M118+O118+R118+U118+N118</f>
        <v>130385.33977999999</v>
      </c>
      <c r="X118" s="1">
        <v>45953</v>
      </c>
      <c r="Y118" s="1">
        <v>45952</v>
      </c>
      <c r="Z118" s="153">
        <v>45971</v>
      </c>
      <c r="AA118" s="153">
        <v>45973</v>
      </c>
      <c r="AB118" s="153">
        <v>45973</v>
      </c>
      <c r="AC118" s="146" t="s">
        <v>138</v>
      </c>
    </row>
    <row r="119" spans="1:29" ht="15.75" customHeight="1" x14ac:dyDescent="0.35">
      <c r="A119" s="2">
        <v>117</v>
      </c>
      <c r="B119" s="2" t="s">
        <v>13</v>
      </c>
      <c r="C119" s="3" t="s">
        <v>611</v>
      </c>
      <c r="D119" s="149"/>
      <c r="E119" s="158"/>
      <c r="F119" s="90" t="s">
        <v>615</v>
      </c>
      <c r="G119" s="122" t="s">
        <v>614</v>
      </c>
      <c r="H119" s="120" t="s">
        <v>617</v>
      </c>
      <c r="I119" s="91">
        <v>1622521.28</v>
      </c>
      <c r="J119" s="92">
        <v>6400</v>
      </c>
      <c r="K119" s="91">
        <v>268078.08000000002</v>
      </c>
      <c r="L119" s="91">
        <f>I119+K119+M119</f>
        <v>1890934.4600000002</v>
      </c>
      <c r="M119" s="91">
        <v>335.1</v>
      </c>
      <c r="N119" s="143"/>
      <c r="O119" s="23">
        <f>4251.6+1484.5</f>
        <v>5736.1</v>
      </c>
      <c r="P119" s="87">
        <v>6.7000000000000004E-2</v>
      </c>
      <c r="Q119" s="31">
        <f>(480000+224000)</f>
        <v>704000</v>
      </c>
      <c r="R119" s="93">
        <f t="shared" ref="R119" si="395">Q119*P119</f>
        <v>47168</v>
      </c>
      <c r="S119" s="31">
        <f>23592+2453718.49</f>
        <v>2477310.4900000002</v>
      </c>
      <c r="T119" s="31">
        <v>3193013.17</v>
      </c>
      <c r="U119" s="23">
        <f t="shared" ref="U119" si="396">S119*P119</f>
        <v>165979.80283000003</v>
      </c>
      <c r="V119" s="23">
        <f t="shared" ref="V119" si="397">T119*P119</f>
        <v>213931.88239000001</v>
      </c>
      <c r="W119" s="24">
        <f t="shared" ref="W119" si="398">K119+M119+O119+R119+U119+N119</f>
        <v>487297.08282999997</v>
      </c>
      <c r="X119" s="1">
        <v>45951</v>
      </c>
      <c r="Y119" s="1">
        <v>45952</v>
      </c>
      <c r="Z119" s="155"/>
      <c r="AA119" s="155"/>
      <c r="AB119" s="155"/>
      <c r="AC119" s="147"/>
    </row>
    <row r="120" spans="1:29" ht="15.75" customHeight="1" x14ac:dyDescent="0.35">
      <c r="A120" s="2">
        <v>118</v>
      </c>
      <c r="B120" s="2" t="s">
        <v>13</v>
      </c>
      <c r="C120" s="3" t="s">
        <v>606</v>
      </c>
      <c r="D120" s="2" t="s">
        <v>56</v>
      </c>
      <c r="E120" s="16" t="s">
        <v>480</v>
      </c>
      <c r="F120" s="90" t="s">
        <v>607</v>
      </c>
      <c r="G120" s="84" t="s">
        <v>608</v>
      </c>
      <c r="H120" s="97" t="s">
        <v>609</v>
      </c>
      <c r="I120" s="91">
        <v>1199339.94</v>
      </c>
      <c r="J120" s="92">
        <v>7800</v>
      </c>
      <c r="K120" s="91">
        <v>326639.03999999998</v>
      </c>
      <c r="L120" s="91">
        <f t="shared" ref="L120" si="399">I120+K120+M120</f>
        <v>1526397.75</v>
      </c>
      <c r="M120" s="91">
        <v>418.77</v>
      </c>
      <c r="N120" s="140">
        <v>300</v>
      </c>
      <c r="O120" s="23">
        <v>5622</v>
      </c>
      <c r="P120" s="87">
        <v>6.7000000000000004E-2</v>
      </c>
      <c r="Q120" s="31">
        <f>(480000+224000)</f>
        <v>704000</v>
      </c>
      <c r="R120" s="93">
        <f t="shared" ref="R120" si="400">Q120*P120</f>
        <v>47168</v>
      </c>
      <c r="S120" s="31">
        <f>23592+1774418.42</f>
        <v>1798010.42</v>
      </c>
      <c r="T120" s="31">
        <v>2572060.59</v>
      </c>
      <c r="U120" s="23">
        <f t="shared" ref="U120" si="401">S120*P120</f>
        <v>120466.69814000001</v>
      </c>
      <c r="V120" s="23">
        <f t="shared" ref="V120" si="402">T120*P120</f>
        <v>172328.05953</v>
      </c>
      <c r="W120" s="24">
        <f t="shared" ref="W120" si="403">K120+M120+O120+R120+U120+N120</f>
        <v>500614.50813999999</v>
      </c>
      <c r="X120" s="1">
        <v>45952</v>
      </c>
      <c r="Y120" s="1">
        <v>45952</v>
      </c>
      <c r="Z120" s="1">
        <v>45971</v>
      </c>
      <c r="AA120" s="1">
        <v>45973</v>
      </c>
      <c r="AB120" s="1">
        <v>45973</v>
      </c>
      <c r="AC120" s="94" t="s">
        <v>138</v>
      </c>
    </row>
    <row r="121" spans="1:29" ht="15.75" customHeight="1" x14ac:dyDescent="0.35">
      <c r="A121" s="2">
        <v>119</v>
      </c>
      <c r="B121" s="2" t="s">
        <v>13</v>
      </c>
      <c r="C121" s="3" t="s">
        <v>618</v>
      </c>
      <c r="D121" s="2" t="s">
        <v>56</v>
      </c>
      <c r="E121" s="16" t="s">
        <v>620</v>
      </c>
      <c r="F121" s="90" t="s">
        <v>622</v>
      </c>
      <c r="G121" s="122" t="s">
        <v>621</v>
      </c>
      <c r="H121" s="97" t="s">
        <v>626</v>
      </c>
      <c r="I121" s="91">
        <v>1779063.54</v>
      </c>
      <c r="J121" s="92">
        <v>7600</v>
      </c>
      <c r="K121" s="91">
        <v>318471.92</v>
      </c>
      <c r="L121" s="91">
        <f t="shared" ref="L121" si="404">I121+K121+M121</f>
        <v>2097954.5</v>
      </c>
      <c r="M121" s="91">
        <v>419.04</v>
      </c>
      <c r="N121" s="140">
        <v>750</v>
      </c>
      <c r="O121" s="23">
        <f>3169.2+1810</f>
        <v>4979.2</v>
      </c>
      <c r="P121" s="87">
        <v>6.7000000000000004E-2</v>
      </c>
      <c r="Q121" s="31">
        <v>1064000</v>
      </c>
      <c r="R121" s="93">
        <f t="shared" ref="R121" si="405">Q121*P121</f>
        <v>71288</v>
      </c>
      <c r="S121" s="31">
        <f>23592+3161622.43</f>
        <v>3185214.43</v>
      </c>
      <c r="T121" s="31">
        <v>3734656.59</v>
      </c>
      <c r="U121" s="23">
        <f t="shared" ref="U121" si="406">S121*P121</f>
        <v>213409.36681000004</v>
      </c>
      <c r="V121" s="23">
        <f t="shared" ref="V121" si="407">T121*P121</f>
        <v>250221.99153</v>
      </c>
      <c r="W121" s="24">
        <f t="shared" ref="W121" si="408">K121+M121+O121+R121+U121+N121</f>
        <v>609317.52680999995</v>
      </c>
      <c r="X121" s="1">
        <v>45953</v>
      </c>
      <c r="Y121" s="1">
        <v>45954</v>
      </c>
      <c r="Z121" s="1">
        <v>46003</v>
      </c>
      <c r="AA121" s="1">
        <v>46008</v>
      </c>
      <c r="AB121" s="1">
        <v>46008</v>
      </c>
      <c r="AC121" s="94" t="s">
        <v>138</v>
      </c>
    </row>
    <row r="122" spans="1:29" ht="15.75" customHeight="1" x14ac:dyDescent="0.35">
      <c r="A122" s="2">
        <v>120</v>
      </c>
      <c r="B122" s="2" t="s">
        <v>13</v>
      </c>
      <c r="C122" s="3" t="s">
        <v>619</v>
      </c>
      <c r="D122" s="2" t="s">
        <v>56</v>
      </c>
      <c r="E122" s="16" t="s">
        <v>625</v>
      </c>
      <c r="F122" s="90" t="s">
        <v>623</v>
      </c>
      <c r="G122" s="122" t="s">
        <v>624</v>
      </c>
      <c r="H122" s="97" t="s">
        <v>627</v>
      </c>
      <c r="I122" s="91">
        <v>1758193.55</v>
      </c>
      <c r="J122" s="92">
        <v>7600</v>
      </c>
      <c r="K122" s="91">
        <v>318471.92</v>
      </c>
      <c r="L122" s="91">
        <f t="shared" ref="L122" si="409">I122+K122+M122</f>
        <v>2077084.51</v>
      </c>
      <c r="M122" s="91">
        <v>419.04</v>
      </c>
      <c r="N122" s="140">
        <v>300</v>
      </c>
      <c r="O122" s="23">
        <f>3267.6+2205</f>
        <v>5472.6</v>
      </c>
      <c r="P122" s="87">
        <v>6.7000000000000004E-2</v>
      </c>
      <c r="Q122" s="31">
        <f>(480000+224000)</f>
        <v>704000</v>
      </c>
      <c r="R122" s="93">
        <f t="shared" ref="R122" si="410">Q122*P122</f>
        <v>47168</v>
      </c>
      <c r="S122" s="31">
        <f>23592+2837454.02</f>
        <v>2861046.02</v>
      </c>
      <c r="T122" s="31">
        <v>3497319.32</v>
      </c>
      <c r="U122" s="23">
        <f t="shared" ref="U122" si="411">S122*P122</f>
        <v>191690.08334000001</v>
      </c>
      <c r="V122" s="23">
        <f t="shared" ref="V122" si="412">T122*P122</f>
        <v>234320.39444</v>
      </c>
      <c r="W122" s="24">
        <f t="shared" ref="W122" si="413">K122+M122+O122+R122+U122+N122</f>
        <v>563521.64333999995</v>
      </c>
      <c r="X122" s="1">
        <v>45953</v>
      </c>
      <c r="Y122" s="1">
        <v>45954</v>
      </c>
      <c r="Z122" s="1">
        <v>45964</v>
      </c>
      <c r="AA122" s="1">
        <v>45968</v>
      </c>
      <c r="AB122" s="1">
        <v>45968</v>
      </c>
      <c r="AC122" s="94" t="s">
        <v>138</v>
      </c>
    </row>
    <row r="123" spans="1:29" x14ac:dyDescent="0.35">
      <c r="A123" s="2">
        <v>121</v>
      </c>
      <c r="B123" s="2" t="s">
        <v>13</v>
      </c>
      <c r="C123" s="3" t="s">
        <v>628</v>
      </c>
      <c r="D123" s="148" t="s">
        <v>56</v>
      </c>
      <c r="E123" s="157" t="s">
        <v>630</v>
      </c>
      <c r="F123" s="90" t="s">
        <v>632</v>
      </c>
      <c r="G123" s="122" t="s">
        <v>631</v>
      </c>
      <c r="H123" s="120" t="s">
        <v>635</v>
      </c>
      <c r="I123" s="91">
        <v>379127.92</v>
      </c>
      <c r="J123" s="92">
        <v>2000</v>
      </c>
      <c r="K123" s="91">
        <v>83685.399999999994</v>
      </c>
      <c r="L123" s="91">
        <f>I123+K123+M123</f>
        <v>462938.85</v>
      </c>
      <c r="M123" s="91">
        <v>125.53</v>
      </c>
      <c r="N123" s="142">
        <v>300</v>
      </c>
      <c r="O123" s="23">
        <f>4260</f>
        <v>4260</v>
      </c>
      <c r="P123" s="87">
        <v>6.7000000000000004E-2</v>
      </c>
      <c r="Q123" s="31">
        <f>1768000/2</f>
        <v>884000</v>
      </c>
      <c r="R123" s="93">
        <f>Q123*P123</f>
        <v>59228</v>
      </c>
      <c r="S123" s="31">
        <f>23592+673137.44</f>
        <v>696729.44</v>
      </c>
      <c r="T123" s="31">
        <v>771349.47</v>
      </c>
      <c r="U123" s="23">
        <f>S123*P123</f>
        <v>46680.872479999998</v>
      </c>
      <c r="V123" s="23">
        <f>T123*P123</f>
        <v>51680.414490000003</v>
      </c>
      <c r="W123" s="24">
        <f>K123+M123+O123+R123+U123+N123</f>
        <v>194279.80247999998</v>
      </c>
      <c r="X123" s="1">
        <v>45961</v>
      </c>
      <c r="Y123" s="1">
        <v>45960</v>
      </c>
      <c r="Z123" s="153">
        <v>45979</v>
      </c>
      <c r="AA123" s="153">
        <v>45982</v>
      </c>
      <c r="AB123" s="153">
        <v>45982</v>
      </c>
      <c r="AC123" s="146" t="s">
        <v>138</v>
      </c>
    </row>
    <row r="124" spans="1:29" ht="15.75" customHeight="1" x14ac:dyDescent="0.35">
      <c r="A124" s="2">
        <v>122</v>
      </c>
      <c r="B124" s="2" t="s">
        <v>13</v>
      </c>
      <c r="C124" s="3" t="s">
        <v>629</v>
      </c>
      <c r="D124" s="149"/>
      <c r="E124" s="158"/>
      <c r="F124" s="90" t="s">
        <v>634</v>
      </c>
      <c r="G124" s="122" t="s">
        <v>633</v>
      </c>
      <c r="H124" s="120" t="s">
        <v>636</v>
      </c>
      <c r="I124" s="91">
        <v>1355408.66</v>
      </c>
      <c r="J124" s="92">
        <v>5800</v>
      </c>
      <c r="K124" s="91">
        <v>242845.42</v>
      </c>
      <c r="L124" s="91">
        <f>I124+K124+M124</f>
        <v>1598547.17</v>
      </c>
      <c r="M124" s="91">
        <v>293.08999999999997</v>
      </c>
      <c r="N124" s="143"/>
      <c r="O124" s="23">
        <f>3169.2+1251.5</f>
        <v>4420.7</v>
      </c>
      <c r="P124" s="87">
        <v>6.7000000000000004E-2</v>
      </c>
      <c r="Q124" s="31">
        <f>1768000/2</f>
        <v>884000</v>
      </c>
      <c r="R124" s="93">
        <f t="shared" ref="R124:R125" si="414">Q124*P124</f>
        <v>59228</v>
      </c>
      <c r="S124" s="31">
        <f>23592+2178494.61</f>
        <v>2202086.61</v>
      </c>
      <c r="T124" s="31">
        <v>2697612.34</v>
      </c>
      <c r="U124" s="23">
        <f t="shared" ref="U124:U125" si="415">S124*P124</f>
        <v>147539.80287000001</v>
      </c>
      <c r="V124" s="23">
        <f t="shared" ref="V124:V125" si="416">T124*P124</f>
        <v>180740.02678000001</v>
      </c>
      <c r="W124" s="24">
        <f t="shared" ref="W124:W126" si="417">K124+M124+O124+R124+U124+N124</f>
        <v>454327.01287000004</v>
      </c>
      <c r="X124" s="1">
        <v>45960</v>
      </c>
      <c r="Y124" s="1">
        <v>45960</v>
      </c>
      <c r="Z124" s="155"/>
      <c r="AA124" s="155"/>
      <c r="AB124" s="155"/>
      <c r="AC124" s="147"/>
    </row>
    <row r="125" spans="1:29" ht="15.75" customHeight="1" x14ac:dyDescent="0.35">
      <c r="A125" s="2">
        <v>123</v>
      </c>
      <c r="B125" s="2" t="s">
        <v>13</v>
      </c>
      <c r="C125" s="3" t="s">
        <v>637</v>
      </c>
      <c r="D125" s="2" t="s">
        <v>56</v>
      </c>
      <c r="E125" s="16" t="s">
        <v>536</v>
      </c>
      <c r="F125" s="90" t="s">
        <v>639</v>
      </c>
      <c r="G125" s="122" t="s">
        <v>638</v>
      </c>
      <c r="H125" s="97" t="s">
        <v>640</v>
      </c>
      <c r="I125" s="91">
        <v>1394678.59</v>
      </c>
      <c r="J125" s="92">
        <v>7800</v>
      </c>
      <c r="K125" s="91">
        <v>326373.06</v>
      </c>
      <c r="L125" s="91">
        <f t="shared" ref="L125:L126" si="418">I125+K125+M125</f>
        <v>1721470.08</v>
      </c>
      <c r="M125" s="91">
        <v>418.43</v>
      </c>
      <c r="N125" s="140">
        <v>150</v>
      </c>
      <c r="O125" s="23">
        <f>5622</f>
        <v>5622</v>
      </c>
      <c r="P125" s="87">
        <v>6.7000000000000004E-2</v>
      </c>
      <c r="Q125" s="31">
        <f>(480000+224000)</f>
        <v>704000</v>
      </c>
      <c r="R125" s="93">
        <f t="shared" si="414"/>
        <v>47168</v>
      </c>
      <c r="S125" s="31">
        <f>23592+2275071.39</f>
        <v>2298663.39</v>
      </c>
      <c r="T125" s="31">
        <v>2939609.32</v>
      </c>
      <c r="U125" s="23">
        <f t="shared" si="415"/>
        <v>154010.44713000002</v>
      </c>
      <c r="V125" s="23">
        <f t="shared" si="416"/>
        <v>196953.82444</v>
      </c>
      <c r="W125" s="24">
        <f t="shared" si="417"/>
        <v>533741.93712999998</v>
      </c>
      <c r="X125" s="1">
        <v>45961</v>
      </c>
      <c r="Y125" s="1">
        <v>45960</v>
      </c>
      <c r="Z125" s="1">
        <v>45976</v>
      </c>
      <c r="AA125" s="1">
        <v>45980</v>
      </c>
      <c r="AB125" s="1">
        <v>45980</v>
      </c>
      <c r="AC125" s="94" t="s">
        <v>138</v>
      </c>
    </row>
    <row r="126" spans="1:29" ht="15.75" customHeight="1" x14ac:dyDescent="0.35">
      <c r="A126" s="2">
        <v>124</v>
      </c>
      <c r="B126" s="2" t="s">
        <v>13</v>
      </c>
      <c r="C126" s="3" t="s">
        <v>644</v>
      </c>
      <c r="D126" s="2" t="s">
        <v>56</v>
      </c>
      <c r="E126" s="16" t="s">
        <v>645</v>
      </c>
      <c r="F126" s="90" t="s">
        <v>646</v>
      </c>
      <c r="G126" s="84" t="s">
        <v>641</v>
      </c>
      <c r="H126" s="124" t="s">
        <v>660</v>
      </c>
      <c r="I126" s="91">
        <v>1879747.06</v>
      </c>
      <c r="J126" s="92">
        <v>7600</v>
      </c>
      <c r="K126" s="91">
        <v>318440</v>
      </c>
      <c r="L126" s="91">
        <f t="shared" si="418"/>
        <v>2198606.06</v>
      </c>
      <c r="M126" s="91">
        <v>419</v>
      </c>
      <c r="N126" s="140">
        <v>300</v>
      </c>
      <c r="O126" s="85">
        <f>3808.8+1702.5</f>
        <v>5511.3</v>
      </c>
      <c r="P126" s="87">
        <v>6.7000000000000004E-2</v>
      </c>
      <c r="Q126" s="31">
        <v>1064000</v>
      </c>
      <c r="R126" s="93">
        <f t="shared" ref="R126:R127" si="419">Q126*P126</f>
        <v>71288</v>
      </c>
      <c r="S126" s="31">
        <f>23592+2871207.59</f>
        <v>2894799.59</v>
      </c>
      <c r="T126" s="31">
        <v>3609663.25</v>
      </c>
      <c r="U126" s="23">
        <f t="shared" ref="U126:U127" si="420">S126*P126</f>
        <v>193951.57253</v>
      </c>
      <c r="V126" s="23">
        <f t="shared" ref="V126:V127" si="421">T126*P126</f>
        <v>241847.43775000001</v>
      </c>
      <c r="W126" s="24">
        <f t="shared" si="417"/>
        <v>589909.87253000005</v>
      </c>
      <c r="X126" s="1">
        <v>45960</v>
      </c>
      <c r="Y126" s="1">
        <v>45961</v>
      </c>
      <c r="Z126" s="1">
        <v>45986</v>
      </c>
      <c r="AA126" s="1">
        <v>45989</v>
      </c>
      <c r="AB126" s="1">
        <v>45989</v>
      </c>
      <c r="AC126" s="94" t="s">
        <v>138</v>
      </c>
    </row>
    <row r="127" spans="1:29" ht="15.75" customHeight="1" x14ac:dyDescent="0.35">
      <c r="A127" s="2">
        <v>125</v>
      </c>
      <c r="B127" s="2" t="s">
        <v>13</v>
      </c>
      <c r="C127" s="3" t="s">
        <v>647</v>
      </c>
      <c r="D127" s="2" t="s">
        <v>56</v>
      </c>
      <c r="E127" s="16" t="s">
        <v>649</v>
      </c>
      <c r="F127" s="90" t="s">
        <v>650</v>
      </c>
      <c r="G127" s="122" t="s">
        <v>648</v>
      </c>
      <c r="H127" s="124" t="s">
        <v>657</v>
      </c>
      <c r="I127" s="91">
        <v>1030204.74</v>
      </c>
      <c r="J127" s="92">
        <v>7800</v>
      </c>
      <c r="K127" s="91">
        <v>326759.15999999997</v>
      </c>
      <c r="L127" s="91">
        <f t="shared" ref="L127" si="422">I127+K127+M127</f>
        <v>1357382.8199999998</v>
      </c>
      <c r="M127" s="91">
        <v>418.92</v>
      </c>
      <c r="N127" s="140">
        <v>150</v>
      </c>
      <c r="O127" s="85">
        <f>4685</f>
        <v>4685</v>
      </c>
      <c r="P127" s="87">
        <v>6.7000000000000004E-2</v>
      </c>
      <c r="Q127" s="31">
        <f>(480000+224000)</f>
        <v>704000</v>
      </c>
      <c r="R127" s="93">
        <f t="shared" si="419"/>
        <v>47168</v>
      </c>
      <c r="S127" s="31">
        <f>23592+1688428.33</f>
        <v>1712020.33</v>
      </c>
      <c r="T127" s="31">
        <v>2199166.48</v>
      </c>
      <c r="U127" s="23">
        <f t="shared" si="420"/>
        <v>114705.36211000002</v>
      </c>
      <c r="V127" s="23">
        <f t="shared" si="421"/>
        <v>147344.15416000001</v>
      </c>
      <c r="W127" s="24">
        <f t="shared" ref="W127" si="423">K127+M127+O127+R127+U127+N127</f>
        <v>493886.44210999995</v>
      </c>
      <c r="X127" s="1">
        <v>45968</v>
      </c>
      <c r="Y127" s="1">
        <v>45967</v>
      </c>
      <c r="Z127" s="1">
        <v>45986</v>
      </c>
      <c r="AA127" s="1">
        <v>45989</v>
      </c>
      <c r="AB127" s="1">
        <v>45989</v>
      </c>
      <c r="AC127" s="94" t="s">
        <v>138</v>
      </c>
    </row>
    <row r="128" spans="1:29" x14ac:dyDescent="0.35">
      <c r="A128" s="2">
        <v>126</v>
      </c>
      <c r="B128" s="2" t="s">
        <v>13</v>
      </c>
      <c r="C128" s="3" t="s">
        <v>652</v>
      </c>
      <c r="D128" s="2" t="s">
        <v>56</v>
      </c>
      <c r="E128" s="16" t="s">
        <v>651</v>
      </c>
      <c r="F128" s="2" t="s">
        <v>653</v>
      </c>
      <c r="G128" s="84" t="s">
        <v>642</v>
      </c>
      <c r="H128" s="124" t="s">
        <v>658</v>
      </c>
      <c r="I128" s="91">
        <v>2364113.33</v>
      </c>
      <c r="J128" s="92">
        <v>7600</v>
      </c>
      <c r="K128" s="91">
        <v>319010.76</v>
      </c>
      <c r="L128" s="91">
        <f t="shared" ref="L128" si="424">I128+K128+M128</f>
        <v>2683543.84</v>
      </c>
      <c r="M128" s="91">
        <v>419.75</v>
      </c>
      <c r="N128" s="140">
        <v>1950</v>
      </c>
      <c r="O128" s="85">
        <f>3710.46+2285</f>
        <v>5995.46</v>
      </c>
      <c r="P128" s="87">
        <v>6.7000000000000004E-2</v>
      </c>
      <c r="Q128" s="31">
        <f>(480000+224000)</f>
        <v>704000</v>
      </c>
      <c r="R128" s="93">
        <f t="shared" ref="R128" si="425">Q128*P128</f>
        <v>47168</v>
      </c>
      <c r="S128" s="31">
        <f>23592+3729696.46</f>
        <v>3753288.46</v>
      </c>
      <c r="T128" s="31">
        <v>4532433.16</v>
      </c>
      <c r="U128" s="23">
        <f t="shared" ref="U128" si="426">S128*P128</f>
        <v>251470.32682000002</v>
      </c>
      <c r="V128" s="23">
        <f t="shared" ref="V128" si="427">T128*P128</f>
        <v>303673.02172000002</v>
      </c>
      <c r="W128" s="24">
        <f t="shared" ref="W128" si="428">K128+M128+O128+R128+U128+N128</f>
        <v>626014.29682000005</v>
      </c>
      <c r="X128" s="1">
        <v>45964</v>
      </c>
      <c r="Y128" s="1">
        <v>45965</v>
      </c>
      <c r="Z128" s="1">
        <v>45986</v>
      </c>
      <c r="AA128" s="1">
        <v>46000</v>
      </c>
      <c r="AB128" s="1">
        <v>46000</v>
      </c>
      <c r="AC128" s="94" t="s">
        <v>138</v>
      </c>
    </row>
    <row r="129" spans="1:29" x14ac:dyDescent="0.35">
      <c r="A129" s="2">
        <v>127</v>
      </c>
      <c r="B129" s="2" t="s">
        <v>13</v>
      </c>
      <c r="C129" s="3" t="s">
        <v>654</v>
      </c>
      <c r="D129" s="2" t="s">
        <v>56</v>
      </c>
      <c r="E129" s="16" t="s">
        <v>655</v>
      </c>
      <c r="F129" s="2" t="s">
        <v>656</v>
      </c>
      <c r="G129" s="84" t="s">
        <v>643</v>
      </c>
      <c r="H129" s="124" t="s">
        <v>659</v>
      </c>
      <c r="I129" s="91">
        <v>2187622.41</v>
      </c>
      <c r="J129" s="92">
        <v>7600</v>
      </c>
      <c r="K129" s="91">
        <v>319231.92</v>
      </c>
      <c r="L129" s="91">
        <f t="shared" ref="L129" si="429">I129+K129+M129</f>
        <v>2507274.37</v>
      </c>
      <c r="M129" s="91">
        <v>420.04</v>
      </c>
      <c r="N129" s="140">
        <v>300</v>
      </c>
      <c r="O129" s="85">
        <f>3464.4+2021</f>
        <v>5485.4</v>
      </c>
      <c r="P129" s="87">
        <v>6.7000000000000004E-2</v>
      </c>
      <c r="Q129" s="31">
        <v>1064000</v>
      </c>
      <c r="R129" s="93">
        <f t="shared" ref="R129" si="430">Q129*P129</f>
        <v>71288</v>
      </c>
      <c r="S129" s="31">
        <f>23592+3549143.03</f>
        <v>3572735.03</v>
      </c>
      <c r="T129" s="31">
        <v>4269079.62</v>
      </c>
      <c r="U129" s="23">
        <f t="shared" ref="U129" si="431">S129*P129</f>
        <v>239373.24700999999</v>
      </c>
      <c r="V129" s="23">
        <f t="shared" ref="V129" si="432">T129*P129</f>
        <v>286028.33454000001</v>
      </c>
      <c r="W129" s="24">
        <f t="shared" ref="W129" si="433">K129+M129+O129+R129+U129+N129</f>
        <v>636098.60700999992</v>
      </c>
      <c r="X129" s="1">
        <v>45965</v>
      </c>
      <c r="Y129" s="1">
        <v>45966</v>
      </c>
      <c r="Z129" s="1">
        <v>45986</v>
      </c>
      <c r="AA129" s="1">
        <v>45989</v>
      </c>
      <c r="AB129" s="1">
        <v>45989</v>
      </c>
      <c r="AC129" s="94" t="s">
        <v>138</v>
      </c>
    </row>
    <row r="130" spans="1:29" x14ac:dyDescent="0.35">
      <c r="A130" s="2">
        <v>128</v>
      </c>
      <c r="B130" s="2" t="s">
        <v>13</v>
      </c>
      <c r="C130" s="3" t="s">
        <v>661</v>
      </c>
      <c r="D130" s="2" t="s">
        <v>56</v>
      </c>
      <c r="E130" s="16" t="s">
        <v>547</v>
      </c>
      <c r="F130" s="2" t="s">
        <v>666</v>
      </c>
      <c r="G130" s="122" t="s">
        <v>665</v>
      </c>
      <c r="H130" s="124" t="s">
        <v>673</v>
      </c>
      <c r="I130" s="91">
        <v>1637862.7</v>
      </c>
      <c r="J130" s="92">
        <v>7800</v>
      </c>
      <c r="K130" s="91">
        <v>328476.71999999997</v>
      </c>
      <c r="L130" s="91">
        <f t="shared" ref="L130" si="434">I130+K130+M130</f>
        <v>1966760.54</v>
      </c>
      <c r="M130" s="91">
        <v>421.12</v>
      </c>
      <c r="N130" s="140">
        <v>600</v>
      </c>
      <c r="O130" s="85">
        <f>4685</f>
        <v>4685</v>
      </c>
      <c r="P130" s="87">
        <v>6.7000000000000004E-2</v>
      </c>
      <c r="Q130" s="135">
        <f>(480000+224000)</f>
        <v>704000</v>
      </c>
      <c r="R130" s="93">
        <f t="shared" ref="R130" si="435">Q130*P130</f>
        <v>47168</v>
      </c>
      <c r="S130" s="31">
        <f>23592+2697739.53</f>
        <v>2721331.53</v>
      </c>
      <c r="T130" s="31">
        <v>3193756.18</v>
      </c>
      <c r="U130" s="23">
        <f t="shared" ref="U130" si="436">S130*P130</f>
        <v>182329.21250999998</v>
      </c>
      <c r="V130" s="23">
        <f t="shared" ref="V130" si="437">T130*P130</f>
        <v>213981.66406000001</v>
      </c>
      <c r="W130" s="24">
        <f t="shared" ref="W130" si="438">K130+M130+O130+R130+U130+N130</f>
        <v>563680.05250999995</v>
      </c>
      <c r="X130" s="1">
        <v>45974</v>
      </c>
      <c r="Y130" s="1">
        <v>45973</v>
      </c>
      <c r="Z130" s="1">
        <v>45994</v>
      </c>
      <c r="AA130" s="1">
        <v>45999</v>
      </c>
      <c r="AB130" s="1">
        <v>45999</v>
      </c>
      <c r="AC130" s="94" t="s">
        <v>138</v>
      </c>
    </row>
    <row r="131" spans="1:29" x14ac:dyDescent="0.35">
      <c r="A131" s="2">
        <v>129</v>
      </c>
      <c r="B131" s="2" t="s">
        <v>13</v>
      </c>
      <c r="C131" s="3" t="s">
        <v>662</v>
      </c>
      <c r="D131" s="2" t="s">
        <v>56</v>
      </c>
      <c r="E131" s="16" t="s">
        <v>667</v>
      </c>
      <c r="F131" s="2" t="s">
        <v>669</v>
      </c>
      <c r="G131" s="84" t="s">
        <v>668</v>
      </c>
      <c r="H131" s="124" t="s">
        <v>674</v>
      </c>
      <c r="I131" s="91">
        <v>1776862.06</v>
      </c>
      <c r="J131" s="92">
        <v>7600</v>
      </c>
      <c r="K131" s="91">
        <v>320443.36</v>
      </c>
      <c r="L131" s="91">
        <f t="shared" ref="L131:L133" si="439">I131+K131+M131</f>
        <v>2097727.06</v>
      </c>
      <c r="M131" s="91">
        <v>421.64</v>
      </c>
      <c r="N131" s="140">
        <v>750</v>
      </c>
      <c r="O131" s="85">
        <f>2723</f>
        <v>2723</v>
      </c>
      <c r="P131" s="87">
        <v>6.7000000000000004E-2</v>
      </c>
      <c r="Q131" s="135">
        <f>(480000+224000)</f>
        <v>704000</v>
      </c>
      <c r="R131" s="93">
        <f t="shared" ref="R131:R133" si="440">Q131*P131</f>
        <v>47168</v>
      </c>
      <c r="S131" s="31">
        <f>23592+3067630.58</f>
        <v>3091222.58</v>
      </c>
      <c r="T131" s="31">
        <v>3426738.03</v>
      </c>
      <c r="U131" s="23">
        <f t="shared" ref="U131:U133" si="441">S131*P131</f>
        <v>207111.91286000001</v>
      </c>
      <c r="V131" s="23">
        <f t="shared" ref="V131:V133" si="442">T131*P131</f>
        <v>229591.44800999999</v>
      </c>
      <c r="W131" s="24">
        <f t="shared" ref="W131:W133" si="443">K131+M131+O131+R131+U131+N131</f>
        <v>578617.91286000004</v>
      </c>
      <c r="X131" s="1">
        <v>45973</v>
      </c>
      <c r="Y131" s="1">
        <v>45974</v>
      </c>
      <c r="Z131" s="1">
        <v>45994</v>
      </c>
      <c r="AA131" s="1">
        <v>46000</v>
      </c>
      <c r="AB131" s="1">
        <v>46000</v>
      </c>
      <c r="AC131" s="94" t="s">
        <v>138</v>
      </c>
    </row>
    <row r="132" spans="1:29" x14ac:dyDescent="0.35">
      <c r="A132" s="2">
        <v>130</v>
      </c>
      <c r="B132" s="2" t="s">
        <v>13</v>
      </c>
      <c r="C132" s="3" t="s">
        <v>663</v>
      </c>
      <c r="D132" s="2" t="s">
        <v>56</v>
      </c>
      <c r="E132" s="16" t="s">
        <v>670</v>
      </c>
      <c r="F132" s="2" t="s">
        <v>672</v>
      </c>
      <c r="G132" s="84" t="s">
        <v>671</v>
      </c>
      <c r="H132" s="124" t="s">
        <v>675</v>
      </c>
      <c r="I132" s="91">
        <v>1980881.16</v>
      </c>
      <c r="J132" s="92">
        <v>7600</v>
      </c>
      <c r="K132" s="91">
        <v>320359.76</v>
      </c>
      <c r="L132" s="91">
        <f t="shared" si="439"/>
        <v>2301662.4499999997</v>
      </c>
      <c r="M132" s="91">
        <v>421.53</v>
      </c>
      <c r="N132" s="140">
        <v>600</v>
      </c>
      <c r="O132" s="85">
        <f>3051</f>
        <v>3051</v>
      </c>
      <c r="P132" s="87">
        <v>6.7000000000000004E-2</v>
      </c>
      <c r="Q132" s="135">
        <f>(480000+224000)</f>
        <v>704000</v>
      </c>
      <c r="R132" s="93">
        <f t="shared" si="440"/>
        <v>47168</v>
      </c>
      <c r="S132" s="31">
        <f>23592+3241620.19</f>
        <v>3265212.19</v>
      </c>
      <c r="T132" s="31">
        <v>3750533.4</v>
      </c>
      <c r="U132" s="23">
        <f t="shared" si="441"/>
        <v>218769.21673000001</v>
      </c>
      <c r="V132" s="23">
        <f t="shared" si="442"/>
        <v>251285.7378</v>
      </c>
      <c r="W132" s="24">
        <f t="shared" si="443"/>
        <v>590369.50673000002</v>
      </c>
      <c r="X132" s="1">
        <v>45973</v>
      </c>
      <c r="Y132" s="1">
        <v>45974</v>
      </c>
      <c r="Z132" s="1">
        <v>45994</v>
      </c>
      <c r="AA132" s="139">
        <v>45999</v>
      </c>
      <c r="AB132" s="139">
        <v>45999</v>
      </c>
      <c r="AC132" s="125" t="s">
        <v>138</v>
      </c>
    </row>
    <row r="133" spans="1:29" x14ac:dyDescent="0.35">
      <c r="A133" s="126">
        <v>131</v>
      </c>
      <c r="B133" s="126" t="s">
        <v>13</v>
      </c>
      <c r="C133" s="127" t="s">
        <v>664</v>
      </c>
      <c r="D133" s="126" t="s">
        <v>56</v>
      </c>
      <c r="E133" s="128" t="s">
        <v>676</v>
      </c>
      <c r="F133" s="126" t="s">
        <v>678</v>
      </c>
      <c r="G133" s="129" t="s">
        <v>677</v>
      </c>
      <c r="H133" s="130" t="s">
        <v>679</v>
      </c>
      <c r="I133" s="131">
        <v>1854426.17</v>
      </c>
      <c r="J133" s="132">
        <v>7600</v>
      </c>
      <c r="K133" s="131">
        <v>320443.36</v>
      </c>
      <c r="L133" s="131">
        <f t="shared" si="439"/>
        <v>2175291.17</v>
      </c>
      <c r="M133" s="131">
        <v>421.64</v>
      </c>
      <c r="N133" s="141">
        <f>2040+300</f>
        <v>2340</v>
      </c>
      <c r="O133" s="133">
        <f>2108</f>
        <v>2108</v>
      </c>
      <c r="P133" s="134">
        <v>6.7000000000000004E-2</v>
      </c>
      <c r="Q133" s="135">
        <f>(480000+224000)</f>
        <v>704000</v>
      </c>
      <c r="R133" s="136">
        <f t="shared" si="440"/>
        <v>47168</v>
      </c>
      <c r="S133" s="135">
        <f>23592+2457467.41</f>
        <v>2481059.41</v>
      </c>
      <c r="T133" s="135">
        <v>3445808.47</v>
      </c>
      <c r="U133" s="137">
        <f t="shared" si="441"/>
        <v>166230.98047000001</v>
      </c>
      <c r="V133" s="137">
        <f t="shared" si="442"/>
        <v>230869.16749000002</v>
      </c>
      <c r="W133" s="138">
        <f t="shared" si="443"/>
        <v>538711.98047000007</v>
      </c>
      <c r="X133" s="139">
        <v>45974</v>
      </c>
      <c r="Y133" s="139">
        <v>45975</v>
      </c>
      <c r="Z133" s="139">
        <v>45992</v>
      </c>
      <c r="AA133" s="139">
        <v>45995</v>
      </c>
      <c r="AB133" s="139">
        <v>45995</v>
      </c>
      <c r="AC133" s="125" t="s">
        <v>138</v>
      </c>
    </row>
    <row r="134" spans="1:29" x14ac:dyDescent="0.35">
      <c r="A134" s="2">
        <v>132</v>
      </c>
      <c r="B134" s="2" t="s">
        <v>13</v>
      </c>
      <c r="C134" s="3" t="s">
        <v>685</v>
      </c>
      <c r="D134" s="160" t="s">
        <v>56</v>
      </c>
      <c r="E134" s="161" t="s">
        <v>687</v>
      </c>
      <c r="F134" s="90" t="s">
        <v>689</v>
      </c>
      <c r="G134" s="122" t="s">
        <v>688</v>
      </c>
      <c r="H134" s="120" t="s">
        <v>692</v>
      </c>
      <c r="I134" s="91">
        <v>56922.400000000001</v>
      </c>
      <c r="J134" s="92">
        <v>500</v>
      </c>
      <c r="K134" s="91">
        <v>21002.1</v>
      </c>
      <c r="L134" s="91">
        <f>I134+K134+M134</f>
        <v>78008.509999999995</v>
      </c>
      <c r="M134" s="91">
        <v>84.01</v>
      </c>
      <c r="N134" s="142">
        <f>600+300</f>
        <v>900</v>
      </c>
      <c r="O134" s="23">
        <v>4260</v>
      </c>
      <c r="P134" s="87">
        <v>6.7000000000000004E-2</v>
      </c>
      <c r="Q134" s="31">
        <f>422100/2</f>
        <v>211050</v>
      </c>
      <c r="R134" s="93">
        <f>Q134*P134</f>
        <v>14140.35</v>
      </c>
      <c r="S134" s="31">
        <f>23592+73324.87</f>
        <v>96916.87</v>
      </c>
      <c r="T134" s="31">
        <v>123587.84</v>
      </c>
      <c r="U134" s="23">
        <f>S134*P134</f>
        <v>6493.4302900000002</v>
      </c>
      <c r="V134" s="23">
        <f>T134*P134</f>
        <v>8280.3852800000004</v>
      </c>
      <c r="W134" s="24">
        <f>K134+M134+O134+R134+U134+N134</f>
        <v>46879.890289999996</v>
      </c>
      <c r="X134" s="1">
        <v>45985</v>
      </c>
      <c r="Y134" s="1">
        <v>45982</v>
      </c>
      <c r="Z134" s="159">
        <v>45999</v>
      </c>
      <c r="AA134" s="159">
        <v>46001</v>
      </c>
      <c r="AB134" s="159">
        <v>46002</v>
      </c>
      <c r="AC134" s="146" t="s">
        <v>138</v>
      </c>
    </row>
    <row r="135" spans="1:29" ht="15.75" customHeight="1" x14ac:dyDescent="0.35">
      <c r="A135" s="2">
        <v>133</v>
      </c>
      <c r="B135" s="2" t="s">
        <v>13</v>
      </c>
      <c r="C135" s="3" t="s">
        <v>686</v>
      </c>
      <c r="D135" s="160"/>
      <c r="E135" s="161"/>
      <c r="F135" s="90" t="s">
        <v>691</v>
      </c>
      <c r="G135" s="122" t="s">
        <v>690</v>
      </c>
      <c r="H135" s="120" t="s">
        <v>693</v>
      </c>
      <c r="I135" s="91">
        <v>2125561.46</v>
      </c>
      <c r="J135" s="92">
        <v>7300</v>
      </c>
      <c r="K135" s="91">
        <v>308703.86</v>
      </c>
      <c r="L135" s="91">
        <f>I135+K135+M135</f>
        <v>2434603.63</v>
      </c>
      <c r="M135" s="91">
        <v>338.31</v>
      </c>
      <c r="N135" s="143"/>
      <c r="O135" s="23">
        <v>3133</v>
      </c>
      <c r="P135" s="87">
        <v>6.7000000000000004E-2</v>
      </c>
      <c r="Q135" s="31">
        <f>422100/2</f>
        <v>211050</v>
      </c>
      <c r="R135" s="93">
        <f t="shared" ref="R135" si="444">Q135*P135</f>
        <v>14140.35</v>
      </c>
      <c r="S135" s="31">
        <f>23592+3084347.35</f>
        <v>3107939.35</v>
      </c>
      <c r="T135" s="31">
        <v>3887377.77</v>
      </c>
      <c r="U135" s="23">
        <f t="shared" ref="U135" si="445">S135*P135</f>
        <v>208231.93645000001</v>
      </c>
      <c r="V135" s="23">
        <f t="shared" ref="V135" si="446">T135*P135</f>
        <v>260454.31059000001</v>
      </c>
      <c r="W135" s="24">
        <f t="shared" ref="W135" si="447">K135+M135+O135+R135+U135+N135</f>
        <v>534547.45644999994</v>
      </c>
      <c r="X135" s="1">
        <v>45981</v>
      </c>
      <c r="Y135" s="1">
        <v>45982</v>
      </c>
      <c r="Z135" s="159"/>
      <c r="AA135" s="159"/>
      <c r="AB135" s="159"/>
      <c r="AC135" s="147"/>
    </row>
    <row r="136" spans="1:29" ht="15" customHeight="1" x14ac:dyDescent="0.35">
      <c r="A136" s="2">
        <v>134</v>
      </c>
      <c r="B136" s="2" t="s">
        <v>13</v>
      </c>
      <c r="C136" s="3" t="s">
        <v>680</v>
      </c>
      <c r="D136" s="2" t="s">
        <v>56</v>
      </c>
      <c r="E136" s="16" t="s">
        <v>681</v>
      </c>
      <c r="F136" s="2" t="s">
        <v>683</v>
      </c>
      <c r="G136" s="84" t="s">
        <v>682</v>
      </c>
      <c r="H136" s="124" t="s">
        <v>684</v>
      </c>
      <c r="I136" s="91">
        <v>2074423.07</v>
      </c>
      <c r="J136" s="92">
        <v>7600</v>
      </c>
      <c r="K136" s="91">
        <v>321390.32</v>
      </c>
      <c r="L136" s="91">
        <f t="shared" ref="L136" si="448">I136+K136+M136</f>
        <v>2396236.27</v>
      </c>
      <c r="M136" s="91">
        <v>422.88</v>
      </c>
      <c r="N136" s="140">
        <v>150</v>
      </c>
      <c r="O136" s="23">
        <v>2436</v>
      </c>
      <c r="P136" s="87">
        <v>6.7000000000000004E-2</v>
      </c>
      <c r="Q136" s="31">
        <f>(480000+224000)</f>
        <v>704000</v>
      </c>
      <c r="R136" s="93">
        <f t="shared" ref="R136" si="449">Q136*P136</f>
        <v>47168</v>
      </c>
      <c r="S136" s="31">
        <f>23592+3473064.9</f>
        <v>3496656.9</v>
      </c>
      <c r="T136" s="31">
        <v>3965448.3</v>
      </c>
      <c r="U136" s="23">
        <f t="shared" ref="U136" si="450">S136*P136</f>
        <v>234276.0123</v>
      </c>
      <c r="V136" s="23">
        <f t="shared" ref="V136" si="451">T136*P136</f>
        <v>265685.03610000003</v>
      </c>
      <c r="W136" s="24">
        <f t="shared" ref="W136" si="452">K136+M136+O136+R136+U136+N136</f>
        <v>605843.21230000001</v>
      </c>
      <c r="X136" s="1">
        <v>45981</v>
      </c>
      <c r="Y136" s="1">
        <v>45982</v>
      </c>
      <c r="Z136" s="1">
        <v>45992</v>
      </c>
      <c r="AA136" s="1">
        <v>45994</v>
      </c>
      <c r="AB136" s="1">
        <v>45994</v>
      </c>
      <c r="AC136" s="94" t="s">
        <v>138</v>
      </c>
    </row>
    <row r="137" spans="1:29" x14ac:dyDescent="0.35">
      <c r="A137" s="2">
        <v>135</v>
      </c>
      <c r="B137" s="2" t="s">
        <v>13</v>
      </c>
      <c r="C137" s="3" t="s">
        <v>694</v>
      </c>
      <c r="D137" s="148" t="s">
        <v>56</v>
      </c>
      <c r="E137" s="157" t="s">
        <v>560</v>
      </c>
      <c r="F137" s="90" t="s">
        <v>701</v>
      </c>
      <c r="G137" s="122" t="s">
        <v>698</v>
      </c>
      <c r="H137" s="120" t="s">
        <v>699</v>
      </c>
      <c r="I137" s="91">
        <v>182100.92</v>
      </c>
      <c r="J137" s="92">
        <v>1100</v>
      </c>
      <c r="K137" s="91">
        <v>46510.09</v>
      </c>
      <c r="L137" s="91">
        <f>I137+K137+M137</f>
        <v>228695.57</v>
      </c>
      <c r="M137" s="91">
        <v>84.56</v>
      </c>
      <c r="N137" s="140">
        <v>0</v>
      </c>
      <c r="O137" s="23">
        <v>3550</v>
      </c>
      <c r="P137" s="87">
        <v>6.7000000000000004E-2</v>
      </c>
      <c r="Q137" s="31">
        <f>2065000/2</f>
        <v>1032500</v>
      </c>
      <c r="R137" s="93">
        <f>Q137*P137</f>
        <v>69177.5</v>
      </c>
      <c r="S137" s="31">
        <f>23592+292638.77</f>
        <v>316230.77</v>
      </c>
      <c r="T137" s="31">
        <v>360682.87</v>
      </c>
      <c r="U137" s="23">
        <f>S137*P137</f>
        <v>21187.461590000003</v>
      </c>
      <c r="V137" s="23">
        <f>T137*P137</f>
        <v>24165.75229</v>
      </c>
      <c r="W137" s="24">
        <f>K137+M137+O137+R137+U137+N137</f>
        <v>140509.61158999999</v>
      </c>
      <c r="X137" s="1">
        <v>45989</v>
      </c>
      <c r="Y137" s="1">
        <v>45987</v>
      </c>
      <c r="Z137" s="159">
        <v>46015</v>
      </c>
      <c r="AA137" s="159">
        <v>46022</v>
      </c>
      <c r="AB137" s="159">
        <v>46022</v>
      </c>
      <c r="AC137" s="146" t="s">
        <v>138</v>
      </c>
    </row>
    <row r="138" spans="1:29" ht="15.75" customHeight="1" x14ac:dyDescent="0.35">
      <c r="A138" s="2">
        <v>136</v>
      </c>
      <c r="B138" s="2" t="s">
        <v>13</v>
      </c>
      <c r="C138" s="3" t="s">
        <v>695</v>
      </c>
      <c r="D138" s="149"/>
      <c r="E138" s="158"/>
      <c r="F138" s="90" t="s">
        <v>697</v>
      </c>
      <c r="G138" s="122" t="s">
        <v>696</v>
      </c>
      <c r="H138" s="120" t="s">
        <v>700</v>
      </c>
      <c r="I138" s="91">
        <v>1758950.92</v>
      </c>
      <c r="J138" s="92">
        <v>6700</v>
      </c>
      <c r="K138" s="91">
        <v>283857.56</v>
      </c>
      <c r="L138" s="91">
        <f>I138+K138+M138</f>
        <v>2043147.41</v>
      </c>
      <c r="M138" s="91">
        <v>338.93</v>
      </c>
      <c r="N138" s="140">
        <v>0</v>
      </c>
      <c r="O138" s="23">
        <f>2972.4+1821</f>
        <v>4793.3999999999996</v>
      </c>
      <c r="P138" s="87">
        <v>6.7000000000000004E-2</v>
      </c>
      <c r="Q138" s="31">
        <f>2065000/2</f>
        <v>1032500</v>
      </c>
      <c r="R138" s="93">
        <f t="shared" ref="R138:R139" si="453">Q138*P138</f>
        <v>69177.5</v>
      </c>
      <c r="S138" s="31">
        <f>23592+3083000.68</f>
        <v>3106592.68</v>
      </c>
      <c r="T138" s="31">
        <v>3361703.69</v>
      </c>
      <c r="U138" s="23">
        <f t="shared" ref="U138:U139" si="454">S138*P138</f>
        <v>208141.70956000002</v>
      </c>
      <c r="V138" s="23">
        <f t="shared" ref="V138:V139" si="455">T138*P138</f>
        <v>225234.14723</v>
      </c>
      <c r="W138" s="24">
        <f t="shared" ref="W138:W139" si="456">K138+M138+O138+R138+U138+N138</f>
        <v>566309.09956</v>
      </c>
      <c r="X138" s="1">
        <v>45986</v>
      </c>
      <c r="Y138" s="1">
        <v>45987</v>
      </c>
      <c r="Z138" s="159"/>
      <c r="AA138" s="159"/>
      <c r="AB138" s="159"/>
      <c r="AC138" s="147"/>
    </row>
    <row r="139" spans="1:29" x14ac:dyDescent="0.35">
      <c r="A139" s="2">
        <v>137</v>
      </c>
      <c r="B139" s="2" t="s">
        <v>13</v>
      </c>
      <c r="C139" s="3" t="s">
        <v>702</v>
      </c>
      <c r="D139" s="2" t="s">
        <v>56</v>
      </c>
      <c r="E139" s="16" t="s">
        <v>587</v>
      </c>
      <c r="F139" s="2" t="s">
        <v>704</v>
      </c>
      <c r="G139" s="122" t="s">
        <v>703</v>
      </c>
      <c r="H139" s="124" t="s">
        <v>715</v>
      </c>
      <c r="I139" s="91">
        <v>1680636.18</v>
      </c>
      <c r="J139" s="92">
        <v>7800</v>
      </c>
      <c r="K139" s="91">
        <v>330390.84000000003</v>
      </c>
      <c r="L139" s="91">
        <f t="shared" ref="L139" si="457">I139+K139+M139</f>
        <v>2011450.6</v>
      </c>
      <c r="M139" s="91">
        <v>423.58</v>
      </c>
      <c r="N139" s="140">
        <v>0</v>
      </c>
      <c r="O139" s="23">
        <v>4685</v>
      </c>
      <c r="P139" s="87">
        <v>6.7000000000000004E-2</v>
      </c>
      <c r="Q139" s="31">
        <v>518600</v>
      </c>
      <c r="R139" s="93">
        <f t="shared" si="453"/>
        <v>34746.200000000004</v>
      </c>
      <c r="S139" s="31">
        <f>23592+2834134.41</f>
        <v>2857726.41</v>
      </c>
      <c r="T139" s="31">
        <v>3457231.81</v>
      </c>
      <c r="U139" s="23">
        <f t="shared" si="454"/>
        <v>191467.66947000002</v>
      </c>
      <c r="V139" s="23">
        <f t="shared" si="455"/>
        <v>231634.53127000001</v>
      </c>
      <c r="W139" s="24">
        <f t="shared" si="456"/>
        <v>561713.28947000008</v>
      </c>
      <c r="X139" s="1">
        <v>45993</v>
      </c>
      <c r="Y139" s="1">
        <v>45993</v>
      </c>
      <c r="Z139" s="1">
        <v>46015</v>
      </c>
      <c r="AA139" s="1">
        <v>46022</v>
      </c>
      <c r="AB139" s="1">
        <v>46022</v>
      </c>
      <c r="AC139" s="94" t="s">
        <v>138</v>
      </c>
    </row>
    <row r="140" spans="1:29" x14ac:dyDescent="0.35">
      <c r="A140" s="2">
        <v>138</v>
      </c>
      <c r="B140" s="2" t="s">
        <v>13</v>
      </c>
      <c r="C140" s="3" t="s">
        <v>705</v>
      </c>
      <c r="D140" s="148" t="s">
        <v>56</v>
      </c>
      <c r="E140" s="157" t="s">
        <v>707</v>
      </c>
      <c r="F140" s="90" t="s">
        <v>709</v>
      </c>
      <c r="G140" s="122" t="s">
        <v>708</v>
      </c>
      <c r="H140" s="120" t="s">
        <v>717</v>
      </c>
      <c r="I140" s="91">
        <v>581544.82999999996</v>
      </c>
      <c r="J140" s="92">
        <v>5700</v>
      </c>
      <c r="K140" s="91">
        <v>241510.14</v>
      </c>
      <c r="L140" s="91">
        <f>I140+K140+M140</f>
        <v>823393.92999999993</v>
      </c>
      <c r="M140" s="91">
        <v>338.96</v>
      </c>
      <c r="N140" s="140">
        <v>0</v>
      </c>
      <c r="O140" s="23">
        <f>2518</f>
        <v>2518</v>
      </c>
      <c r="P140" s="87">
        <v>6.7000000000000004E-2</v>
      </c>
      <c r="Q140" s="31">
        <f>1187400/2</f>
        <v>593700</v>
      </c>
      <c r="R140" s="93">
        <f>Q140*P140</f>
        <v>39777.9</v>
      </c>
      <c r="S140" s="31">
        <f>23592+811536.93</f>
        <v>835128.93</v>
      </c>
      <c r="T140" s="31">
        <v>1266141.27</v>
      </c>
      <c r="U140" s="23">
        <f>S140*P140</f>
        <v>55953.638310000009</v>
      </c>
      <c r="V140" s="23">
        <f>T140*P140</f>
        <v>84831.465090000012</v>
      </c>
      <c r="W140" s="24">
        <f>K140+M140+O140+R140+U140+N140</f>
        <v>340098.63831000001</v>
      </c>
      <c r="X140" s="1">
        <v>45995</v>
      </c>
      <c r="Y140" s="1">
        <v>45995</v>
      </c>
      <c r="Z140" s="159">
        <v>46013</v>
      </c>
      <c r="AA140" s="159">
        <v>46022</v>
      </c>
      <c r="AB140" s="159">
        <v>46022</v>
      </c>
      <c r="AC140" s="146" t="s">
        <v>138</v>
      </c>
    </row>
    <row r="141" spans="1:29" ht="15.75" customHeight="1" x14ac:dyDescent="0.35">
      <c r="A141" s="2">
        <v>139</v>
      </c>
      <c r="B141" s="2" t="s">
        <v>13</v>
      </c>
      <c r="C141" s="3" t="s">
        <v>706</v>
      </c>
      <c r="D141" s="149"/>
      <c r="E141" s="158"/>
      <c r="F141" s="90" t="s">
        <v>711</v>
      </c>
      <c r="G141" s="122" t="s">
        <v>710</v>
      </c>
      <c r="H141" s="120" t="s">
        <v>718</v>
      </c>
      <c r="I141" s="91">
        <v>1355615.8</v>
      </c>
      <c r="J141" s="92">
        <v>2100</v>
      </c>
      <c r="K141" s="91">
        <v>89073.600000000006</v>
      </c>
      <c r="L141" s="91">
        <f>I141+K141+M141</f>
        <v>1444774.2300000002</v>
      </c>
      <c r="M141" s="91">
        <v>84.83</v>
      </c>
      <c r="N141" s="140">
        <v>0</v>
      </c>
      <c r="O141" s="23">
        <v>4685</v>
      </c>
      <c r="P141" s="87">
        <v>6.7000000000000004E-2</v>
      </c>
      <c r="Q141" s="31">
        <f>1187400/2</f>
        <v>593700</v>
      </c>
      <c r="R141" s="93">
        <f t="shared" ref="R141:R142" si="458">Q141*P141</f>
        <v>39777.9</v>
      </c>
      <c r="S141" s="31">
        <f>23592+1820209.19</f>
        <v>1843801.19</v>
      </c>
      <c r="T141" s="31">
        <v>2308725.98</v>
      </c>
      <c r="U141" s="23">
        <f t="shared" ref="U141:U142" si="459">S141*P141</f>
        <v>123534.67973</v>
      </c>
      <c r="V141" s="23">
        <f t="shared" ref="V141:V142" si="460">T141*P141</f>
        <v>154684.64066</v>
      </c>
      <c r="W141" s="24">
        <f t="shared" ref="W141:W142" si="461">K141+M141+O141+R141+U141+N141</f>
        <v>257156.00973000002</v>
      </c>
      <c r="X141" s="1">
        <v>45996</v>
      </c>
      <c r="Y141" s="1">
        <v>45996</v>
      </c>
      <c r="Z141" s="159"/>
      <c r="AA141" s="159"/>
      <c r="AB141" s="159"/>
      <c r="AC141" s="147"/>
    </row>
    <row r="142" spans="1:29" x14ac:dyDescent="0.35">
      <c r="A142" s="2">
        <v>140</v>
      </c>
      <c r="B142" s="2" t="s">
        <v>13</v>
      </c>
      <c r="C142" s="3" t="s">
        <v>712</v>
      </c>
      <c r="D142" s="2" t="s">
        <v>56</v>
      </c>
      <c r="E142" s="16" t="s">
        <v>541</v>
      </c>
      <c r="F142" s="2" t="s">
        <v>713</v>
      </c>
      <c r="G142" s="122" t="s">
        <v>714</v>
      </c>
      <c r="H142" s="120" t="s">
        <v>716</v>
      </c>
      <c r="I142" s="91">
        <v>2247278.11</v>
      </c>
      <c r="J142" s="92">
        <v>7600</v>
      </c>
      <c r="K142" s="91">
        <v>322013.52</v>
      </c>
      <c r="L142" s="91">
        <f t="shared" ref="L142" si="462">I142+K142+M142</f>
        <v>2569715.33</v>
      </c>
      <c r="M142" s="91">
        <v>423.7</v>
      </c>
      <c r="N142" s="140">
        <v>0</v>
      </c>
      <c r="O142" s="23">
        <v>2641</v>
      </c>
      <c r="P142" s="87">
        <v>6.7000000000000004E-2</v>
      </c>
      <c r="Q142" s="31">
        <v>1420000</v>
      </c>
      <c r="R142" s="93">
        <f t="shared" si="458"/>
        <v>95140</v>
      </c>
      <c r="S142" s="31">
        <f>23592+3408147.12</f>
        <v>3431739.12</v>
      </c>
      <c r="T142" s="31">
        <v>4110455.4</v>
      </c>
      <c r="U142" s="23">
        <f t="shared" si="459"/>
        <v>229926.52104000002</v>
      </c>
      <c r="V142" s="23">
        <f t="shared" si="460"/>
        <v>275400.51180000004</v>
      </c>
      <c r="W142" s="24">
        <f t="shared" si="461"/>
        <v>650144.74103999999</v>
      </c>
      <c r="X142" s="1">
        <v>45995</v>
      </c>
      <c r="Y142" s="1">
        <v>45995</v>
      </c>
      <c r="Z142" s="1">
        <v>46019</v>
      </c>
      <c r="AA142" s="1">
        <v>46022</v>
      </c>
      <c r="AB142" s="1">
        <v>46022</v>
      </c>
      <c r="AC142" s="94" t="s">
        <v>138</v>
      </c>
    </row>
    <row r="143" spans="1:29" x14ac:dyDescent="0.35">
      <c r="A143" s="2">
        <v>141</v>
      </c>
      <c r="B143" s="2" t="s">
        <v>13</v>
      </c>
      <c r="C143" s="3" t="s">
        <v>719</v>
      </c>
      <c r="D143" s="2" t="s">
        <v>56</v>
      </c>
      <c r="E143" s="16" t="s">
        <v>720</v>
      </c>
      <c r="F143" s="2" t="s">
        <v>723</v>
      </c>
      <c r="G143" s="122" t="s">
        <v>721</v>
      </c>
      <c r="H143" s="120" t="s">
        <v>722</v>
      </c>
      <c r="I143" s="91">
        <v>2061475.37</v>
      </c>
      <c r="J143" s="92">
        <v>7600</v>
      </c>
      <c r="K143" s="91">
        <v>323260.68</v>
      </c>
      <c r="L143" s="91">
        <f t="shared" ref="L143" si="463">I143+K143+M143</f>
        <v>2385161.39</v>
      </c>
      <c r="M143" s="91">
        <v>425.34</v>
      </c>
      <c r="N143" s="140">
        <v>0</v>
      </c>
      <c r="O143" s="23">
        <v>2928</v>
      </c>
      <c r="P143" s="87">
        <v>6.7000000000000004E-2</v>
      </c>
      <c r="Q143" s="31">
        <v>612503</v>
      </c>
      <c r="R143" s="93">
        <f t="shared" ref="R143" si="464">Q143*P143</f>
        <v>41037.701000000001</v>
      </c>
      <c r="S143" s="31">
        <f>25950+3155061.69</f>
        <v>3181011.69</v>
      </c>
      <c r="T143" s="31">
        <v>5335802.5599999996</v>
      </c>
      <c r="U143" s="23">
        <f t="shared" ref="U143" si="465">S143*P143</f>
        <v>213127.78323</v>
      </c>
      <c r="V143" s="23">
        <f t="shared" ref="V143" si="466">T143*P143</f>
        <v>357498.77152000001</v>
      </c>
      <c r="W143" s="24">
        <f t="shared" ref="W143" si="467">K143+M143+O143+R143+U143+N143</f>
        <v>580779.50423000008</v>
      </c>
      <c r="X143" s="1">
        <v>46002</v>
      </c>
      <c r="Y143" s="1">
        <v>46003</v>
      </c>
      <c r="Z143" s="1">
        <v>46027</v>
      </c>
      <c r="AA143" s="1">
        <v>46034</v>
      </c>
      <c r="AB143" s="1">
        <v>46034</v>
      </c>
      <c r="AC143" s="94" t="s">
        <v>138</v>
      </c>
    </row>
    <row r="144" spans="1:29" x14ac:dyDescent="0.35">
      <c r="A144" s="2">
        <v>142</v>
      </c>
      <c r="B144" s="2" t="s">
        <v>13</v>
      </c>
      <c r="C144" s="3" t="s">
        <v>724</v>
      </c>
      <c r="D144" s="148" t="s">
        <v>56</v>
      </c>
      <c r="E144" s="157" t="s">
        <v>726</v>
      </c>
      <c r="F144" s="90" t="s">
        <v>732</v>
      </c>
      <c r="G144" s="122" t="s">
        <v>728</v>
      </c>
      <c r="H144" s="120" t="s">
        <v>730</v>
      </c>
      <c r="I144" s="91">
        <v>469745.4</v>
      </c>
      <c r="J144" s="92">
        <v>2500</v>
      </c>
      <c r="K144" s="91">
        <v>106336</v>
      </c>
      <c r="L144" s="91">
        <f>I144+K144+M144</f>
        <v>576209</v>
      </c>
      <c r="M144" s="91">
        <v>127.6</v>
      </c>
      <c r="N144" s="140">
        <v>0</v>
      </c>
      <c r="O144" s="23">
        <v>4685</v>
      </c>
      <c r="P144" s="87">
        <v>6.7000000000000004E-2</v>
      </c>
      <c r="Q144" s="31">
        <f t="shared" ref="Q144:Q146" si="468">2065000/2</f>
        <v>1032500</v>
      </c>
      <c r="R144" s="93">
        <f>Q144*P144</f>
        <v>69177.5</v>
      </c>
      <c r="S144" s="31">
        <f>25950+511912.83</f>
        <v>537862.83000000007</v>
      </c>
      <c r="T144" s="31">
        <v>1661760.69</v>
      </c>
      <c r="U144" s="23">
        <f>S144*P144</f>
        <v>36036.809610000004</v>
      </c>
      <c r="V144" s="23">
        <f>T144*P144</f>
        <v>111337.96623000001</v>
      </c>
      <c r="W144" s="24">
        <f>K144+M144+O144+R144+U144+N144</f>
        <v>216362.90961</v>
      </c>
      <c r="X144" s="1">
        <v>46009</v>
      </c>
      <c r="Y144" s="1">
        <v>46008</v>
      </c>
      <c r="Z144" s="159">
        <v>46052</v>
      </c>
      <c r="AA144" s="159">
        <v>46059</v>
      </c>
      <c r="AB144" s="159">
        <v>46059</v>
      </c>
      <c r="AC144" s="146" t="s">
        <v>138</v>
      </c>
    </row>
    <row r="145" spans="1:29" ht="15.75" customHeight="1" x14ac:dyDescent="0.35">
      <c r="A145" s="2">
        <v>143</v>
      </c>
      <c r="B145" s="2" t="s">
        <v>13</v>
      </c>
      <c r="C145" s="3" t="s">
        <v>725</v>
      </c>
      <c r="D145" s="149"/>
      <c r="E145" s="158"/>
      <c r="F145" s="90" t="s">
        <v>729</v>
      </c>
      <c r="G145" s="122" t="s">
        <v>727</v>
      </c>
      <c r="H145" s="120" t="s">
        <v>731</v>
      </c>
      <c r="I145" s="91">
        <v>952218.96</v>
      </c>
      <c r="J145" s="92">
        <v>5300</v>
      </c>
      <c r="K145" s="91">
        <v>226053.48</v>
      </c>
      <c r="L145" s="91">
        <f>I145+K145+M145</f>
        <v>1178571</v>
      </c>
      <c r="M145" s="91">
        <v>298.56</v>
      </c>
      <c r="N145" s="140">
        <v>0</v>
      </c>
      <c r="O145" s="23">
        <v>2395</v>
      </c>
      <c r="P145" s="87">
        <v>6.7000000000000004E-2</v>
      </c>
      <c r="Q145" s="31">
        <f t="shared" si="468"/>
        <v>1032500</v>
      </c>
      <c r="R145" s="93">
        <f t="shared" ref="R145:R146" si="469">Q145*P145</f>
        <v>69177.5</v>
      </c>
      <c r="S145" s="31">
        <f>25950+1517774.63</f>
        <v>1543724.63</v>
      </c>
      <c r="T145" s="31">
        <v>2617289.46</v>
      </c>
      <c r="U145" s="23">
        <f t="shared" ref="U145:U146" si="470">S145*P145</f>
        <v>103429.55021</v>
      </c>
      <c r="V145" s="23">
        <f t="shared" ref="V145:V146" si="471">T145*P145</f>
        <v>175358.39382</v>
      </c>
      <c r="W145" s="24">
        <f t="shared" ref="W145:W146" si="472">K145+M145+O145+R145+U145+N145</f>
        <v>401354.09021000005</v>
      </c>
      <c r="X145" s="1">
        <v>46007</v>
      </c>
      <c r="Y145" s="1">
        <v>46008</v>
      </c>
      <c r="Z145" s="159"/>
      <c r="AA145" s="159"/>
      <c r="AB145" s="159"/>
      <c r="AC145" s="147"/>
    </row>
    <row r="146" spans="1:29" x14ac:dyDescent="0.35">
      <c r="A146" s="2">
        <v>144</v>
      </c>
      <c r="B146" s="2" t="s">
        <v>13</v>
      </c>
      <c r="C146" s="3" t="s">
        <v>733</v>
      </c>
      <c r="D146" s="2" t="s">
        <v>56</v>
      </c>
      <c r="E146" s="16" t="s">
        <v>734</v>
      </c>
      <c r="F146" s="2" t="s">
        <v>736</v>
      </c>
      <c r="G146" s="122" t="s">
        <v>735</v>
      </c>
      <c r="H146" s="120" t="s">
        <v>737</v>
      </c>
      <c r="I146" s="91">
        <v>2080293.46</v>
      </c>
      <c r="J146" s="92">
        <v>7600</v>
      </c>
      <c r="K146" s="91">
        <v>325691.92</v>
      </c>
      <c r="L146" s="91">
        <f t="shared" ref="L146" si="473">I146+K146+M146</f>
        <v>2406413.92</v>
      </c>
      <c r="M146" s="91">
        <v>428.54</v>
      </c>
      <c r="N146" s="140">
        <v>0</v>
      </c>
      <c r="O146" s="23">
        <v>2600</v>
      </c>
      <c r="P146" s="87">
        <v>6.7000000000000004E-2</v>
      </c>
      <c r="Q146" s="31">
        <f t="shared" si="468"/>
        <v>1032500</v>
      </c>
      <c r="R146" s="93">
        <f t="shared" si="469"/>
        <v>69177.5</v>
      </c>
      <c r="S146" s="31">
        <f>25950+3168262.72</f>
        <v>3194212.72</v>
      </c>
      <c r="T146" s="31">
        <v>5247329.18</v>
      </c>
      <c r="U146" s="23">
        <f t="shared" si="470"/>
        <v>214012.25224000003</v>
      </c>
      <c r="V146" s="23">
        <f t="shared" si="471"/>
        <v>351571.05505999998</v>
      </c>
      <c r="W146" s="24">
        <f t="shared" si="472"/>
        <v>611910.21224000002</v>
      </c>
      <c r="X146" s="1">
        <v>46020</v>
      </c>
      <c r="Y146" s="1">
        <v>46021</v>
      </c>
      <c r="Z146" s="1">
        <v>46052</v>
      </c>
      <c r="AA146" s="1">
        <v>46055</v>
      </c>
      <c r="AB146" s="1">
        <v>46055</v>
      </c>
      <c r="AC146" s="94" t="s">
        <v>138</v>
      </c>
    </row>
  </sheetData>
  <mergeCells count="184">
    <mergeCell ref="D144:D145"/>
    <mergeCell ref="E144:E145"/>
    <mergeCell ref="Z144:Z145"/>
    <mergeCell ref="AA144:AA145"/>
    <mergeCell ref="AB144:AB145"/>
    <mergeCell ref="AC144:AC145"/>
    <mergeCell ref="D134:D135"/>
    <mergeCell ref="E134:E135"/>
    <mergeCell ref="Z134:Z135"/>
    <mergeCell ref="AA134:AA135"/>
    <mergeCell ref="AB134:AB135"/>
    <mergeCell ref="AC134:AC135"/>
    <mergeCell ref="D140:D141"/>
    <mergeCell ref="E140:E141"/>
    <mergeCell ref="Z140:Z141"/>
    <mergeCell ref="AA140:AA141"/>
    <mergeCell ref="AB140:AB141"/>
    <mergeCell ref="AC140:AC141"/>
    <mergeCell ref="D137:D138"/>
    <mergeCell ref="E137:E138"/>
    <mergeCell ref="Z137:Z138"/>
    <mergeCell ref="AA137:AA138"/>
    <mergeCell ref="AB137:AB138"/>
    <mergeCell ref="AC137:AC138"/>
    <mergeCell ref="D123:D124"/>
    <mergeCell ref="E123:E124"/>
    <mergeCell ref="Z123:Z124"/>
    <mergeCell ref="AA123:AA124"/>
    <mergeCell ref="AB123:AB124"/>
    <mergeCell ref="AC123:AC124"/>
    <mergeCell ref="N123:N124"/>
    <mergeCell ref="D118:D119"/>
    <mergeCell ref="E118:E119"/>
    <mergeCell ref="Z118:Z119"/>
    <mergeCell ref="AA118:AA119"/>
    <mergeCell ref="AB118:AB119"/>
    <mergeCell ref="AC118:AC119"/>
    <mergeCell ref="N118:N119"/>
    <mergeCell ref="D112:D113"/>
    <mergeCell ref="E112:E113"/>
    <mergeCell ref="Z112:Z113"/>
    <mergeCell ref="AA112:AA113"/>
    <mergeCell ref="AB112:AB113"/>
    <mergeCell ref="AC112:AC113"/>
    <mergeCell ref="D114:D115"/>
    <mergeCell ref="E114:E115"/>
    <mergeCell ref="Z114:Z115"/>
    <mergeCell ref="AA114:AA115"/>
    <mergeCell ref="AB114:AB115"/>
    <mergeCell ref="AC114:AC115"/>
    <mergeCell ref="N112:N113"/>
    <mergeCell ref="N114:N115"/>
    <mergeCell ref="N79:N80"/>
    <mergeCell ref="D89:D90"/>
    <mergeCell ref="E89:E90"/>
    <mergeCell ref="Z89:Z90"/>
    <mergeCell ref="D87:D88"/>
    <mergeCell ref="E87:E88"/>
    <mergeCell ref="Z87:Z88"/>
    <mergeCell ref="AA64:AA65"/>
    <mergeCell ref="AB64:AB65"/>
    <mergeCell ref="D73:D74"/>
    <mergeCell ref="E73:E74"/>
    <mergeCell ref="D79:D80"/>
    <mergeCell ref="E79:E80"/>
    <mergeCell ref="Z79:Z80"/>
    <mergeCell ref="AC68:AC69"/>
    <mergeCell ref="D68:D69"/>
    <mergeCell ref="E68:E69"/>
    <mergeCell ref="Z68:Z69"/>
    <mergeCell ref="AA68:AA69"/>
    <mergeCell ref="AB68:AB69"/>
    <mergeCell ref="AC66:AC67"/>
    <mergeCell ref="D66:D67"/>
    <mergeCell ref="E66:E67"/>
    <mergeCell ref="Z66:Z67"/>
    <mergeCell ref="AA66:AA67"/>
    <mergeCell ref="AB66:AB67"/>
    <mergeCell ref="N49:N50"/>
    <mergeCell ref="AB53:AB54"/>
    <mergeCell ref="D49:D50"/>
    <mergeCell ref="E49:E50"/>
    <mergeCell ref="Z49:Z50"/>
    <mergeCell ref="D53:D54"/>
    <mergeCell ref="E53:E54"/>
    <mergeCell ref="Z53:Z54"/>
    <mergeCell ref="AA53:AA54"/>
    <mergeCell ref="AC57:AC58"/>
    <mergeCell ref="AC64:AC65"/>
    <mergeCell ref="E15:E16"/>
    <mergeCell ref="Z15:Z16"/>
    <mergeCell ref="AA15:AA16"/>
    <mergeCell ref="D17:D18"/>
    <mergeCell ref="E17:E18"/>
    <mergeCell ref="Z17:Z18"/>
    <mergeCell ref="AA17:AA18"/>
    <mergeCell ref="D36:D37"/>
    <mergeCell ref="D44:D45"/>
    <mergeCell ref="E44:E45"/>
    <mergeCell ref="Z44:Z45"/>
    <mergeCell ref="AA44:AA45"/>
    <mergeCell ref="E36:E37"/>
    <mergeCell ref="Z36:Z37"/>
    <mergeCell ref="AA36:AA37"/>
    <mergeCell ref="D57:D58"/>
    <mergeCell ref="E57:E58"/>
    <mergeCell ref="Z57:Z58"/>
    <mergeCell ref="AA57:AA58"/>
    <mergeCell ref="AB57:AB58"/>
    <mergeCell ref="AA49:AA50"/>
    <mergeCell ref="AC53:AC54"/>
    <mergeCell ref="AC2:AC4"/>
    <mergeCell ref="AB2:AB4"/>
    <mergeCell ref="AC15:AC16"/>
    <mergeCell ref="AB15:AB16"/>
    <mergeCell ref="AC17:AC18"/>
    <mergeCell ref="AB17:AB18"/>
    <mergeCell ref="AC44:AC45"/>
    <mergeCell ref="AC49:AC50"/>
    <mergeCell ref="AB49:AB50"/>
    <mergeCell ref="AB44:AB45"/>
    <mergeCell ref="AB36:AB37"/>
    <mergeCell ref="AA2:AA4"/>
    <mergeCell ref="D15:D16"/>
    <mergeCell ref="AC87:AC88"/>
    <mergeCell ref="AA87:AA88"/>
    <mergeCell ref="AB87:AB88"/>
    <mergeCell ref="AA96:AA97"/>
    <mergeCell ref="AB96:AB97"/>
    <mergeCell ref="AC96:AC97"/>
    <mergeCell ref="AC91:AC92"/>
    <mergeCell ref="AA91:AA92"/>
    <mergeCell ref="AB91:AB92"/>
    <mergeCell ref="AB70:AB71"/>
    <mergeCell ref="AA70:AA71"/>
    <mergeCell ref="AA79:AA80"/>
    <mergeCell ref="AB79:AB80"/>
    <mergeCell ref="AC79:AC80"/>
    <mergeCell ref="AC73:AC74"/>
    <mergeCell ref="AC70:AC71"/>
    <mergeCell ref="AA73:AA74"/>
    <mergeCell ref="AB73:AB74"/>
    <mergeCell ref="Z73:Z74"/>
    <mergeCell ref="N87:N88"/>
    <mergeCell ref="N96:N97"/>
    <mergeCell ref="AC36:AC37"/>
    <mergeCell ref="D96:D97"/>
    <mergeCell ref="E96:E97"/>
    <mergeCell ref="Z96:Z97"/>
    <mergeCell ref="D91:D92"/>
    <mergeCell ref="E91:E92"/>
    <mergeCell ref="Z91:Z92"/>
    <mergeCell ref="D105:D106"/>
    <mergeCell ref="E105:E106"/>
    <mergeCell ref="D2:D4"/>
    <mergeCell ref="E2:E4"/>
    <mergeCell ref="Z2:Z4"/>
    <mergeCell ref="N44:N45"/>
    <mergeCell ref="D64:D65"/>
    <mergeCell ref="E64:E65"/>
    <mergeCell ref="Z64:Z65"/>
    <mergeCell ref="Z105:Z106"/>
    <mergeCell ref="D70:D71"/>
    <mergeCell ref="E70:E71"/>
    <mergeCell ref="Z70:Z71"/>
    <mergeCell ref="N70:N71"/>
    <mergeCell ref="N73:N74"/>
    <mergeCell ref="D98:D99"/>
    <mergeCell ref="E98:E99"/>
    <mergeCell ref="Z98:Z99"/>
    <mergeCell ref="N134:N135"/>
    <mergeCell ref="N105:N106"/>
    <mergeCell ref="N98:N99"/>
    <mergeCell ref="N89:N90"/>
    <mergeCell ref="N91:N92"/>
    <mergeCell ref="AA98:AA99"/>
    <mergeCell ref="AB98:AB99"/>
    <mergeCell ref="AC98:AC99"/>
    <mergeCell ref="AC89:AC90"/>
    <mergeCell ref="AA89:AA90"/>
    <mergeCell ref="AB89:AB90"/>
    <mergeCell ref="AA105:AA106"/>
    <mergeCell ref="AB105:AB106"/>
    <mergeCell ref="AC105:AC106"/>
  </mergeCells>
  <phoneticPr fontId="8" type="noConversion"/>
  <pageMargins left="0.7" right="0.7" top="0.75" bottom="0.75" header="0.3" footer="0.3"/>
  <pageSetup paperSize="9" orientation="portrait" r:id="rId1"/>
  <ignoredErrors>
    <ignoredError sqref="Q4 Q59 Q85 O88 Q112:Q113 Q117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F6:X18"/>
  <sheetViews>
    <sheetView topLeftCell="D4" zoomScaleNormal="100" zoomScaleSheetLayoutView="20" workbookViewId="0">
      <selection activeCell="I18" sqref="I18"/>
    </sheetView>
  </sheetViews>
  <sheetFormatPr defaultRowHeight="14.5" x14ac:dyDescent="0.35"/>
  <cols>
    <col min="6" max="6" width="10.54296875" customWidth="1"/>
    <col min="7" max="7" width="17.54296875" bestFit="1" customWidth="1"/>
    <col min="8" max="8" width="13.453125" customWidth="1"/>
    <col min="9" max="9" width="13.453125" bestFit="1" customWidth="1"/>
    <col min="10" max="10" width="9.54296875" bestFit="1" customWidth="1"/>
    <col min="11" max="11" width="14.54296875" customWidth="1"/>
    <col min="12" max="12" width="12.54296875" customWidth="1"/>
    <col min="13" max="13" width="12.453125" customWidth="1"/>
    <col min="14" max="14" width="15.453125" customWidth="1"/>
    <col min="15" max="15" width="16.453125" bestFit="1" customWidth="1"/>
    <col min="16" max="16" width="15.453125" customWidth="1"/>
    <col min="17" max="17" width="13.54296875" bestFit="1" customWidth="1"/>
    <col min="18" max="18" width="13.54296875" customWidth="1"/>
    <col min="22" max="22" width="12.453125" customWidth="1"/>
    <col min="23" max="23" width="14.54296875" customWidth="1"/>
    <col min="24" max="24" width="11.54296875" customWidth="1"/>
  </cols>
  <sheetData>
    <row r="6" spans="6:24" ht="39" x14ac:dyDescent="0.35">
      <c r="F6" s="20" t="s">
        <v>8</v>
      </c>
      <c r="G6" s="20" t="s">
        <v>4</v>
      </c>
      <c r="H6" s="20" t="s">
        <v>24</v>
      </c>
      <c r="I6" s="20" t="s">
        <v>25</v>
      </c>
      <c r="J6" s="20" t="s">
        <v>5</v>
      </c>
      <c r="K6" s="20" t="s">
        <v>14</v>
      </c>
      <c r="L6" s="21" t="s">
        <v>18</v>
      </c>
      <c r="M6" s="20" t="s">
        <v>29</v>
      </c>
      <c r="N6" s="20" t="s">
        <v>17</v>
      </c>
      <c r="O6" s="20" t="s">
        <v>19</v>
      </c>
      <c r="P6" s="20" t="s">
        <v>41</v>
      </c>
      <c r="Q6" s="20" t="s">
        <v>43</v>
      </c>
      <c r="R6" s="20" t="s">
        <v>42</v>
      </c>
      <c r="S6" s="20" t="s">
        <v>44</v>
      </c>
      <c r="T6" s="20" t="s">
        <v>49</v>
      </c>
      <c r="U6" s="20" t="s">
        <v>45</v>
      </c>
      <c r="V6" s="20" t="s">
        <v>46</v>
      </c>
      <c r="W6" s="20" t="s">
        <v>47</v>
      </c>
      <c r="X6" s="20" t="s">
        <v>48</v>
      </c>
    </row>
    <row r="7" spans="6:24" x14ac:dyDescent="0.35">
      <c r="F7" s="3" t="s">
        <v>27</v>
      </c>
      <c r="G7" s="4" t="s">
        <v>50</v>
      </c>
      <c r="H7" s="13">
        <v>481827.38</v>
      </c>
      <c r="I7" s="7">
        <f>9800*18.62</f>
        <v>182476</v>
      </c>
      <c r="J7" s="6">
        <f>10*18.62</f>
        <v>186.20000000000002</v>
      </c>
      <c r="K7" s="12">
        <v>664489.57999999996</v>
      </c>
      <c r="L7" s="9">
        <v>8437.41</v>
      </c>
      <c r="M7" s="10">
        <v>663.16</v>
      </c>
      <c r="N7" s="11">
        <v>19420.800000000003</v>
      </c>
      <c r="O7" s="11" t="s">
        <v>30</v>
      </c>
      <c r="P7" s="22">
        <v>276167.82365880004</v>
      </c>
      <c r="Q7" s="19">
        <v>9900</v>
      </c>
      <c r="R7" s="14">
        <v>9800</v>
      </c>
      <c r="S7" s="16">
        <v>33</v>
      </c>
      <c r="T7" s="16">
        <v>1130</v>
      </c>
      <c r="U7" s="16">
        <v>10358</v>
      </c>
      <c r="V7" s="17">
        <f>R7/S7</f>
        <v>296.969696969697</v>
      </c>
      <c r="W7" s="17">
        <f>Q7/T7</f>
        <v>8.7610619469026556</v>
      </c>
      <c r="X7" s="17">
        <f>Q7/U7</f>
        <v>0.95578296968526744</v>
      </c>
    </row>
    <row r="8" spans="6:24" x14ac:dyDescent="0.35">
      <c r="F8" s="3" t="s">
        <v>32</v>
      </c>
      <c r="G8" s="4" t="s">
        <v>51</v>
      </c>
      <c r="H8" s="13">
        <v>651851.68999999994</v>
      </c>
      <c r="I8" s="7">
        <v>182528.92</v>
      </c>
      <c r="J8" s="6">
        <v>186.25</v>
      </c>
      <c r="K8" s="12">
        <v>834380.61</v>
      </c>
      <c r="L8" s="9">
        <v>14066.63</v>
      </c>
      <c r="M8" s="10">
        <v>1043.1199999999999</v>
      </c>
      <c r="N8" s="11">
        <v>19473.600000000002</v>
      </c>
      <c r="O8" s="11">
        <v>97429.204713400002</v>
      </c>
      <c r="P8" s="22">
        <v>314727.72471340001</v>
      </c>
      <c r="Q8" s="15">
        <v>9900</v>
      </c>
      <c r="R8" s="14">
        <v>9800</v>
      </c>
      <c r="S8" s="16">
        <v>33</v>
      </c>
      <c r="T8" s="16">
        <v>1005</v>
      </c>
      <c r="U8" s="16">
        <v>11314</v>
      </c>
      <c r="V8" s="17">
        <f>R8/S8</f>
        <v>296.969696969697</v>
      </c>
      <c r="W8" s="17">
        <f>Q9/T8</f>
        <v>9.7512437810945265</v>
      </c>
      <c r="X8" s="17">
        <f>Q9/U8</f>
        <v>0.86618348948205759</v>
      </c>
    </row>
    <row r="9" spans="6:24" x14ac:dyDescent="0.35">
      <c r="F9" s="3" t="s">
        <v>31</v>
      </c>
      <c r="G9" s="4" t="s">
        <v>52</v>
      </c>
      <c r="H9" s="13">
        <v>465969.86</v>
      </c>
      <c r="I9" s="7">
        <v>182653.38</v>
      </c>
      <c r="J9" s="6">
        <v>186.38</v>
      </c>
      <c r="K9" s="12">
        <v>648809.62</v>
      </c>
      <c r="L9" s="7">
        <f>9800*18.62</f>
        <v>182476</v>
      </c>
      <c r="M9" s="10">
        <v>778.8</v>
      </c>
      <c r="N9" s="11">
        <v>19473.600000000002</v>
      </c>
      <c r="O9" s="11">
        <v>68401.02</v>
      </c>
      <c r="P9" s="22">
        <v>277128.68</v>
      </c>
      <c r="Q9" s="14">
        <v>9800</v>
      </c>
      <c r="R9" s="15">
        <v>9900</v>
      </c>
      <c r="S9" s="16">
        <v>33</v>
      </c>
      <c r="T9" s="16">
        <v>975</v>
      </c>
      <c r="U9" s="16">
        <v>12156</v>
      </c>
      <c r="V9" s="17">
        <f>Q9/S9</f>
        <v>296.969696969697</v>
      </c>
      <c r="W9" s="17">
        <f>Q9/T9</f>
        <v>10.051282051282051</v>
      </c>
      <c r="X9" s="17">
        <f>Q9/U9</f>
        <v>0.80618624547548534</v>
      </c>
    </row>
    <row r="10" spans="6:24" x14ac:dyDescent="0.35">
      <c r="F10" s="3" t="s">
        <v>33</v>
      </c>
      <c r="G10" s="4" t="s">
        <v>34</v>
      </c>
      <c r="H10" s="13">
        <v>602958.21999999974</v>
      </c>
      <c r="I10" s="7">
        <v>128638.08</v>
      </c>
      <c r="J10" s="6">
        <v>130.5</v>
      </c>
      <c r="K10" s="12">
        <v>731726.7999999997</v>
      </c>
      <c r="L10" s="9">
        <v>0</v>
      </c>
      <c r="M10" s="10">
        <v>1239</v>
      </c>
      <c r="N10" s="166">
        <v>19473.600000000002</v>
      </c>
      <c r="O10" s="166">
        <v>109.388477186</v>
      </c>
      <c r="P10" s="164">
        <v>314969.56472999998</v>
      </c>
      <c r="Q10" s="18">
        <v>3000</v>
      </c>
      <c r="R10" s="162">
        <v>9950</v>
      </c>
      <c r="S10" s="16">
        <v>26</v>
      </c>
      <c r="T10" s="16">
        <v>794</v>
      </c>
      <c r="U10" s="16">
        <v>12962</v>
      </c>
      <c r="V10" s="17">
        <f>Q10/S10</f>
        <v>115.38461538461539</v>
      </c>
      <c r="W10" s="17">
        <f>Q10/T10</f>
        <v>3.7783375314861463</v>
      </c>
      <c r="X10" s="17">
        <f>Q10/U10</f>
        <v>0.23144576454250887</v>
      </c>
    </row>
    <row r="11" spans="6:24" x14ac:dyDescent="0.35">
      <c r="F11" s="3" t="s">
        <v>26</v>
      </c>
      <c r="G11" s="4" t="s">
        <v>28</v>
      </c>
      <c r="H11" s="13">
        <v>122246.38</v>
      </c>
      <c r="I11" s="7">
        <v>56043.9</v>
      </c>
      <c r="J11" s="6">
        <v>56.04</v>
      </c>
      <c r="K11" s="12">
        <v>178346.32</v>
      </c>
      <c r="L11" s="9">
        <v>0</v>
      </c>
      <c r="M11" s="10">
        <v>613.6</v>
      </c>
      <c r="N11" s="167"/>
      <c r="O11" s="167"/>
      <c r="P11" s="165"/>
      <c r="Q11" s="18">
        <v>6900</v>
      </c>
      <c r="R11" s="163"/>
      <c r="S11" s="16">
        <v>7</v>
      </c>
      <c r="T11" s="16">
        <v>203</v>
      </c>
      <c r="U11" s="16">
        <v>2145</v>
      </c>
      <c r="V11" s="17">
        <f>Q11/S11</f>
        <v>985.71428571428567</v>
      </c>
      <c r="W11" s="17">
        <f>Q11/T11</f>
        <v>33.990147783251231</v>
      </c>
      <c r="X11" s="17">
        <f>Q11/U11</f>
        <v>3.2167832167832167</v>
      </c>
    </row>
    <row r="12" spans="6:24" x14ac:dyDescent="0.35">
      <c r="F12" s="3" t="s">
        <v>35</v>
      </c>
      <c r="G12" s="4" t="s">
        <v>36</v>
      </c>
      <c r="H12" s="13">
        <v>755006.35000000044</v>
      </c>
      <c r="I12" s="7">
        <v>181765.39</v>
      </c>
      <c r="J12" s="6">
        <v>187.39</v>
      </c>
      <c r="K12" s="12">
        <v>755006.35</v>
      </c>
      <c r="L12" s="9">
        <v>0</v>
      </c>
      <c r="M12" s="10">
        <v>1336.94</v>
      </c>
      <c r="N12" s="11">
        <v>19502.400000000001</v>
      </c>
      <c r="O12" s="11">
        <v>87435.76</v>
      </c>
      <c r="P12" s="22">
        <v>290227.88</v>
      </c>
      <c r="Q12" s="14">
        <v>9700</v>
      </c>
      <c r="R12" s="19">
        <v>9900</v>
      </c>
      <c r="S12" s="16">
        <v>33</v>
      </c>
      <c r="T12" s="16">
        <v>1041</v>
      </c>
      <c r="U12" s="16">
        <v>10214</v>
      </c>
      <c r="V12" s="17">
        <f>Q12/S12</f>
        <v>293.93939393939394</v>
      </c>
      <c r="W12" s="17">
        <f>Q12/T12</f>
        <v>9.317963496637848</v>
      </c>
      <c r="X12" s="17">
        <f>Q12/U12</f>
        <v>0.94967691403955357</v>
      </c>
    </row>
    <row r="13" spans="6:24" x14ac:dyDescent="0.35">
      <c r="F13" s="3" t="s">
        <v>37</v>
      </c>
      <c r="G13" s="4" t="s">
        <v>39</v>
      </c>
      <c r="H13" s="13">
        <v>447242.32000000007</v>
      </c>
      <c r="I13" s="7">
        <v>118123.74</v>
      </c>
      <c r="J13" s="6">
        <v>131.25</v>
      </c>
      <c r="K13" s="13">
        <v>565497.31000000006</v>
      </c>
      <c r="L13" s="9">
        <v>0</v>
      </c>
      <c r="M13" s="10">
        <v>1469.1</v>
      </c>
      <c r="N13" s="166">
        <v>19680</v>
      </c>
      <c r="O13" s="166">
        <v>122713</v>
      </c>
      <c r="P13" s="164">
        <v>327811.65000000002</v>
      </c>
      <c r="Q13" s="162">
        <v>9900</v>
      </c>
      <c r="R13" s="14">
        <v>6300</v>
      </c>
      <c r="S13" s="16">
        <v>22</v>
      </c>
      <c r="T13" s="16">
        <v>660</v>
      </c>
      <c r="U13" s="16">
        <v>8228</v>
      </c>
      <c r="V13" s="17">
        <f>Q13/S13</f>
        <v>450</v>
      </c>
      <c r="W13" s="17">
        <f>Q13/T13</f>
        <v>15</v>
      </c>
      <c r="X13" s="17">
        <f>Q13/U13</f>
        <v>1.2032085561497325</v>
      </c>
    </row>
    <row r="14" spans="6:24" x14ac:dyDescent="0.35">
      <c r="F14" s="3" t="s">
        <v>38</v>
      </c>
      <c r="G14" s="4" t="s">
        <v>40</v>
      </c>
      <c r="H14" s="13">
        <v>400796.39</v>
      </c>
      <c r="I14" s="7">
        <v>65638.3</v>
      </c>
      <c r="J14" s="6">
        <v>56.26</v>
      </c>
      <c r="K14" s="13">
        <v>466490.95</v>
      </c>
      <c r="L14" s="9">
        <v>0</v>
      </c>
      <c r="M14" s="10">
        <v>1092.68</v>
      </c>
      <c r="N14" s="167"/>
      <c r="O14" s="167"/>
      <c r="P14" s="165"/>
      <c r="Q14" s="163"/>
      <c r="R14" s="14">
        <v>3500</v>
      </c>
      <c r="S14" s="16">
        <v>11</v>
      </c>
      <c r="T14" s="16">
        <v>358</v>
      </c>
      <c r="U14" s="16">
        <v>2850</v>
      </c>
      <c r="V14" s="17">
        <f>R14/S14</f>
        <v>318.18181818181819</v>
      </c>
      <c r="W14" s="17">
        <f>R14/T14</f>
        <v>9.7765363128491618</v>
      </c>
      <c r="X14" s="17">
        <f>R14/U14</f>
        <v>1.2280701754385965</v>
      </c>
    </row>
    <row r="17" spans="9:9" x14ac:dyDescent="0.35">
      <c r="I17" s="117">
        <v>4475</v>
      </c>
    </row>
    <row r="18" spans="9:9" x14ac:dyDescent="0.35">
      <c r="I18" s="117">
        <v>4650</v>
      </c>
    </row>
  </sheetData>
  <mergeCells count="8">
    <mergeCell ref="R10:R11"/>
    <mergeCell ref="Q13:Q14"/>
    <mergeCell ref="P10:P11"/>
    <mergeCell ref="P13:P14"/>
    <mergeCell ref="N10:N11"/>
    <mergeCell ref="N13:N14"/>
    <mergeCell ref="O10:O11"/>
    <mergeCell ref="O13:O14"/>
  </mergeCells>
  <phoneticPr fontId="8" type="noConversion"/>
  <pageMargins left="0.7" right="0.7" top="0.75" bottom="0.75" header="0.3" footer="0.3"/>
  <pageSetup paperSize="9" orientation="portrait" r:id="rId1"/>
  <ignoredErrors>
    <ignoredError sqref="W8:X8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opLeftCell="E1" workbookViewId="0">
      <pane ySplit="1" topLeftCell="A17" activePane="bottomLeft" state="frozen"/>
      <selection activeCell="B1" sqref="B1"/>
      <selection pane="bottomLeft" activeCell="L23" sqref="L23"/>
    </sheetView>
  </sheetViews>
  <sheetFormatPr defaultRowHeight="14.5" x14ac:dyDescent="0.35"/>
  <cols>
    <col min="1" max="1" width="8.453125" bestFit="1" customWidth="1"/>
    <col min="2" max="2" width="12.453125" customWidth="1"/>
    <col min="3" max="3" width="13.54296875" bestFit="1" customWidth="1"/>
    <col min="4" max="4" width="22.453125" customWidth="1"/>
    <col min="5" max="5" width="16.453125" style="83" bestFit="1" customWidth="1"/>
    <col min="6" max="6" width="21.54296875" style="83" customWidth="1"/>
    <col min="7" max="7" width="19.54296875" style="83" customWidth="1"/>
    <col min="8" max="8" width="15.54296875" style="83" bestFit="1" customWidth="1"/>
    <col min="9" max="9" width="15.54296875" customWidth="1"/>
    <col min="10" max="10" width="18.54296875" customWidth="1"/>
    <col min="11" max="11" width="11" customWidth="1"/>
    <col min="12" max="12" width="58.54296875" customWidth="1"/>
  </cols>
  <sheetData>
    <row r="1" spans="1:12" s="42" customFormat="1" ht="29.5" thickBot="1" x14ac:dyDescent="0.4">
      <c r="A1" s="33" t="s">
        <v>64</v>
      </c>
      <c r="B1" s="34" t="s">
        <v>65</v>
      </c>
      <c r="C1" s="35" t="s">
        <v>66</v>
      </c>
      <c r="D1" s="36" t="s">
        <v>67</v>
      </c>
      <c r="E1" s="37" t="s">
        <v>68</v>
      </c>
      <c r="F1" s="38" t="s">
        <v>69</v>
      </c>
      <c r="G1" s="39" t="s">
        <v>70</v>
      </c>
      <c r="H1" s="39" t="s">
        <v>71</v>
      </c>
      <c r="I1" s="39" t="s">
        <v>72</v>
      </c>
      <c r="J1" s="40" t="s">
        <v>73</v>
      </c>
      <c r="K1" s="39" t="s">
        <v>74</v>
      </c>
      <c r="L1" s="41" t="s">
        <v>55</v>
      </c>
    </row>
    <row r="2" spans="1:12" s="52" customFormat="1" x14ac:dyDescent="0.35">
      <c r="A2" s="43">
        <v>1</v>
      </c>
      <c r="B2" s="44" t="s">
        <v>75</v>
      </c>
      <c r="C2" s="45"/>
      <c r="D2" s="46" t="s">
        <v>76</v>
      </c>
      <c r="E2" s="47">
        <v>45344</v>
      </c>
      <c r="F2" s="48">
        <v>45344</v>
      </c>
      <c r="G2" s="49">
        <v>45362</v>
      </c>
      <c r="H2" s="49">
        <v>45366</v>
      </c>
      <c r="I2" s="50"/>
      <c r="J2" s="51"/>
      <c r="K2" s="50"/>
      <c r="L2" s="50" t="s">
        <v>77</v>
      </c>
    </row>
    <row r="3" spans="1:12" s="52" customFormat="1" x14ac:dyDescent="0.35">
      <c r="A3" s="53">
        <v>2</v>
      </c>
      <c r="B3" s="44" t="s">
        <v>75</v>
      </c>
      <c r="C3" s="54"/>
      <c r="D3" s="55" t="s">
        <v>78</v>
      </c>
      <c r="E3" s="56">
        <v>45355</v>
      </c>
      <c r="F3" s="57">
        <v>46452</v>
      </c>
      <c r="G3" s="58">
        <v>45378</v>
      </c>
      <c r="H3" s="59">
        <v>45386</v>
      </c>
      <c r="I3" s="60"/>
      <c r="J3" s="61"/>
      <c r="K3" s="60"/>
      <c r="L3" s="50" t="s">
        <v>77</v>
      </c>
    </row>
    <row r="4" spans="1:12" s="52" customFormat="1" x14ac:dyDescent="0.35">
      <c r="A4" s="53">
        <v>3</v>
      </c>
      <c r="B4" s="44" t="s">
        <v>75</v>
      </c>
      <c r="C4" s="54"/>
      <c r="D4" s="55" t="s">
        <v>57</v>
      </c>
      <c r="E4" s="56">
        <v>45356</v>
      </c>
      <c r="F4" s="57">
        <v>45357</v>
      </c>
      <c r="G4" s="58">
        <v>45369</v>
      </c>
      <c r="H4" s="59">
        <v>45378</v>
      </c>
      <c r="I4" s="60"/>
      <c r="J4" s="61"/>
      <c r="K4" s="60"/>
      <c r="L4" s="50" t="s">
        <v>77</v>
      </c>
    </row>
    <row r="5" spans="1:12" s="52" customFormat="1" x14ac:dyDescent="0.35">
      <c r="A5" s="53">
        <v>4</v>
      </c>
      <c r="B5" s="44" t="s">
        <v>75</v>
      </c>
      <c r="C5" s="54"/>
      <c r="D5" s="55" t="s">
        <v>62</v>
      </c>
      <c r="E5" s="56">
        <v>45365</v>
      </c>
      <c r="F5" s="57">
        <v>45366</v>
      </c>
      <c r="G5" s="58">
        <v>45383</v>
      </c>
      <c r="H5" s="59">
        <v>45386</v>
      </c>
      <c r="I5" s="60"/>
      <c r="J5" s="61"/>
      <c r="K5" s="60"/>
      <c r="L5" s="50" t="s">
        <v>77</v>
      </c>
    </row>
    <row r="6" spans="1:12" s="52" customFormat="1" x14ac:dyDescent="0.35">
      <c r="A6" s="53">
        <v>5</v>
      </c>
      <c r="B6" s="44" t="s">
        <v>75</v>
      </c>
      <c r="C6" s="54"/>
      <c r="D6" s="55" t="s">
        <v>58</v>
      </c>
      <c r="E6" s="56">
        <v>45371</v>
      </c>
      <c r="F6" s="57">
        <v>45372</v>
      </c>
      <c r="G6" s="58">
        <v>45430</v>
      </c>
      <c r="H6" s="59">
        <v>45434</v>
      </c>
      <c r="I6" s="60"/>
      <c r="J6" s="61"/>
      <c r="K6" s="60"/>
      <c r="L6" s="50" t="s">
        <v>77</v>
      </c>
    </row>
    <row r="7" spans="1:12" s="52" customFormat="1" x14ac:dyDescent="0.35">
      <c r="A7" s="53">
        <v>6</v>
      </c>
      <c r="B7" s="44" t="s">
        <v>75</v>
      </c>
      <c r="C7" s="54"/>
      <c r="D7" s="55" t="s">
        <v>59</v>
      </c>
      <c r="E7" s="56">
        <v>45372</v>
      </c>
      <c r="F7" s="57">
        <v>45373</v>
      </c>
      <c r="G7" s="58">
        <v>45397</v>
      </c>
      <c r="H7" s="59">
        <v>45404</v>
      </c>
      <c r="I7" s="60"/>
      <c r="J7" s="61"/>
      <c r="K7" s="60"/>
      <c r="L7" s="50" t="s">
        <v>77</v>
      </c>
    </row>
    <row r="8" spans="1:12" s="52" customFormat="1" x14ac:dyDescent="0.35">
      <c r="A8" s="53">
        <v>7</v>
      </c>
      <c r="B8" s="44" t="s">
        <v>75</v>
      </c>
      <c r="C8" s="54"/>
      <c r="D8" s="55" t="s">
        <v>60</v>
      </c>
      <c r="E8" s="56">
        <v>45377</v>
      </c>
      <c r="F8" s="57">
        <v>45379</v>
      </c>
      <c r="G8" s="58">
        <v>45399</v>
      </c>
      <c r="H8" s="59">
        <v>45404</v>
      </c>
      <c r="I8" s="60"/>
      <c r="J8" s="61"/>
      <c r="K8" s="60"/>
      <c r="L8" s="50" t="s">
        <v>77</v>
      </c>
    </row>
    <row r="9" spans="1:12" s="52" customFormat="1" x14ac:dyDescent="0.35">
      <c r="A9" s="53">
        <v>8</v>
      </c>
      <c r="B9" s="44" t="s">
        <v>75</v>
      </c>
      <c r="C9" s="54"/>
      <c r="D9" s="55" t="s">
        <v>61</v>
      </c>
      <c r="E9" s="56">
        <v>45385</v>
      </c>
      <c r="F9" s="57">
        <v>45386</v>
      </c>
      <c r="G9" s="58">
        <v>45411</v>
      </c>
      <c r="H9" s="59">
        <v>45415</v>
      </c>
      <c r="I9" s="60"/>
      <c r="J9" s="61"/>
      <c r="K9" s="60"/>
      <c r="L9" s="50" t="s">
        <v>77</v>
      </c>
    </row>
    <row r="10" spans="1:12" s="52" customFormat="1" x14ac:dyDescent="0.35">
      <c r="A10" s="53">
        <v>9</v>
      </c>
      <c r="B10" s="44" t="s">
        <v>75</v>
      </c>
      <c r="C10" s="54"/>
      <c r="D10" s="55" t="s">
        <v>79</v>
      </c>
      <c r="E10" s="56">
        <v>45385</v>
      </c>
      <c r="F10" s="57">
        <v>45387</v>
      </c>
      <c r="G10" s="58">
        <v>45404</v>
      </c>
      <c r="H10" s="59">
        <v>45415</v>
      </c>
      <c r="I10" s="60"/>
      <c r="J10" s="61"/>
      <c r="K10" s="60"/>
      <c r="L10" s="50" t="s">
        <v>77</v>
      </c>
    </row>
    <row r="11" spans="1:12" s="52" customFormat="1" x14ac:dyDescent="0.35">
      <c r="A11" s="53">
        <v>10</v>
      </c>
      <c r="B11" s="44" t="s">
        <v>75</v>
      </c>
      <c r="C11" s="54"/>
      <c r="D11" s="55" t="s">
        <v>80</v>
      </c>
      <c r="E11" s="56">
        <v>45400</v>
      </c>
      <c r="F11" s="57">
        <v>45401</v>
      </c>
      <c r="G11" s="58">
        <v>45422</v>
      </c>
      <c r="H11" s="59">
        <v>45428</v>
      </c>
      <c r="I11" s="60"/>
      <c r="J11" s="61"/>
      <c r="K11" s="60"/>
      <c r="L11" s="60" t="s">
        <v>77</v>
      </c>
    </row>
    <row r="12" spans="1:12" s="52" customFormat="1" x14ac:dyDescent="0.35">
      <c r="A12" s="53">
        <v>11</v>
      </c>
      <c r="B12" s="44" t="s">
        <v>75</v>
      </c>
      <c r="C12" s="54"/>
      <c r="D12" s="55" t="s">
        <v>62</v>
      </c>
      <c r="E12" s="56">
        <v>45407</v>
      </c>
      <c r="F12" s="57">
        <v>45408</v>
      </c>
      <c r="G12" s="58">
        <v>45428</v>
      </c>
      <c r="H12" s="59">
        <v>45434</v>
      </c>
      <c r="I12" s="60"/>
      <c r="J12" s="61"/>
      <c r="K12" s="60"/>
      <c r="L12" s="60" t="s">
        <v>77</v>
      </c>
    </row>
    <row r="13" spans="1:12" s="52" customFormat="1" x14ac:dyDescent="0.35">
      <c r="A13" s="53">
        <v>12</v>
      </c>
      <c r="B13" s="44" t="s">
        <v>75</v>
      </c>
      <c r="C13" s="54"/>
      <c r="D13" s="55" t="s">
        <v>81</v>
      </c>
      <c r="E13" s="56">
        <v>45408</v>
      </c>
      <c r="F13" s="57">
        <v>45409</v>
      </c>
      <c r="G13" s="58">
        <v>45428</v>
      </c>
      <c r="H13" s="59">
        <v>45429</v>
      </c>
      <c r="I13" s="60"/>
      <c r="J13" s="61"/>
      <c r="K13" s="60"/>
      <c r="L13" s="60" t="s">
        <v>77</v>
      </c>
    </row>
    <row r="14" spans="1:12" s="52" customFormat="1" x14ac:dyDescent="0.35">
      <c r="A14" s="53">
        <v>13</v>
      </c>
      <c r="B14" s="44" t="s">
        <v>75</v>
      </c>
      <c r="C14" s="54" t="s">
        <v>82</v>
      </c>
      <c r="D14" s="55" t="s">
        <v>83</v>
      </c>
      <c r="E14" s="56">
        <v>45420</v>
      </c>
      <c r="F14" s="57"/>
      <c r="G14" s="58">
        <v>45441</v>
      </c>
      <c r="H14" s="59">
        <v>45446</v>
      </c>
      <c r="I14" s="60"/>
      <c r="J14" s="61"/>
      <c r="K14" s="60"/>
      <c r="L14" s="60" t="s">
        <v>77</v>
      </c>
    </row>
    <row r="15" spans="1:12" s="52" customFormat="1" x14ac:dyDescent="0.35">
      <c r="A15" s="53">
        <v>14</v>
      </c>
      <c r="B15" s="44" t="s">
        <v>75</v>
      </c>
      <c r="C15" s="54" t="s">
        <v>84</v>
      </c>
      <c r="D15" s="55" t="s">
        <v>85</v>
      </c>
      <c r="E15" s="56">
        <v>45391</v>
      </c>
      <c r="F15" s="57"/>
      <c r="G15" s="58">
        <v>45441</v>
      </c>
      <c r="H15" s="59">
        <v>45446</v>
      </c>
      <c r="I15" s="60"/>
      <c r="J15" s="61"/>
      <c r="K15" s="60"/>
      <c r="L15" s="60" t="s">
        <v>77</v>
      </c>
    </row>
    <row r="16" spans="1:12" s="52" customFormat="1" x14ac:dyDescent="0.35">
      <c r="A16" s="53">
        <v>15</v>
      </c>
      <c r="B16" s="44" t="s">
        <v>75</v>
      </c>
      <c r="C16" s="54" t="s">
        <v>84</v>
      </c>
      <c r="D16" s="55" t="s">
        <v>86</v>
      </c>
      <c r="E16" s="56">
        <v>45421</v>
      </c>
      <c r="F16" s="57">
        <v>45422</v>
      </c>
      <c r="G16" s="58">
        <v>45439</v>
      </c>
      <c r="H16" s="59">
        <v>45440</v>
      </c>
      <c r="I16" s="60"/>
      <c r="J16" s="61"/>
      <c r="K16" s="60"/>
      <c r="L16" s="60" t="s">
        <v>77</v>
      </c>
    </row>
    <row r="17" spans="1:12" s="52" customFormat="1" x14ac:dyDescent="0.35">
      <c r="A17" s="53">
        <v>16</v>
      </c>
      <c r="B17" s="44" t="s">
        <v>75</v>
      </c>
      <c r="C17" s="54" t="s">
        <v>84</v>
      </c>
      <c r="D17" s="55" t="s">
        <v>87</v>
      </c>
      <c r="E17" s="56">
        <v>45391</v>
      </c>
      <c r="F17" s="57"/>
      <c r="G17" s="58">
        <v>45441</v>
      </c>
      <c r="H17" s="59">
        <v>45446</v>
      </c>
      <c r="I17" s="60"/>
      <c r="J17" s="61"/>
      <c r="K17" s="60"/>
      <c r="L17" s="60" t="s">
        <v>77</v>
      </c>
    </row>
    <row r="18" spans="1:12" s="52" customFormat="1" x14ac:dyDescent="0.35">
      <c r="A18" s="53">
        <v>17</v>
      </c>
      <c r="B18" s="44" t="s">
        <v>75</v>
      </c>
      <c r="C18" s="54" t="s">
        <v>82</v>
      </c>
      <c r="D18" s="55" t="s">
        <v>88</v>
      </c>
      <c r="E18" s="56">
        <v>45435</v>
      </c>
      <c r="F18" s="57">
        <v>45439</v>
      </c>
      <c r="G18" s="58">
        <v>45467</v>
      </c>
      <c r="H18" s="59">
        <v>45470</v>
      </c>
      <c r="I18" s="60"/>
      <c r="J18" s="61"/>
      <c r="K18" s="60"/>
      <c r="L18" s="60" t="s">
        <v>77</v>
      </c>
    </row>
    <row r="19" spans="1:12" s="52" customFormat="1" x14ac:dyDescent="0.35">
      <c r="A19" s="53">
        <v>18</v>
      </c>
      <c r="B19" s="44" t="s">
        <v>75</v>
      </c>
      <c r="C19" s="54" t="s">
        <v>82</v>
      </c>
      <c r="D19" s="55" t="s">
        <v>89</v>
      </c>
      <c r="E19" s="56">
        <v>45448</v>
      </c>
      <c r="F19" s="57">
        <v>45450</v>
      </c>
      <c r="G19" s="58">
        <v>45467</v>
      </c>
      <c r="H19" s="59">
        <v>45471</v>
      </c>
      <c r="I19" s="60"/>
      <c r="J19" s="61"/>
      <c r="K19" s="60"/>
      <c r="L19" s="60" t="s">
        <v>77</v>
      </c>
    </row>
    <row r="20" spans="1:12" s="52" customFormat="1" x14ac:dyDescent="0.35">
      <c r="A20" s="53">
        <v>19</v>
      </c>
      <c r="B20" s="44" t="s">
        <v>75</v>
      </c>
      <c r="C20" s="54" t="s">
        <v>84</v>
      </c>
      <c r="D20" s="55" t="s">
        <v>90</v>
      </c>
      <c r="E20" s="56">
        <v>45449</v>
      </c>
      <c r="F20" s="57">
        <v>45450</v>
      </c>
      <c r="G20" s="58">
        <v>45467</v>
      </c>
      <c r="H20" s="59">
        <v>45471</v>
      </c>
      <c r="I20" s="60"/>
      <c r="J20" s="61"/>
      <c r="K20" s="60"/>
      <c r="L20" s="60" t="s">
        <v>77</v>
      </c>
    </row>
    <row r="21" spans="1:12" x14ac:dyDescent="0.35">
      <c r="A21" s="62">
        <v>20</v>
      </c>
      <c r="B21" s="63" t="s">
        <v>75</v>
      </c>
      <c r="C21" s="64" t="s">
        <v>84</v>
      </c>
      <c r="D21" s="65" t="s">
        <v>63</v>
      </c>
      <c r="E21" s="66">
        <v>45454</v>
      </c>
      <c r="F21" s="67">
        <v>45456</v>
      </c>
      <c r="G21" s="68"/>
      <c r="H21" s="69"/>
      <c r="I21" s="70"/>
      <c r="J21" s="71"/>
      <c r="K21" s="70"/>
      <c r="L21" s="70" t="s">
        <v>91</v>
      </c>
    </row>
    <row r="22" spans="1:12" x14ac:dyDescent="0.35">
      <c r="A22" s="62"/>
      <c r="B22" s="63" t="s">
        <v>75</v>
      </c>
      <c r="C22" s="64" t="s">
        <v>84</v>
      </c>
      <c r="D22" s="65" t="s">
        <v>92</v>
      </c>
      <c r="E22" s="66">
        <v>45456</v>
      </c>
      <c r="F22" s="67">
        <v>45457</v>
      </c>
      <c r="G22" s="68"/>
      <c r="H22" s="69"/>
      <c r="I22" s="70"/>
      <c r="J22" s="71"/>
      <c r="K22" s="70"/>
      <c r="L22" s="70" t="s">
        <v>93</v>
      </c>
    </row>
    <row r="23" spans="1:12" x14ac:dyDescent="0.35">
      <c r="A23" s="62"/>
      <c r="B23" s="63" t="s">
        <v>75</v>
      </c>
      <c r="C23" s="16" t="s">
        <v>82</v>
      </c>
      <c r="D23" s="65" t="s">
        <v>94</v>
      </c>
      <c r="E23" s="66">
        <v>45469</v>
      </c>
      <c r="F23" s="67"/>
      <c r="G23" s="68"/>
      <c r="H23" s="69"/>
      <c r="I23" s="70"/>
      <c r="J23" s="71"/>
      <c r="K23" s="70"/>
      <c r="L23" s="70" t="s">
        <v>95</v>
      </c>
    </row>
    <row r="24" spans="1:12" x14ac:dyDescent="0.35">
      <c r="A24" s="62"/>
      <c r="B24" s="72"/>
      <c r="C24" s="16"/>
      <c r="D24" s="65"/>
      <c r="E24" s="66"/>
      <c r="F24" s="67"/>
      <c r="G24" s="68"/>
      <c r="H24" s="69"/>
      <c r="I24" s="70"/>
      <c r="J24" s="71"/>
      <c r="K24" s="70"/>
      <c r="L24" s="70"/>
    </row>
    <row r="25" spans="1:12" x14ac:dyDescent="0.35">
      <c r="A25" s="62"/>
      <c r="B25" s="72"/>
      <c r="C25" s="16"/>
      <c r="D25" s="65"/>
      <c r="E25" s="66"/>
      <c r="F25" s="67"/>
      <c r="G25" s="68"/>
      <c r="H25" s="69"/>
      <c r="I25" s="70"/>
      <c r="J25" s="71"/>
      <c r="K25" s="70"/>
      <c r="L25" s="70"/>
    </row>
    <row r="26" spans="1:12" x14ac:dyDescent="0.35">
      <c r="A26" s="62"/>
      <c r="B26" s="72"/>
      <c r="C26" s="16"/>
      <c r="D26" s="65"/>
      <c r="E26" s="66"/>
      <c r="F26" s="67"/>
      <c r="G26" s="68"/>
      <c r="H26" s="69"/>
      <c r="I26" s="70"/>
      <c r="J26" s="71"/>
      <c r="K26" s="70"/>
      <c r="L26" s="70"/>
    </row>
    <row r="27" spans="1:12" x14ac:dyDescent="0.35">
      <c r="A27" s="62"/>
      <c r="B27" s="72"/>
      <c r="C27" s="16"/>
      <c r="D27" s="65"/>
      <c r="E27" s="66"/>
      <c r="F27" s="67"/>
      <c r="G27" s="68"/>
      <c r="H27" s="69"/>
      <c r="I27" s="70"/>
      <c r="J27" s="71"/>
      <c r="K27" s="70"/>
      <c r="L27" s="70"/>
    </row>
    <row r="28" spans="1:12" x14ac:dyDescent="0.35">
      <c r="A28" s="62"/>
      <c r="B28" s="72"/>
      <c r="C28" s="16"/>
      <c r="D28" s="65"/>
      <c r="E28" s="66"/>
      <c r="F28" s="67"/>
      <c r="G28" s="68"/>
      <c r="H28" s="69"/>
      <c r="I28" s="70"/>
      <c r="J28" s="71"/>
      <c r="K28" s="70"/>
      <c r="L28" s="70"/>
    </row>
    <row r="29" spans="1:12" x14ac:dyDescent="0.35">
      <c r="A29" s="62"/>
      <c r="B29" s="72"/>
      <c r="C29" s="16"/>
      <c r="D29" s="65"/>
      <c r="E29" s="66"/>
      <c r="F29" s="67"/>
      <c r="G29" s="68"/>
      <c r="H29" s="69"/>
      <c r="I29" s="70"/>
      <c r="J29" s="71"/>
      <c r="K29" s="70"/>
      <c r="L29" s="70"/>
    </row>
    <row r="30" spans="1:12" x14ac:dyDescent="0.35">
      <c r="A30" s="62"/>
      <c r="B30" s="72"/>
      <c r="C30" s="16"/>
      <c r="D30" s="65"/>
      <c r="E30" s="66"/>
      <c r="F30" s="67"/>
      <c r="G30" s="68"/>
      <c r="H30" s="69"/>
      <c r="I30" s="70"/>
      <c r="J30" s="71"/>
      <c r="K30" s="70"/>
      <c r="L30" s="70"/>
    </row>
    <row r="31" spans="1:12" x14ac:dyDescent="0.35">
      <c r="A31" s="62"/>
      <c r="B31" s="72"/>
      <c r="C31" s="16"/>
      <c r="D31" s="65"/>
      <c r="E31" s="66"/>
      <c r="F31" s="67"/>
      <c r="G31" s="68"/>
      <c r="H31" s="69"/>
      <c r="I31" s="70"/>
      <c r="J31" s="71"/>
      <c r="K31" s="70"/>
      <c r="L31" s="70"/>
    </row>
    <row r="32" spans="1:12" x14ac:dyDescent="0.35">
      <c r="A32" s="62"/>
      <c r="B32" s="72"/>
      <c r="C32" s="16"/>
      <c r="D32" s="65"/>
      <c r="E32" s="66"/>
      <c r="F32" s="67"/>
      <c r="G32" s="68"/>
      <c r="H32" s="69"/>
      <c r="I32" s="70"/>
      <c r="J32" s="71"/>
      <c r="K32" s="70"/>
      <c r="L32" s="70"/>
    </row>
    <row r="33" spans="1:12" x14ac:dyDescent="0.35">
      <c r="A33" s="62"/>
      <c r="B33" s="72"/>
      <c r="C33" s="16"/>
      <c r="D33" s="65"/>
      <c r="E33" s="66"/>
      <c r="F33" s="67"/>
      <c r="G33" s="68"/>
      <c r="H33" s="69"/>
      <c r="I33" s="70"/>
      <c r="J33" s="71"/>
      <c r="K33" s="70"/>
      <c r="L33" s="70"/>
    </row>
    <row r="34" spans="1:12" x14ac:dyDescent="0.35">
      <c r="A34" s="62"/>
      <c r="B34" s="72"/>
      <c r="C34" s="16"/>
      <c r="D34" s="65"/>
      <c r="E34" s="66"/>
      <c r="F34" s="67"/>
      <c r="G34" s="68"/>
      <c r="H34" s="69"/>
      <c r="I34" s="70"/>
      <c r="J34" s="71"/>
      <c r="K34" s="70"/>
      <c r="L34" s="70"/>
    </row>
    <row r="35" spans="1:12" x14ac:dyDescent="0.35">
      <c r="A35" s="62"/>
      <c r="B35" s="72"/>
      <c r="C35" s="16"/>
      <c r="D35" s="65"/>
      <c r="E35" s="66"/>
      <c r="F35" s="67"/>
      <c r="G35" s="68"/>
      <c r="H35" s="69"/>
      <c r="I35" s="70"/>
      <c r="J35" s="71"/>
      <c r="K35" s="70"/>
      <c r="L35" s="70"/>
    </row>
    <row r="36" spans="1:12" x14ac:dyDescent="0.35">
      <c r="A36" s="62"/>
      <c r="B36" s="72"/>
      <c r="C36" s="16"/>
      <c r="D36" s="65"/>
      <c r="E36" s="66"/>
      <c r="F36" s="67"/>
      <c r="G36" s="68"/>
      <c r="H36" s="69"/>
      <c r="I36" s="70"/>
      <c r="J36" s="71"/>
      <c r="K36" s="70"/>
      <c r="L36" s="70"/>
    </row>
    <row r="37" spans="1:12" x14ac:dyDescent="0.35">
      <c r="A37" s="62"/>
      <c r="B37" s="72"/>
      <c r="C37" s="16"/>
      <c r="D37" s="65"/>
      <c r="E37" s="66"/>
      <c r="F37" s="67"/>
      <c r="G37" s="68"/>
      <c r="H37" s="69"/>
      <c r="I37" s="70"/>
      <c r="J37" s="71"/>
      <c r="K37" s="70"/>
      <c r="L37" s="70"/>
    </row>
    <row r="38" spans="1:12" x14ac:dyDescent="0.35">
      <c r="A38" s="62"/>
      <c r="B38" s="72"/>
      <c r="C38" s="16"/>
      <c r="D38" s="65"/>
      <c r="E38" s="66"/>
      <c r="F38" s="67"/>
      <c r="G38" s="68"/>
      <c r="H38" s="69"/>
      <c r="I38" s="70"/>
      <c r="J38" s="71"/>
      <c r="K38" s="70"/>
      <c r="L38" s="70"/>
    </row>
    <row r="39" spans="1:12" x14ac:dyDescent="0.35">
      <c r="A39" s="62"/>
      <c r="B39" s="72"/>
      <c r="C39" s="16"/>
      <c r="D39" s="65"/>
      <c r="E39" s="66"/>
      <c r="F39" s="67"/>
      <c r="G39" s="68"/>
      <c r="H39" s="69"/>
      <c r="I39" s="70"/>
      <c r="J39" s="71"/>
      <c r="K39" s="70"/>
      <c r="L39" s="70"/>
    </row>
    <row r="40" spans="1:12" x14ac:dyDescent="0.35">
      <c r="A40" s="62"/>
      <c r="B40" s="72"/>
      <c r="C40" s="16"/>
      <c r="D40" s="65"/>
      <c r="E40" s="66"/>
      <c r="F40" s="67"/>
      <c r="G40" s="68"/>
      <c r="H40" s="69"/>
      <c r="I40" s="70"/>
      <c r="J40" s="71"/>
      <c r="K40" s="70"/>
      <c r="L40" s="70"/>
    </row>
    <row r="41" spans="1:12" x14ac:dyDescent="0.35">
      <c r="A41" s="62"/>
      <c r="B41" s="72"/>
      <c r="C41" s="16"/>
      <c r="D41" s="65"/>
      <c r="E41" s="66"/>
      <c r="F41" s="67"/>
      <c r="G41" s="68"/>
      <c r="H41" s="69"/>
      <c r="I41" s="70"/>
      <c r="J41" s="71"/>
      <c r="K41" s="70"/>
      <c r="L41" s="70"/>
    </row>
    <row r="42" spans="1:12" x14ac:dyDescent="0.35">
      <c r="A42" s="62"/>
      <c r="B42" s="72"/>
      <c r="C42" s="16"/>
      <c r="D42" s="65"/>
      <c r="E42" s="66"/>
      <c r="F42" s="67"/>
      <c r="G42" s="68"/>
      <c r="H42" s="69"/>
      <c r="I42" s="73"/>
      <c r="J42" s="65"/>
      <c r="K42" s="73"/>
      <c r="L42" s="73"/>
    </row>
    <row r="43" spans="1:12" x14ac:dyDescent="0.35">
      <c r="A43" s="62"/>
      <c r="B43" s="72"/>
      <c r="C43" s="16"/>
      <c r="D43" s="65"/>
      <c r="E43" s="66"/>
      <c r="F43" s="67"/>
      <c r="G43" s="68"/>
      <c r="H43" s="69"/>
      <c r="I43" s="73"/>
      <c r="J43" s="65"/>
      <c r="K43" s="73"/>
      <c r="L43" s="73"/>
    </row>
    <row r="44" spans="1:12" x14ac:dyDescent="0.35">
      <c r="A44" s="62"/>
      <c r="B44" s="72"/>
      <c r="C44" s="16"/>
      <c r="D44" s="65"/>
      <c r="E44" s="66"/>
      <c r="F44" s="67"/>
      <c r="G44" s="68"/>
      <c r="H44" s="69"/>
      <c r="I44" s="73"/>
      <c r="J44" s="65"/>
      <c r="K44" s="73"/>
      <c r="L44" s="73"/>
    </row>
    <row r="45" spans="1:12" x14ac:dyDescent="0.35">
      <c r="A45" s="62"/>
      <c r="B45" s="72"/>
      <c r="C45" s="16"/>
      <c r="D45" s="65"/>
      <c r="E45" s="66"/>
      <c r="F45" s="67"/>
      <c r="G45" s="68"/>
      <c r="H45" s="69"/>
      <c r="I45" s="73"/>
      <c r="J45" s="65"/>
      <c r="K45" s="73"/>
      <c r="L45" s="73"/>
    </row>
    <row r="46" spans="1:12" x14ac:dyDescent="0.35">
      <c r="A46" s="62"/>
      <c r="B46" s="72"/>
      <c r="C46" s="16"/>
      <c r="D46" s="65"/>
      <c r="E46" s="66"/>
      <c r="F46" s="67"/>
      <c r="G46" s="68"/>
      <c r="H46" s="69"/>
      <c r="I46" s="73"/>
      <c r="J46" s="65"/>
      <c r="K46" s="73"/>
      <c r="L46" s="73"/>
    </row>
    <row r="47" spans="1:12" x14ac:dyDescent="0.35">
      <c r="A47" s="62"/>
      <c r="B47" s="72"/>
      <c r="C47" s="16"/>
      <c r="D47" s="65"/>
      <c r="E47" s="66"/>
      <c r="F47" s="67"/>
      <c r="G47" s="68"/>
      <c r="H47" s="69"/>
      <c r="I47" s="73"/>
      <c r="J47" s="65"/>
      <c r="K47" s="73"/>
      <c r="L47" s="73"/>
    </row>
    <row r="48" spans="1:12" x14ac:dyDescent="0.35">
      <c r="A48" s="62"/>
      <c r="B48" s="72"/>
      <c r="C48" s="16"/>
      <c r="D48" s="65"/>
      <c r="E48" s="66"/>
      <c r="F48" s="67"/>
      <c r="G48" s="68"/>
      <c r="H48" s="69"/>
      <c r="I48" s="73"/>
      <c r="J48" s="65"/>
      <c r="K48" s="73"/>
      <c r="L48" s="73"/>
    </row>
    <row r="49" spans="1:12" x14ac:dyDescent="0.35">
      <c r="A49" s="62"/>
      <c r="B49" s="72"/>
      <c r="C49" s="16"/>
      <c r="D49" s="65"/>
      <c r="E49" s="66"/>
      <c r="F49" s="67"/>
      <c r="G49" s="68"/>
      <c r="H49" s="69"/>
      <c r="I49" s="73"/>
      <c r="J49" s="65"/>
      <c r="K49" s="73"/>
      <c r="L49" s="73"/>
    </row>
    <row r="50" spans="1:12" x14ac:dyDescent="0.35">
      <c r="A50" s="62"/>
      <c r="B50" s="72"/>
      <c r="C50" s="16"/>
      <c r="D50" s="65"/>
      <c r="E50" s="66"/>
      <c r="F50" s="67"/>
      <c r="G50" s="68"/>
      <c r="H50" s="69"/>
      <c r="I50" s="73"/>
      <c r="J50" s="65"/>
      <c r="K50" s="73"/>
      <c r="L50" s="73"/>
    </row>
    <row r="51" spans="1:12" x14ac:dyDescent="0.35">
      <c r="A51" s="62"/>
      <c r="B51" s="72"/>
      <c r="C51" s="16"/>
      <c r="D51" s="65"/>
      <c r="E51" s="66"/>
      <c r="F51" s="67"/>
      <c r="G51" s="68"/>
      <c r="H51" s="69"/>
      <c r="I51" s="73"/>
      <c r="J51" s="65"/>
      <c r="K51" s="73"/>
      <c r="L51" s="73"/>
    </row>
    <row r="52" spans="1:12" x14ac:dyDescent="0.35">
      <c r="A52" s="62"/>
      <c r="B52" s="72"/>
      <c r="C52" s="16"/>
      <c r="D52" s="65"/>
      <c r="E52" s="66"/>
      <c r="F52" s="67"/>
      <c r="G52" s="68"/>
      <c r="H52" s="69"/>
      <c r="I52" s="73"/>
      <c r="J52" s="65"/>
      <c r="K52" s="73"/>
      <c r="L52" s="73"/>
    </row>
    <row r="53" spans="1:12" x14ac:dyDescent="0.35">
      <c r="A53" s="62"/>
      <c r="B53" s="72"/>
      <c r="C53" s="16"/>
      <c r="D53" s="65"/>
      <c r="E53" s="66"/>
      <c r="F53" s="67"/>
      <c r="G53" s="68"/>
      <c r="H53" s="69"/>
      <c r="I53" s="73"/>
      <c r="J53" s="65"/>
      <c r="K53" s="73"/>
      <c r="L53" s="73"/>
    </row>
    <row r="54" spans="1:12" x14ac:dyDescent="0.35">
      <c r="A54" s="62"/>
      <c r="B54" s="72"/>
      <c r="C54" s="16"/>
      <c r="D54" s="65"/>
      <c r="E54" s="66"/>
      <c r="F54" s="67"/>
      <c r="G54" s="68"/>
      <c r="H54" s="69"/>
      <c r="I54" s="73"/>
      <c r="J54" s="65"/>
      <c r="K54" s="73"/>
      <c r="L54" s="73"/>
    </row>
    <row r="55" spans="1:12" x14ac:dyDescent="0.35">
      <c r="A55" s="62"/>
      <c r="B55" s="72"/>
      <c r="C55" s="16"/>
      <c r="D55" s="65"/>
      <c r="E55" s="66"/>
      <c r="F55" s="67"/>
      <c r="G55" s="68"/>
      <c r="H55" s="69"/>
      <c r="I55" s="73"/>
      <c r="J55" s="65"/>
      <c r="K55" s="73"/>
      <c r="L55" s="73"/>
    </row>
    <row r="56" spans="1:12" x14ac:dyDescent="0.35">
      <c r="A56" s="62"/>
      <c r="B56" s="72"/>
      <c r="C56" s="16"/>
      <c r="D56" s="65"/>
      <c r="E56" s="66"/>
      <c r="F56" s="67"/>
      <c r="G56" s="68"/>
      <c r="H56" s="69"/>
      <c r="I56" s="73"/>
      <c r="J56" s="65"/>
      <c r="K56" s="73"/>
      <c r="L56" s="73"/>
    </row>
    <row r="57" spans="1:12" x14ac:dyDescent="0.35">
      <c r="A57" s="62"/>
      <c r="B57" s="72"/>
      <c r="C57" s="16"/>
      <c r="D57" s="65"/>
      <c r="E57" s="66"/>
      <c r="F57" s="67"/>
      <c r="G57" s="68"/>
      <c r="H57" s="69"/>
      <c r="I57" s="73"/>
      <c r="J57" s="65"/>
      <c r="K57" s="73"/>
      <c r="L57" s="73"/>
    </row>
    <row r="58" spans="1:12" x14ac:dyDescent="0.35">
      <c r="A58" s="62"/>
      <c r="B58" s="72"/>
      <c r="C58" s="16"/>
      <c r="D58" s="65"/>
      <c r="E58" s="66"/>
      <c r="F58" s="67"/>
      <c r="G58" s="68"/>
      <c r="H58" s="69"/>
      <c r="I58" s="73"/>
      <c r="J58" s="65"/>
      <c r="K58" s="73"/>
      <c r="L58" s="73"/>
    </row>
    <row r="59" spans="1:12" ht="15" thickBot="1" x14ac:dyDescent="0.4">
      <c r="A59" s="74"/>
      <c r="B59" s="75"/>
      <c r="C59" s="76"/>
      <c r="D59" s="77"/>
      <c r="E59" s="78"/>
      <c r="F59" s="79"/>
      <c r="G59" s="80"/>
      <c r="H59" s="81"/>
      <c r="I59" s="82"/>
      <c r="J59" s="77"/>
      <c r="K59" s="82"/>
      <c r="L59" s="8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Halil Emre Akyürek</dc:creator>
  <cp:lastModifiedBy>Hakan Şahin</cp:lastModifiedBy>
  <dcterms:created xsi:type="dcterms:W3CDTF">2022-01-19T08:11:28Z</dcterms:created>
  <dcterms:modified xsi:type="dcterms:W3CDTF">2026-02-06T09:13:34Z</dcterms:modified>
</cp:coreProperties>
</file>