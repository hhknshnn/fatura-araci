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ysenbinovEE\Desktop\2026\"/>
    </mc:Choice>
  </mc:AlternateContent>
  <bookViews>
    <workbookView xWindow="0" yWindow="0" windowWidth="28800" windowHeight="12330"/>
  </bookViews>
  <sheets>
    <sheet name="Лист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7" i="1" l="1"/>
  <c r="AV7" i="1" s="1"/>
  <c r="AW7" i="1" s="1"/>
  <c r="AX7" i="1" s="1"/>
  <c r="AY7" i="1" s="1"/>
  <c r="AS7" i="1"/>
  <c r="AU6" i="1"/>
  <c r="AV6" i="1" s="1"/>
  <c r="AW6" i="1" s="1"/>
  <c r="AX6" i="1" s="1"/>
  <c r="AY6" i="1" s="1"/>
  <c r="AS6" i="1"/>
  <c r="AV5" i="1"/>
  <c r="AW5" i="1" s="1"/>
  <c r="AX5" i="1" s="1"/>
  <c r="AY5" i="1" s="1"/>
  <c r="AU5" i="1"/>
  <c r="AS5" i="1"/>
  <c r="AU4" i="1"/>
  <c r="AV4" i="1" s="1"/>
  <c r="AW4" i="1" s="1"/>
  <c r="AX4" i="1" s="1"/>
  <c r="AY4" i="1" s="1"/>
  <c r="AS4" i="1"/>
  <c r="AU3" i="1"/>
  <c r="AW3" i="1" s="1"/>
  <c r="AS3" i="1"/>
  <c r="AU2" i="1"/>
  <c r="AV2" i="1" s="1"/>
  <c r="AW2" i="1" s="1"/>
  <c r="AX2" i="1" s="1"/>
  <c r="AY2" i="1" s="1"/>
  <c r="AS2" i="1"/>
  <c r="AV3" i="1" l="1"/>
  <c r="AX3" i="1" s="1"/>
  <c r="AY3" i="1" s="1"/>
  <c r="AY8" i="1" s="1"/>
</calcChain>
</file>

<file path=xl/sharedStrings.xml><?xml version="1.0" encoding="utf-8"?>
<sst xmlns="http://schemas.openxmlformats.org/spreadsheetml/2006/main" count="174" uniqueCount="89">
  <si>
    <t>Номер декларации</t>
  </si>
  <si>
    <t>Дата регистрации</t>
  </si>
  <si>
    <t>ТО оформления - Наименование</t>
  </si>
  <si>
    <t>Наименование ДГД</t>
  </si>
  <si>
    <t>Дата выпуска</t>
  </si>
  <si>
    <t>Коридор 1</t>
  </si>
  <si>
    <t>Текущий коридор ДТ - Наименование</t>
  </si>
  <si>
    <t>Статус ДТ</t>
  </si>
  <si>
    <t>Тип деклараций</t>
  </si>
  <si>
    <t>Код таможенной процедуры</t>
  </si>
  <si>
    <t>Наименование</t>
  </si>
  <si>
    <t>БИН/ИИН</t>
  </si>
  <si>
    <t>Регион</t>
  </si>
  <si>
    <t>Улица</t>
  </si>
  <si>
    <t>Страна отправления - код</t>
  </si>
  <si>
    <t>Страна отправления - название</t>
  </si>
  <si>
    <t>Страна происхождения - код</t>
  </si>
  <si>
    <t>Условия поставки - код</t>
  </si>
  <si>
    <t>Условия поставки - место</t>
  </si>
  <si>
    <t>Номер товара</t>
  </si>
  <si>
    <t>Код товара 10 знаков</t>
  </si>
  <si>
    <t>Код товара 4 знака</t>
  </si>
  <si>
    <t>Коммерческое описание товаров</t>
  </si>
  <si>
    <t>Вес брутто (кг)</t>
  </si>
  <si>
    <t>Вес нетто (кг)</t>
  </si>
  <si>
    <t>Цена товара</t>
  </si>
  <si>
    <t>Таможенная стоимость, в тенге</t>
  </si>
  <si>
    <t>Статистическая стоимость</t>
  </si>
  <si>
    <t>Код метода определения стоимости</t>
  </si>
  <si>
    <t>Графа 43.2</t>
  </si>
  <si>
    <t>ИУ1010</t>
  </si>
  <si>
    <t>ИУ2010</t>
  </si>
  <si>
    <t>ИУ2050</t>
  </si>
  <si>
    <t>ИУ5060</t>
  </si>
  <si>
    <t>Фактурная валюта - курс валюты</t>
  </si>
  <si>
    <t>Фактурная валюта - код</t>
  </si>
  <si>
    <t>Количество ДЕИ</t>
  </si>
  <si>
    <t>Код ДЕИ</t>
  </si>
  <si>
    <t>Описание ДЕИ</t>
  </si>
  <si>
    <t>Имя брокера</t>
  </si>
  <si>
    <t>Вид транспорта на границе</t>
  </si>
  <si>
    <t>Вид транспорта внутри страны</t>
  </si>
  <si>
    <t>ИУ2010C</t>
  </si>
  <si>
    <t>ИТС</t>
  </si>
  <si>
    <t>ЦИ новый</t>
  </si>
  <si>
    <t>нов стоимость</t>
  </si>
  <si>
    <t>Разница</t>
  </si>
  <si>
    <t>пошлина долл США</t>
  </si>
  <si>
    <t>НДС долл США</t>
  </si>
  <si>
    <t>ТПИН в тенге</t>
  </si>
  <si>
    <t>50709/170625/0002890</t>
  </si>
  <si>
    <t>Т/П «МОРПОРТ»</t>
  </si>
  <si>
    <t>ДГД ПО МАНГИСТАУСКОЙ ОБЛАСТИ</t>
  </si>
  <si>
    <t>Желтый</t>
  </si>
  <si>
    <t>Зеленый</t>
  </si>
  <si>
    <t>Paid</t>
  </si>
  <si>
    <t>ИМ</t>
  </si>
  <si>
    <t>DEHA MAGAZACILIK EV TEKSTILI URUNLERI SAN.VE TIC.A.S.</t>
  </si>
  <si>
    <t>ТОО "DEHA (ДЕХА)"</t>
  </si>
  <si>
    <t>г. Алматы</t>
  </si>
  <si>
    <t>УЛИЦА НУРЛАН КАППАРОВ,ДОМ  400, 5К</t>
  </si>
  <si>
    <t>TR</t>
  </si>
  <si>
    <t>ТУРЦИЯ</t>
  </si>
  <si>
    <t>CIP</t>
  </si>
  <si>
    <t>AKTAU</t>
  </si>
  <si>
    <t xml:space="preserve">1. МЕБЕЛЬ БЫТОВАЯ (КРОМЕ ДЕТСКОЙ): МЕТАЛЛИЧЕСКИЙ СТОЛ,   </t>
  </si>
  <si>
    <t>TRY</t>
  </si>
  <si>
    <t>ШТ</t>
  </si>
  <si>
    <t>Досанова Айгуль Сериковна</t>
  </si>
  <si>
    <t>55302/150125/0006537</t>
  </si>
  <si>
    <t>Т/П «АЛМАТЫ-ЦТО»</t>
  </si>
  <si>
    <t>ДГД ПО Г.АЛМАТЫ</t>
  </si>
  <si>
    <t>УЛИЦА НУРЛАН КАППАРОВ, ДОМ  400, 5К</t>
  </si>
  <si>
    <t>АЛМАТЫ</t>
  </si>
  <si>
    <t xml:space="preserve">1. ПОСТЕЛЬНЫЕ ПРИНАДЛЕЖНОСТИ, ДЛЯ ВЗРОСЛЫХ, ИЗ ХЛОПЧАТОБУМАЖНОЙ ПРЯЖИ: ПОКРЫВАЛО,   </t>
  </si>
  <si>
    <t>.44EUR</t>
  </si>
  <si>
    <t>55302/110326/0035426</t>
  </si>
  <si>
    <t>Очищен</t>
  </si>
  <si>
    <t xml:space="preserve">1. НАБОР ГРАФИНОВ DIAMANTA ИЗ 5 ПРЕДМЕТОВ С КРЫШКОЙ СТЕКЛО 1200ML,   </t>
  </si>
  <si>
    <t>МОЛОЗЕМОВА ИРИНА СЕРГЕЕВНА</t>
  </si>
  <si>
    <t>55302/060325/0032009</t>
  </si>
  <si>
    <t>УЛИЦА НУРЛАН КАППАРОВ, ДОМ  400,  5К</t>
  </si>
  <si>
    <t xml:space="preserve">1. НАПОЛЬНОЕ ПЛИТЫ ОБЛИЦОВОЧНЫЕ НЕГЛАЗУРОВАННЫЕ ИЗ КЕРАМИКИ (КОЭФФИЦЕНТ ВОДОПОГЛОЩЕНИЯ БОЛЕЕ 10  МАС. %) ,59*59 СМ, ЦВЕТ БЕЛЫЙ,   </t>
  </si>
  <si>
    <t>55302/170225/0022931</t>
  </si>
  <si>
    <t>11.3%</t>
  </si>
  <si>
    <t>55302/140825/0133450</t>
  </si>
  <si>
    <t>Красный</t>
  </si>
  <si>
    <t xml:space="preserve">1. НАБОР ДЛЯ ПИКНИКА ТАРЕЛКИ, ЛОЖКИ, СТАКАНЫ,   </t>
  </si>
  <si>
    <t>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</si>
</sst>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₽_-;\-* #,##0.00\ _₽_-;_-* &quot;-&quot;??\ _₽_-;_-@_-"/>
    <numFmt numFmtId="164" formatCode="_-* #,##0.0\ _₽_-;\-* #,##0.0\ _₽_-;_-* &quot;-&quot;??\ _₽_-;_-@_-"/>
    <numFmt numFmtId="165" formatCode="_-* #,##0.0\ _₽_-;\-* #,##0.0\ _₽_-;_-* &quot;-&quot;?\ _₽_-;_-@_-"/>
    <numFmt numFmtId="166" formatCode="_-* #,##0\ _₽_-;\-* #,##0\ _₽_-;_-* &quot;-&quot;??\ _₽_-;_-@_-"/>
    <numFmt numFmtId="167" formatCode="_-* #,##0.000\ _₽_-;\-* #,##0.0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164" fontId="0" fillId="2" borderId="0" xfId="1" applyNumberFormat="1" applyFont="1" applyFill="1"/>
    <xf numFmtId="164" fontId="3" fillId="0" borderId="1" xfId="1" applyNumberFormat="1" applyFont="1" applyFill="1" applyBorder="1"/>
    <xf numFmtId="43" fontId="4" fillId="0" borderId="1" xfId="1" applyFont="1" applyFill="1" applyBorder="1"/>
    <xf numFmtId="0" fontId="0" fillId="2" borderId="0" xfId="0" applyFill="1" applyBorder="1"/>
    <xf numFmtId="0" fontId="5" fillId="3" borderId="0" xfId="0" applyFont="1" applyFill="1" applyBorder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64" fontId="2" fillId="0" borderId="0" xfId="1" applyNumberFormat="1" applyFont="1"/>
    <xf numFmtId="9" fontId="2" fillId="0" borderId="0" xfId="0" applyNumberFormat="1" applyFont="1"/>
    <xf numFmtId="0" fontId="4" fillId="0" borderId="1" xfId="0" applyFont="1" applyFill="1" applyBorder="1"/>
    <xf numFmtId="164" fontId="0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166" fontId="5" fillId="3" borderId="1" xfId="1" applyNumberFormat="1" applyFont="1" applyFill="1" applyBorder="1"/>
    <xf numFmtId="0" fontId="6" fillId="0" borderId="0" xfId="0" applyFont="1"/>
    <xf numFmtId="14" fontId="6" fillId="0" borderId="0" xfId="0" applyNumberFormat="1" applyFont="1"/>
    <xf numFmtId="164" fontId="6" fillId="0" borderId="0" xfId="1" applyNumberFormat="1" applyFont="1"/>
    <xf numFmtId="9" fontId="6" fillId="0" borderId="0" xfId="0" applyNumberFormat="1" applyFont="1"/>
    <xf numFmtId="167" fontId="3" fillId="0" borderId="1" xfId="1" applyNumberFormat="1" applyFont="1" applyFill="1" applyBorder="1"/>
    <xf numFmtId="166" fontId="5" fillId="4" borderId="0" xfId="0" applyNumberFormat="1" applyFont="1" applyFill="1"/>
    <xf numFmtId="166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"/>
  <sheetViews>
    <sheetView tabSelected="1" topLeftCell="AB1" workbookViewId="0">
      <selection activeCell="AI24" sqref="AI24"/>
    </sheetView>
  </sheetViews>
  <sheetFormatPr defaultRowHeight="15" x14ac:dyDescent="0.25"/>
  <cols>
    <col min="1" max="1" width="21" bestFit="1" customWidth="1"/>
    <col min="5" max="5" width="13.28515625" bestFit="1" customWidth="1"/>
    <col min="22" max="22" width="11" bestFit="1" customWidth="1"/>
    <col min="24" max="24" width="51.85546875" customWidth="1"/>
    <col min="25" max="25" width="15.85546875" bestFit="1" customWidth="1"/>
    <col min="47" max="48" width="12" bestFit="1" customWidth="1"/>
    <col min="49" max="49" width="19.28515625" bestFit="1" customWidth="1"/>
    <col min="50" max="50" width="11" bestFit="1" customWidth="1"/>
    <col min="51" max="51" width="17.85546875" bestFit="1" customWidth="1"/>
    <col min="52" max="52" width="10.42578125" bestFit="1" customWidth="1"/>
  </cols>
  <sheetData>
    <row r="1" spans="1:52" ht="18.75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10</v>
      </c>
      <c r="N1" t="s">
        <v>12</v>
      </c>
      <c r="O1" t="s">
        <v>13</v>
      </c>
      <c r="P1" t="s">
        <v>14</v>
      </c>
      <c r="Q1" s="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t="s">
        <v>37</v>
      </c>
      <c r="AN1" t="s">
        <v>38</v>
      </c>
      <c r="AO1" t="s">
        <v>39</v>
      </c>
      <c r="AP1" s="1" t="s">
        <v>40</v>
      </c>
      <c r="AQ1" s="1" t="s">
        <v>41</v>
      </c>
      <c r="AR1" s="1" t="s">
        <v>42</v>
      </c>
      <c r="AS1" s="3" t="s">
        <v>43</v>
      </c>
      <c r="AT1" s="4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6" t="s">
        <v>49</v>
      </c>
    </row>
    <row r="2" spans="1:52" ht="18.75" x14ac:dyDescent="0.3">
      <c r="A2" s="7" t="s">
        <v>50</v>
      </c>
      <c r="B2" s="8">
        <v>45825</v>
      </c>
      <c r="C2" t="s">
        <v>51</v>
      </c>
      <c r="D2" t="s">
        <v>52</v>
      </c>
      <c r="E2" s="9">
        <v>45831</v>
      </c>
      <c r="F2" t="s">
        <v>53</v>
      </c>
      <c r="G2" s="7" t="s">
        <v>54</v>
      </c>
      <c r="H2" t="s">
        <v>55</v>
      </c>
      <c r="I2" t="s">
        <v>56</v>
      </c>
      <c r="J2">
        <v>40</v>
      </c>
      <c r="K2" s="7" t="s">
        <v>57</v>
      </c>
      <c r="L2" s="7">
        <v>200740021346</v>
      </c>
      <c r="M2" s="7" t="s">
        <v>58</v>
      </c>
      <c r="N2" t="s">
        <v>59</v>
      </c>
      <c r="O2" t="s">
        <v>60</v>
      </c>
      <c r="P2" t="s">
        <v>61</v>
      </c>
      <c r="Q2" s="7" t="s">
        <v>62</v>
      </c>
      <c r="R2" t="s">
        <v>61</v>
      </c>
      <c r="S2" s="7" t="s">
        <v>63</v>
      </c>
      <c r="T2" s="7" t="s">
        <v>64</v>
      </c>
      <c r="U2" s="7">
        <v>8</v>
      </c>
      <c r="V2" s="7">
        <v>9403208009</v>
      </c>
      <c r="W2" s="7">
        <v>9403</v>
      </c>
      <c r="X2" s="7" t="s">
        <v>65</v>
      </c>
      <c r="Y2" s="10">
        <v>2631.73</v>
      </c>
      <c r="Z2" s="7">
        <v>2368.56</v>
      </c>
      <c r="AA2" s="7">
        <v>426965.61</v>
      </c>
      <c r="AB2" s="7">
        <v>5554822.5899999999</v>
      </c>
      <c r="AC2" s="7">
        <v>10839.95</v>
      </c>
      <c r="AD2" s="7"/>
      <c r="AE2" s="7"/>
      <c r="AF2" s="7">
        <v>1814.77</v>
      </c>
      <c r="AG2" s="7">
        <v>514631.38</v>
      </c>
      <c r="AH2" s="7">
        <v>0</v>
      </c>
      <c r="AI2" s="7">
        <v>728552.25</v>
      </c>
      <c r="AJ2" s="7">
        <v>13.01</v>
      </c>
      <c r="AK2" s="7" t="s">
        <v>66</v>
      </c>
      <c r="AL2" s="7">
        <v>96</v>
      </c>
      <c r="AM2">
        <v>796</v>
      </c>
      <c r="AN2" s="7" t="s">
        <v>67</v>
      </c>
      <c r="AO2" s="7" t="s">
        <v>68</v>
      </c>
      <c r="AP2" s="7">
        <v>31</v>
      </c>
      <c r="AQ2" s="7">
        <v>31</v>
      </c>
      <c r="AR2" s="11">
        <v>0.08</v>
      </c>
      <c r="AS2" s="3">
        <f t="shared" ref="AS2:AS7" si="0">AC2/Z2</f>
        <v>4.5765992839531195</v>
      </c>
      <c r="AT2" s="12">
        <v>7</v>
      </c>
      <c r="AU2" s="13">
        <f>AT2*Z2</f>
        <v>16579.919999999998</v>
      </c>
      <c r="AV2" s="14">
        <f>AU2-AC2</f>
        <v>5739.9699999999975</v>
      </c>
      <c r="AW2" s="14">
        <f>AV2*8%</f>
        <v>459.1975999999998</v>
      </c>
      <c r="AX2" s="15">
        <f>(AW2+AV2)*12%</f>
        <v>743.90011199999958</v>
      </c>
      <c r="AY2" s="16">
        <f>(AX2+AW2)*450</f>
        <v>541393.97039999964</v>
      </c>
    </row>
    <row r="3" spans="1:52" ht="18.75" x14ac:dyDescent="0.3">
      <c r="A3" s="7" t="s">
        <v>69</v>
      </c>
      <c r="B3" s="8">
        <v>45672</v>
      </c>
      <c r="C3" t="s">
        <v>70</v>
      </c>
      <c r="D3" t="s">
        <v>71</v>
      </c>
      <c r="E3" s="9">
        <v>45674</v>
      </c>
      <c r="F3" t="s">
        <v>53</v>
      </c>
      <c r="G3" s="7" t="s">
        <v>54</v>
      </c>
      <c r="H3" t="s">
        <v>55</v>
      </c>
      <c r="I3" t="s">
        <v>56</v>
      </c>
      <c r="J3">
        <v>40</v>
      </c>
      <c r="K3" s="7" t="s">
        <v>57</v>
      </c>
      <c r="L3" s="7">
        <v>200740021346</v>
      </c>
      <c r="M3" s="7" t="s">
        <v>58</v>
      </c>
      <c r="N3" t="s">
        <v>59</v>
      </c>
      <c r="O3" t="s">
        <v>72</v>
      </c>
      <c r="P3" t="s">
        <v>61</v>
      </c>
      <c r="Q3" s="7" t="s">
        <v>62</v>
      </c>
      <c r="R3" t="s">
        <v>61</v>
      </c>
      <c r="S3" s="7" t="s">
        <v>63</v>
      </c>
      <c r="T3" s="7" t="s">
        <v>73</v>
      </c>
      <c r="U3" s="7">
        <v>2</v>
      </c>
      <c r="V3" s="7">
        <v>6302210000</v>
      </c>
      <c r="W3" s="7">
        <v>6302</v>
      </c>
      <c r="X3" s="7" t="s">
        <v>74</v>
      </c>
      <c r="Y3" s="10">
        <v>2605.9899999999998</v>
      </c>
      <c r="Z3" s="7">
        <v>2345.39</v>
      </c>
      <c r="AA3" s="7">
        <v>156017.64000000001</v>
      </c>
      <c r="AB3" s="7">
        <v>2330903.54</v>
      </c>
      <c r="AC3" s="7">
        <v>4395.9399999999996</v>
      </c>
      <c r="AD3" s="7"/>
      <c r="AE3" s="7"/>
      <c r="AF3" s="7">
        <v>147.44999999999999</v>
      </c>
      <c r="AG3" s="7">
        <v>561361.59</v>
      </c>
      <c r="AH3" s="7">
        <v>0</v>
      </c>
      <c r="AI3" s="7">
        <v>347089.51</v>
      </c>
      <c r="AJ3" s="7">
        <v>14.94</v>
      </c>
      <c r="AK3" s="7" t="s">
        <v>66</v>
      </c>
      <c r="AL3" s="7">
        <v>7000</v>
      </c>
      <c r="AM3">
        <v>796</v>
      </c>
      <c r="AN3" s="7" t="s">
        <v>67</v>
      </c>
      <c r="AO3" s="7" t="s">
        <v>68</v>
      </c>
      <c r="AP3" s="7">
        <v>31</v>
      </c>
      <c r="AQ3" s="7">
        <v>31</v>
      </c>
      <c r="AR3" s="7" t="s">
        <v>75</v>
      </c>
      <c r="AS3" s="3">
        <f t="shared" si="0"/>
        <v>1.8742895637825692</v>
      </c>
      <c r="AT3" s="12">
        <v>13</v>
      </c>
      <c r="AU3" s="13">
        <f t="shared" ref="AU3:AU7" si="1">AT3*Z3</f>
        <v>30490.07</v>
      </c>
      <c r="AV3" s="14">
        <f t="shared" ref="AV3:AV7" si="2">AU3-AC3</f>
        <v>26094.13</v>
      </c>
      <c r="AW3" s="14">
        <f>AU3*11.3%</f>
        <v>3445.3779100000002</v>
      </c>
      <c r="AX3" s="15">
        <f t="shared" ref="AX3:AX7" si="3">(AW3+AV3)*12%</f>
        <v>3544.7409491999997</v>
      </c>
      <c r="AY3" s="16">
        <f t="shared" ref="AY3:AY7" si="4">(AX3+AW3)*450</f>
        <v>3145553.4866399998</v>
      </c>
    </row>
    <row r="4" spans="1:52" ht="18.75" x14ac:dyDescent="0.3">
      <c r="A4" s="17" t="s">
        <v>76</v>
      </c>
      <c r="B4" s="18">
        <v>46092</v>
      </c>
      <c r="C4" t="s">
        <v>70</v>
      </c>
      <c r="D4" t="s">
        <v>71</v>
      </c>
      <c r="E4" s="18">
        <v>46094</v>
      </c>
      <c r="F4" s="17" t="s">
        <v>53</v>
      </c>
      <c r="G4" s="17" t="s">
        <v>77</v>
      </c>
      <c r="H4" t="s">
        <v>55</v>
      </c>
      <c r="I4" t="s">
        <v>56</v>
      </c>
      <c r="J4">
        <v>40</v>
      </c>
      <c r="K4" s="17" t="s">
        <v>57</v>
      </c>
      <c r="L4" s="17">
        <v>200740021346</v>
      </c>
      <c r="M4" s="17" t="s">
        <v>58</v>
      </c>
      <c r="N4" t="s">
        <v>59</v>
      </c>
      <c r="O4" t="s">
        <v>60</v>
      </c>
      <c r="P4" t="s">
        <v>61</v>
      </c>
      <c r="Q4" s="17" t="s">
        <v>62</v>
      </c>
      <c r="R4" t="s">
        <v>61</v>
      </c>
      <c r="S4" s="17" t="s">
        <v>63</v>
      </c>
      <c r="T4" s="17" t="s">
        <v>73</v>
      </c>
      <c r="U4" s="17">
        <v>145</v>
      </c>
      <c r="V4" s="17">
        <v>7013499900</v>
      </c>
      <c r="W4" s="17">
        <v>7013</v>
      </c>
      <c r="X4" s="17" t="s">
        <v>78</v>
      </c>
      <c r="Y4" s="19">
        <v>2562.0479999999998</v>
      </c>
      <c r="Z4" s="17">
        <v>2305.92</v>
      </c>
      <c r="AA4" s="17">
        <v>136062.72</v>
      </c>
      <c r="AB4" s="17">
        <v>1927062.3</v>
      </c>
      <c r="AC4" s="17">
        <v>3920.06</v>
      </c>
      <c r="AD4" s="17"/>
      <c r="AE4" s="17"/>
      <c r="AF4" s="17">
        <v>150</v>
      </c>
      <c r="AG4" s="17">
        <v>192706.23</v>
      </c>
      <c r="AH4" s="17">
        <v>0</v>
      </c>
      <c r="AI4" s="17">
        <v>339186.96</v>
      </c>
      <c r="AJ4" s="17">
        <v>11.16</v>
      </c>
      <c r="AK4" s="17" t="s">
        <v>66</v>
      </c>
      <c r="AL4" s="17">
        <v>768</v>
      </c>
      <c r="AM4">
        <v>796</v>
      </c>
      <c r="AN4" s="17" t="s">
        <v>67</v>
      </c>
      <c r="AO4" s="17" t="s">
        <v>79</v>
      </c>
      <c r="AP4" s="17">
        <v>31</v>
      </c>
      <c r="AQ4" s="17">
        <v>31</v>
      </c>
      <c r="AR4" s="20">
        <v>0.1</v>
      </c>
      <c r="AS4" s="3">
        <f t="shared" si="0"/>
        <v>1.6999982653344434</v>
      </c>
      <c r="AT4" s="12">
        <v>10</v>
      </c>
      <c r="AU4" s="13">
        <f t="shared" si="1"/>
        <v>23059.200000000001</v>
      </c>
      <c r="AV4" s="14">
        <f t="shared" si="2"/>
        <v>19139.14</v>
      </c>
      <c r="AW4" s="14">
        <f>AV4*10%</f>
        <v>1913.914</v>
      </c>
      <c r="AX4" s="15">
        <f t="shared" si="3"/>
        <v>2526.3664800000001</v>
      </c>
      <c r="AY4" s="16">
        <f t="shared" si="4"/>
        <v>1998126.2160000002</v>
      </c>
    </row>
    <row r="5" spans="1:52" ht="18.75" x14ac:dyDescent="0.3">
      <c r="A5" s="7" t="s">
        <v>80</v>
      </c>
      <c r="B5" s="8">
        <v>45722</v>
      </c>
      <c r="C5" t="s">
        <v>70</v>
      </c>
      <c r="D5" t="s">
        <v>71</v>
      </c>
      <c r="E5" s="9">
        <v>45723</v>
      </c>
      <c r="F5" t="s">
        <v>53</v>
      </c>
      <c r="G5" s="7" t="s">
        <v>54</v>
      </c>
      <c r="H5" t="s">
        <v>55</v>
      </c>
      <c r="I5" t="s">
        <v>56</v>
      </c>
      <c r="J5">
        <v>40</v>
      </c>
      <c r="K5" s="7" t="s">
        <v>57</v>
      </c>
      <c r="L5" s="7">
        <v>200740021346</v>
      </c>
      <c r="M5" s="7" t="s">
        <v>58</v>
      </c>
      <c r="N5" t="s">
        <v>59</v>
      </c>
      <c r="O5" t="s">
        <v>81</v>
      </c>
      <c r="P5" t="s">
        <v>61</v>
      </c>
      <c r="Q5" s="7" t="s">
        <v>62</v>
      </c>
      <c r="R5" t="s">
        <v>61</v>
      </c>
      <c r="S5" s="7" t="s">
        <v>63</v>
      </c>
      <c r="T5" s="7" t="s">
        <v>73</v>
      </c>
      <c r="U5" s="7">
        <v>147</v>
      </c>
      <c r="V5" s="7">
        <v>6907231000</v>
      </c>
      <c r="W5" s="7">
        <v>6907</v>
      </c>
      <c r="X5" s="7" t="s">
        <v>82</v>
      </c>
      <c r="Y5" s="10">
        <v>2460</v>
      </c>
      <c r="Z5" s="7">
        <v>2214</v>
      </c>
      <c r="AA5" s="7">
        <v>88046.24</v>
      </c>
      <c r="AB5" s="7">
        <v>1202711.6399999999</v>
      </c>
      <c r="AC5" s="7">
        <v>2421.36</v>
      </c>
      <c r="AD5" s="7"/>
      <c r="AE5" s="7"/>
      <c r="AF5" s="7">
        <v>160.46</v>
      </c>
      <c r="AG5" s="7">
        <v>144325.4</v>
      </c>
      <c r="AH5" s="7">
        <v>0</v>
      </c>
      <c r="AI5" s="7">
        <v>161663.70000000001</v>
      </c>
      <c r="AJ5" s="7">
        <v>13.66</v>
      </c>
      <c r="AK5" s="7" t="s">
        <v>66</v>
      </c>
      <c r="AL5" s="7">
        <v>123</v>
      </c>
      <c r="AM5">
        <v>796</v>
      </c>
      <c r="AN5" s="7" t="s">
        <v>67</v>
      </c>
      <c r="AO5" s="7" t="s">
        <v>68</v>
      </c>
      <c r="AP5" s="7">
        <v>31</v>
      </c>
      <c r="AQ5" s="7">
        <v>31</v>
      </c>
      <c r="AR5" s="11">
        <v>0.12</v>
      </c>
      <c r="AS5" s="3">
        <f t="shared" si="0"/>
        <v>1.0936585365853659</v>
      </c>
      <c r="AT5" s="12">
        <v>3.9</v>
      </c>
      <c r="AU5" s="13">
        <f t="shared" si="1"/>
        <v>8634.6</v>
      </c>
      <c r="AV5" s="14">
        <f t="shared" si="2"/>
        <v>6213.24</v>
      </c>
      <c r="AW5" s="14">
        <f>AV5*12%</f>
        <v>745.58879999999999</v>
      </c>
      <c r="AX5" s="15">
        <f t="shared" si="3"/>
        <v>835.05945599999984</v>
      </c>
      <c r="AY5" s="16">
        <f t="shared" si="4"/>
        <v>711291.71519999998</v>
      </c>
    </row>
    <row r="6" spans="1:52" ht="18.75" x14ac:dyDescent="0.3">
      <c r="A6" s="17" t="s">
        <v>83</v>
      </c>
      <c r="B6" s="18">
        <v>45705</v>
      </c>
      <c r="C6" t="s">
        <v>70</v>
      </c>
      <c r="D6" t="s">
        <v>71</v>
      </c>
      <c r="E6" s="18">
        <v>45707</v>
      </c>
      <c r="F6" s="17" t="s">
        <v>53</v>
      </c>
      <c r="G6" s="17" t="s">
        <v>54</v>
      </c>
      <c r="H6" t="s">
        <v>55</v>
      </c>
      <c r="I6" t="s">
        <v>56</v>
      </c>
      <c r="J6">
        <v>40</v>
      </c>
      <c r="K6" s="17" t="s">
        <v>57</v>
      </c>
      <c r="L6" s="17">
        <v>200740021346</v>
      </c>
      <c r="M6" s="17" t="s">
        <v>58</v>
      </c>
      <c r="N6" t="s">
        <v>59</v>
      </c>
      <c r="O6" t="s">
        <v>81</v>
      </c>
      <c r="P6" t="s">
        <v>61</v>
      </c>
      <c r="Q6" s="17" t="s">
        <v>62</v>
      </c>
      <c r="R6" t="s">
        <v>61</v>
      </c>
      <c r="S6" s="17" t="s">
        <v>63</v>
      </c>
      <c r="T6" s="17" t="s">
        <v>73</v>
      </c>
      <c r="U6" s="17">
        <v>6</v>
      </c>
      <c r="V6" s="17">
        <v>6302210000</v>
      </c>
      <c r="W6" s="17">
        <v>6302</v>
      </c>
      <c r="X6" s="17" t="s">
        <v>74</v>
      </c>
      <c r="Y6" s="19">
        <v>2430.13</v>
      </c>
      <c r="Z6" s="17">
        <v>2187.12</v>
      </c>
      <c r="AA6" s="17">
        <v>114534.45</v>
      </c>
      <c r="AB6" s="17">
        <v>5427015.7400000002</v>
      </c>
      <c r="AC6" s="17">
        <v>10957.47</v>
      </c>
      <c r="AD6" s="17"/>
      <c r="AE6" s="17"/>
      <c r="AF6" s="17">
        <v>212.54</v>
      </c>
      <c r="AG6" s="17">
        <v>613252.78</v>
      </c>
      <c r="AH6" s="17">
        <v>0</v>
      </c>
      <c r="AI6" s="17">
        <v>724857.73</v>
      </c>
      <c r="AJ6" s="17">
        <v>13.77</v>
      </c>
      <c r="AK6" s="17" t="s">
        <v>66</v>
      </c>
      <c r="AL6" s="17">
        <v>5250</v>
      </c>
      <c r="AM6">
        <v>796</v>
      </c>
      <c r="AN6" s="17" t="s">
        <v>67</v>
      </c>
      <c r="AO6" s="17" t="s">
        <v>68</v>
      </c>
      <c r="AP6" s="17">
        <v>31</v>
      </c>
      <c r="AQ6" s="17">
        <v>31</v>
      </c>
      <c r="AR6" s="17" t="s">
        <v>84</v>
      </c>
      <c r="AS6" s="3">
        <f t="shared" si="0"/>
        <v>5.0099994513332602</v>
      </c>
      <c r="AT6" s="12">
        <v>13</v>
      </c>
      <c r="AU6" s="13">
        <f t="shared" si="1"/>
        <v>28432.559999999998</v>
      </c>
      <c r="AV6" s="14">
        <f t="shared" si="2"/>
        <v>17475.089999999997</v>
      </c>
      <c r="AW6" s="14">
        <f>AV6*11.3%</f>
        <v>1974.6851699999997</v>
      </c>
      <c r="AX6" s="15">
        <f t="shared" si="3"/>
        <v>2333.9730203999998</v>
      </c>
      <c r="AY6" s="16">
        <f t="shared" si="4"/>
        <v>1938896.1856799999</v>
      </c>
    </row>
    <row r="7" spans="1:52" ht="18.75" x14ac:dyDescent="0.3">
      <c r="A7" s="7" t="s">
        <v>85</v>
      </c>
      <c r="B7" s="8">
        <v>45883</v>
      </c>
      <c r="C7" t="s">
        <v>70</v>
      </c>
      <c r="D7" t="s">
        <v>71</v>
      </c>
      <c r="E7" s="9">
        <v>45889</v>
      </c>
      <c r="F7" t="s">
        <v>86</v>
      </c>
      <c r="G7" s="7" t="s">
        <v>54</v>
      </c>
      <c r="H7" t="s">
        <v>55</v>
      </c>
      <c r="I7" t="s">
        <v>56</v>
      </c>
      <c r="J7">
        <v>40</v>
      </c>
      <c r="K7" s="7" t="s">
        <v>57</v>
      </c>
      <c r="L7" s="7">
        <v>200740021346</v>
      </c>
      <c r="M7" s="7" t="s">
        <v>58</v>
      </c>
      <c r="N7" t="s">
        <v>59</v>
      </c>
      <c r="O7" t="s">
        <v>60</v>
      </c>
      <c r="P7" t="s">
        <v>61</v>
      </c>
      <c r="Q7" s="7" t="s">
        <v>62</v>
      </c>
      <c r="R7" t="s">
        <v>61</v>
      </c>
      <c r="S7" t="s">
        <v>63</v>
      </c>
      <c r="T7" t="s">
        <v>73</v>
      </c>
      <c r="U7" s="7">
        <v>145</v>
      </c>
      <c r="V7" s="7">
        <v>3924100000</v>
      </c>
      <c r="W7">
        <v>3924</v>
      </c>
      <c r="X7" s="7" t="s">
        <v>87</v>
      </c>
      <c r="Y7" s="10">
        <v>95500</v>
      </c>
      <c r="Z7" s="7">
        <v>82050</v>
      </c>
      <c r="AA7" s="7">
        <v>1266.6600000000001</v>
      </c>
      <c r="AB7" s="7">
        <v>339853.67</v>
      </c>
      <c r="AC7" s="7">
        <v>631.75</v>
      </c>
      <c r="AD7" s="7"/>
      <c r="AF7" s="7">
        <v>117.96</v>
      </c>
      <c r="AG7" s="7">
        <v>22090.49</v>
      </c>
      <c r="AH7" s="7">
        <v>0</v>
      </c>
      <c r="AI7" s="7">
        <v>43447.45</v>
      </c>
      <c r="AJ7" s="7">
        <v>13.21</v>
      </c>
      <c r="AK7" s="7" t="s">
        <v>66</v>
      </c>
      <c r="AL7" s="7">
        <v>282</v>
      </c>
      <c r="AM7">
        <v>796</v>
      </c>
      <c r="AN7" t="s">
        <v>67</v>
      </c>
      <c r="AO7" s="7" t="s">
        <v>68</v>
      </c>
      <c r="AP7" s="7">
        <v>31</v>
      </c>
      <c r="AQ7" s="7">
        <v>31</v>
      </c>
      <c r="AR7" s="7" t="s">
        <v>88</v>
      </c>
      <c r="AS7" s="21">
        <f t="shared" si="0"/>
        <v>7.6995734308348569E-3</v>
      </c>
      <c r="AT7" s="3">
        <v>11</v>
      </c>
      <c r="AU7" s="13">
        <f t="shared" si="1"/>
        <v>902550</v>
      </c>
      <c r="AV7" s="14">
        <f t="shared" si="2"/>
        <v>901918.25</v>
      </c>
      <c r="AW7" s="14">
        <f>AV7*6.5%</f>
        <v>58624.686249999999</v>
      </c>
      <c r="AX7" s="15">
        <f t="shared" si="3"/>
        <v>115265.15235</v>
      </c>
      <c r="AY7" s="16">
        <f t="shared" si="4"/>
        <v>78250427.370000005</v>
      </c>
    </row>
    <row r="8" spans="1:52" ht="18.75" x14ac:dyDescent="0.3">
      <c r="AY8" s="22">
        <f>SUM(AY2:AY7)</f>
        <v>86585688.943920001</v>
      </c>
      <c r="AZ8" s="2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Дюсенбинов  Ерлан Ермуханович</dc:creator>
  <cp:lastModifiedBy>Дюсенбинов  Ерлан Ермуханович</cp:lastModifiedBy>
  <dcterms:created xsi:type="dcterms:W3CDTF">2026-09-08T12:47:32Z</dcterms:created>
  <dcterms:modified xsi:type="dcterms:W3CDTF">2026-09-08T12:47:49Z</dcterms:modified>
</cp:coreProperties>
</file>