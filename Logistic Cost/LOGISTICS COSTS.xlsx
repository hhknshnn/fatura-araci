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akan.sahin\Desktop\Lojistik\"/>
    </mc:Choice>
  </mc:AlternateContent>
  <xr:revisionPtr revIDLastSave="0" documentId="13_ncr:1_{9180E11B-2843-431F-83FC-3815E67B7B92}" xr6:coauthVersionLast="47" xr6:coauthVersionMax="47" xr10:uidLastSave="{00000000-0000-0000-0000-000000000000}"/>
  <bookViews>
    <workbookView xWindow="-110" yWindow="-110" windowWidth="19420" windowHeight="10420" tabRatio="666" firstSheet="3" activeTab="9" xr2:uid="{00000000-000D-0000-FFFF-FFFF00000000}"/>
  </bookViews>
  <sheets>
    <sheet name="2025 Ytd Pallet başı maliyet" sheetId="1" state="hidden" r:id="rId1"/>
    <sheet name="2025-Breakdown" sheetId="3" state="hidden" r:id="rId2"/>
    <sheet name="hollanda icmal" sheetId="9" state="hidden" r:id="rId3"/>
    <sheet name="Macedonia" sheetId="8" r:id="rId4"/>
    <sheet name="Kosovo" sheetId="10" r:id="rId5"/>
    <sheet name="Netherland" sheetId="13" r:id="rId6"/>
    <sheet name="Belgium" sheetId="12" r:id="rId7"/>
    <sheet name="Kazakhstan" sheetId="6" r:id="rId8"/>
    <sheet name="Georgia" sheetId="14" r:id="rId9"/>
    <sheet name="Bosnia" sheetId="11" r:id="rId10"/>
    <sheet name="Serbia" sheetId="5" r:id="rId11"/>
    <sheet name="+Q1 DASHBOARD+" sheetId="4" r:id="rId12"/>
    <sheet name="Sayfa1" sheetId="15" r:id="rId13"/>
    <sheet name="Sheet1 (2)" sheetId="2" state="hidden" r:id="rId14"/>
  </sheets>
  <definedNames>
    <definedName name="_xlnm._FilterDatabase" localSheetId="2" hidden="1">'hollanda icmal'!$A$1:$O$27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7" i="12" l="1"/>
  <c r="T15" i="12"/>
  <c r="U12" i="12"/>
  <c r="T12" i="12"/>
  <c r="U11" i="12"/>
  <c r="U10" i="12"/>
  <c r="U9" i="12"/>
  <c r="T13" i="12" s="1"/>
  <c r="R24" i="12"/>
  <c r="T24" i="12" s="1"/>
  <c r="S24" i="12"/>
  <c r="Q23" i="12"/>
  <c r="P21" i="12"/>
  <c r="Q21" i="12" s="1"/>
  <c r="N23" i="12"/>
  <c r="O23" i="12" s="1"/>
  <c r="U23" i="12" s="1"/>
  <c r="N21" i="12"/>
  <c r="O21" i="12" s="1"/>
  <c r="S23" i="12"/>
  <c r="R23" i="12"/>
  <c r="R21" i="12"/>
  <c r="S21" i="12" s="1"/>
  <c r="U21" i="12" l="1"/>
  <c r="T23" i="12"/>
  <c r="U16" i="12"/>
  <c r="T21" i="12"/>
  <c r="Q24" i="12"/>
  <c r="P22" i="12"/>
  <c r="Q22" i="12"/>
  <c r="U22" i="12" s="1"/>
  <c r="O24" i="12"/>
  <c r="U24" i="12" s="1"/>
  <c r="N22" i="12"/>
  <c r="T22" i="12" s="1"/>
  <c r="R22" i="12"/>
  <c r="T25" i="12" l="1"/>
  <c r="U28" i="12" s="1"/>
  <c r="S25" i="13"/>
  <c r="Q25" i="13"/>
  <c r="O25" i="13"/>
  <c r="T28" i="13"/>
  <c r="T23" i="13"/>
  <c r="U13" i="13"/>
  <c r="T16" i="13"/>
  <c r="T25" i="13"/>
  <c r="U24" i="13"/>
  <c r="T24" i="13"/>
  <c r="U23" i="13"/>
  <c r="U22" i="13"/>
  <c r="T11" i="13"/>
  <c r="T10" i="13"/>
  <c r="T9" i="13"/>
  <c r="T22" i="13"/>
  <c r="U11" i="13"/>
  <c r="U10" i="13"/>
  <c r="U9" i="13"/>
  <c r="T38" i="10"/>
  <c r="T35" i="10"/>
  <c r="T34" i="10"/>
  <c r="T33" i="10"/>
  <c r="T32" i="10"/>
  <c r="T15" i="10"/>
  <c r="U12" i="10"/>
  <c r="T12" i="10"/>
  <c r="U11" i="10"/>
  <c r="T11" i="10"/>
  <c r="T10" i="10"/>
  <c r="U9" i="10"/>
  <c r="T9" i="10"/>
  <c r="U25" i="13" l="1"/>
  <c r="T26" i="13" s="1"/>
  <c r="U29" i="13" s="1"/>
  <c r="T27" i="8"/>
  <c r="T15" i="8"/>
  <c r="U24" i="8"/>
  <c r="T24" i="8"/>
  <c r="U23" i="8"/>
  <c r="T23" i="8"/>
  <c r="U22" i="8"/>
  <c r="T22" i="8"/>
  <c r="U12" i="8"/>
  <c r="T12" i="8"/>
  <c r="U11" i="8"/>
  <c r="T11" i="8"/>
  <c r="U10" i="8"/>
  <c r="T10" i="8"/>
  <c r="S10" i="8"/>
  <c r="R14" i="13" l="1"/>
  <c r="P14" i="13"/>
  <c r="Q12" i="13"/>
  <c r="U12" i="13" s="1"/>
  <c r="T14" i="13" s="1"/>
  <c r="U17" i="13" s="1"/>
  <c r="P12" i="13"/>
  <c r="T12" i="13" s="1"/>
  <c r="N14" i="13" l="1"/>
  <c r="R26" i="13" l="1"/>
  <c r="S29" i="13" s="1"/>
  <c r="P26" i="13"/>
  <c r="Q29" i="13" s="1"/>
  <c r="N26" i="13"/>
  <c r="O29" i="13" s="1"/>
  <c r="S17" i="13"/>
  <c r="Q17" i="13"/>
  <c r="O17" i="13"/>
  <c r="S34" i="10"/>
  <c r="S35" i="10" s="1"/>
  <c r="S32" i="10"/>
  <c r="S33" i="10"/>
  <c r="R11" i="12"/>
  <c r="P11" i="12"/>
  <c r="N11" i="12"/>
  <c r="T11" i="12" s="1"/>
  <c r="R10" i="12"/>
  <c r="P10" i="12"/>
  <c r="N10" i="12"/>
  <c r="T10" i="12" s="1"/>
  <c r="J3" i="12"/>
  <c r="H3" i="12"/>
  <c r="F3" i="12"/>
  <c r="R9" i="12"/>
  <c r="P9" i="12"/>
  <c r="N9" i="12"/>
  <c r="T9" i="12" s="1"/>
  <c r="R25" i="12"/>
  <c r="S28" i="12" s="1"/>
  <c r="P25" i="12"/>
  <c r="Q28" i="12" s="1"/>
  <c r="N25" i="12"/>
  <c r="O28" i="12" s="1"/>
  <c r="R13" i="12"/>
  <c r="S16" i="12" s="1"/>
  <c r="P13" i="12"/>
  <c r="Q16" i="12" s="1"/>
  <c r="N13" i="12"/>
  <c r="O16" i="12" s="1"/>
  <c r="S10" i="10"/>
  <c r="U10" i="10" s="1"/>
  <c r="T13" i="10" s="1"/>
  <c r="U16" i="10" s="1"/>
  <c r="Q34" i="10" l="1"/>
  <c r="Q33" i="10"/>
  <c r="Q32" i="10"/>
  <c r="Q35" i="10" s="1"/>
  <c r="O34" i="10"/>
  <c r="U34" i="10" s="1"/>
  <c r="O33" i="10"/>
  <c r="U33" i="10" s="1"/>
  <c r="O32" i="10"/>
  <c r="U32" i="10" s="1"/>
  <c r="R36" i="10"/>
  <c r="S39" i="10" s="1"/>
  <c r="R13" i="10"/>
  <c r="S16" i="10" s="1"/>
  <c r="P13" i="10"/>
  <c r="Q16" i="10" s="1"/>
  <c r="N13" i="10"/>
  <c r="O16" i="10" s="1"/>
  <c r="U21" i="8"/>
  <c r="T21" i="8"/>
  <c r="U9" i="8"/>
  <c r="T9" i="8"/>
  <c r="O35" i="10" l="1"/>
  <c r="U35" i="10" s="1"/>
  <c r="T36" i="10" s="1"/>
  <c r="U39" i="10" s="1"/>
  <c r="P36" i="10"/>
  <c r="Q39" i="10" s="1"/>
  <c r="T25" i="8"/>
  <c r="U28" i="8" s="1"/>
  <c r="T13" i="8" l="1"/>
  <c r="U16" i="8" s="1"/>
  <c r="R25" i="8" l="1"/>
  <c r="S28" i="8" s="1"/>
  <c r="P25" i="8"/>
  <c r="Q28" i="8" s="1"/>
  <c r="N25" i="8"/>
  <c r="O28" i="8" s="1"/>
  <c r="R13" i="8"/>
  <c r="S16" i="8" s="1"/>
  <c r="P13" i="8"/>
  <c r="Q16" i="8" s="1"/>
  <c r="N13" i="8"/>
  <c r="O16" i="8" s="1"/>
  <c r="L12" i="5"/>
  <c r="L11" i="5"/>
  <c r="L10" i="5"/>
  <c r="L9" i="5"/>
  <c r="K15" i="5"/>
  <c r="K27" i="5"/>
  <c r="L24" i="5"/>
  <c r="L23" i="5"/>
  <c r="L22" i="5"/>
  <c r="L21" i="5"/>
  <c r="M25" i="5"/>
  <c r="N28" i="5" s="1"/>
  <c r="M13" i="5"/>
  <c r="N16" i="5" s="1"/>
  <c r="K24" i="5"/>
  <c r="K23" i="5"/>
  <c r="K21" i="5"/>
  <c r="K12" i="5"/>
  <c r="K11" i="5"/>
  <c r="K9" i="5"/>
  <c r="K22" i="5"/>
  <c r="K10" i="5"/>
  <c r="L25" i="6"/>
  <c r="J25" i="6"/>
  <c r="J27" i="6" s="1"/>
  <c r="H25" i="6"/>
  <c r="H27" i="6" s="1"/>
  <c r="F25" i="6"/>
  <c r="I12" i="6"/>
  <c r="G12" i="6"/>
  <c r="E12" i="6"/>
  <c r="J12" i="6"/>
  <c r="I14" i="6" s="1"/>
  <c r="H12" i="6"/>
  <c r="G14" i="6" s="1"/>
  <c r="F12" i="6"/>
  <c r="E14" i="6" s="1"/>
  <c r="F37" i="6"/>
  <c r="E39" i="6"/>
  <c r="E37" i="6"/>
  <c r="I15" i="8"/>
  <c r="L40" i="8"/>
  <c r="I38" i="8"/>
  <c r="J41" i="8" s="1"/>
  <c r="G38" i="8"/>
  <c r="H41" i="8" s="1"/>
  <c r="E38" i="8"/>
  <c r="F41" i="8" s="1"/>
  <c r="M37" i="8"/>
  <c r="L37" i="8"/>
  <c r="M36" i="8"/>
  <c r="L36" i="8"/>
  <c r="M35" i="8"/>
  <c r="L35" i="8"/>
  <c r="M34" i="8"/>
  <c r="L34" i="8"/>
  <c r="L27" i="10"/>
  <c r="I25" i="10"/>
  <c r="G25" i="10"/>
  <c r="E25" i="10"/>
  <c r="L24" i="10"/>
  <c r="M24" i="10"/>
  <c r="M23" i="10"/>
  <c r="L23" i="10"/>
  <c r="M22" i="10"/>
  <c r="L22" i="10"/>
  <c r="M21" i="10"/>
  <c r="L21" i="10"/>
  <c r="L12" i="6" l="1"/>
  <c r="O27" i="6" s="1"/>
  <c r="F27" i="6"/>
  <c r="M25" i="6"/>
  <c r="L38" i="8"/>
  <c r="M41" i="8" s="1"/>
  <c r="L25" i="10"/>
  <c r="M28" i="10" s="1"/>
  <c r="L10" i="14" l="1"/>
  <c r="L10" i="13"/>
  <c r="L10" i="12"/>
  <c r="L27" i="14" l="1"/>
  <c r="I7" i="4" s="1"/>
  <c r="I25" i="14"/>
  <c r="J28" i="14" s="1"/>
  <c r="G25" i="14"/>
  <c r="H28" i="14" s="1"/>
  <c r="E25" i="14"/>
  <c r="F28" i="14" s="1"/>
  <c r="M23" i="14"/>
  <c r="L23" i="14"/>
  <c r="M22" i="14"/>
  <c r="M21" i="14"/>
  <c r="L21" i="14"/>
  <c r="L15" i="14"/>
  <c r="I13" i="14"/>
  <c r="J16" i="14" s="1"/>
  <c r="G13" i="14"/>
  <c r="H16" i="14" s="1"/>
  <c r="E13" i="14"/>
  <c r="F16" i="14" s="1"/>
  <c r="M12" i="14"/>
  <c r="L12" i="14"/>
  <c r="M11" i="14"/>
  <c r="L11" i="14"/>
  <c r="M10" i="14"/>
  <c r="M9" i="14"/>
  <c r="L9" i="14"/>
  <c r="J25" i="13"/>
  <c r="I25" i="13"/>
  <c r="H25" i="13"/>
  <c r="G26" i="13" s="1"/>
  <c r="G25" i="13"/>
  <c r="F25" i="13"/>
  <c r="E26" i="13" s="1"/>
  <c r="E25" i="13"/>
  <c r="I23" i="13"/>
  <c r="G23" i="13"/>
  <c r="E23" i="13"/>
  <c r="M13" i="13"/>
  <c r="G14" i="13"/>
  <c r="I14" i="13"/>
  <c r="E14" i="13"/>
  <c r="L22" i="14" l="1"/>
  <c r="L13" i="14"/>
  <c r="M16" i="14" s="1"/>
  <c r="I11" i="4" s="1"/>
  <c r="M24" i="14"/>
  <c r="L24" i="14"/>
  <c r="L25" i="14" l="1"/>
  <c r="I5" i="4"/>
  <c r="I22" i="12"/>
  <c r="L22" i="12" s="1"/>
  <c r="M28" i="14" l="1"/>
  <c r="I6" i="4"/>
  <c r="I4" i="4" s="1"/>
  <c r="L28" i="13"/>
  <c r="G7" i="4" s="1"/>
  <c r="I26" i="13"/>
  <c r="J29" i="13" s="1"/>
  <c r="H29" i="13"/>
  <c r="F29" i="13"/>
  <c r="M25" i="13"/>
  <c r="G5" i="4" s="1"/>
  <c r="L25" i="13"/>
  <c r="M24" i="13"/>
  <c r="L24" i="13"/>
  <c r="M23" i="13"/>
  <c r="L23" i="13"/>
  <c r="M22" i="13"/>
  <c r="L22" i="13"/>
  <c r="L16" i="13"/>
  <c r="J17" i="13"/>
  <c r="H17" i="13"/>
  <c r="F17" i="13"/>
  <c r="M12" i="13"/>
  <c r="L14" i="13" s="1"/>
  <c r="L12" i="13"/>
  <c r="M11" i="13"/>
  <c r="L11" i="13"/>
  <c r="M10" i="13"/>
  <c r="M9" i="13"/>
  <c r="L9" i="13"/>
  <c r="L26" i="13" l="1"/>
  <c r="M17" i="13"/>
  <c r="G11" i="4" s="1"/>
  <c r="M29" i="13" l="1"/>
  <c r="G6" i="4"/>
  <c r="G4" i="4" s="1"/>
  <c r="L27" i="12"/>
  <c r="F7" i="4" s="1"/>
  <c r="E25" i="12"/>
  <c r="F28" i="12" s="1"/>
  <c r="L24" i="12"/>
  <c r="M24" i="12"/>
  <c r="F5" i="4" s="1"/>
  <c r="G25" i="12"/>
  <c r="H28" i="12" s="1"/>
  <c r="M23" i="12"/>
  <c r="L23" i="12"/>
  <c r="M22" i="12"/>
  <c r="M21" i="12"/>
  <c r="L21" i="12"/>
  <c r="L15" i="12"/>
  <c r="I13" i="12"/>
  <c r="J16" i="12" s="1"/>
  <c r="G13" i="12"/>
  <c r="H16" i="12" s="1"/>
  <c r="E13" i="12"/>
  <c r="F16" i="12" s="1"/>
  <c r="M12" i="12"/>
  <c r="L12" i="12"/>
  <c r="M11" i="12"/>
  <c r="L11" i="12"/>
  <c r="M10" i="12"/>
  <c r="M9" i="12"/>
  <c r="L13" i="12" s="1"/>
  <c r="L9" i="12"/>
  <c r="J10" i="11"/>
  <c r="L24" i="11"/>
  <c r="L23" i="11"/>
  <c r="L22" i="11"/>
  <c r="L21" i="11"/>
  <c r="J24" i="11"/>
  <c r="H24" i="11"/>
  <c r="F24" i="11"/>
  <c r="J22" i="11"/>
  <c r="F22" i="11"/>
  <c r="H22" i="11"/>
  <c r="F11" i="11"/>
  <c r="F9" i="11"/>
  <c r="M16" i="12" l="1"/>
  <c r="F11" i="4" s="1"/>
  <c r="L25" i="12"/>
  <c r="I25" i="12"/>
  <c r="J28" i="12" s="1"/>
  <c r="J11" i="11"/>
  <c r="J9" i="11"/>
  <c r="G10" i="11"/>
  <c r="L10" i="11" s="1"/>
  <c r="I10" i="11"/>
  <c r="H11" i="11"/>
  <c r="H9" i="11"/>
  <c r="H10" i="11"/>
  <c r="F10" i="11"/>
  <c r="M28" i="12" l="1"/>
  <c r="F6" i="4"/>
  <c r="F4" i="4" s="1"/>
  <c r="L27" i="11"/>
  <c r="K7" i="4" s="1"/>
  <c r="E25" i="11"/>
  <c r="F28" i="11" s="1"/>
  <c r="I25" i="11"/>
  <c r="J28" i="11" s="1"/>
  <c r="G25" i="11"/>
  <c r="H28" i="11" s="1"/>
  <c r="M24" i="11"/>
  <c r="K5" i="4" s="1"/>
  <c r="M23" i="11"/>
  <c r="M22" i="11"/>
  <c r="M21" i="11"/>
  <c r="L15" i="11"/>
  <c r="I13" i="11"/>
  <c r="J16" i="11" s="1"/>
  <c r="G13" i="11"/>
  <c r="H16" i="11" s="1"/>
  <c r="E13" i="11"/>
  <c r="F16" i="11" s="1"/>
  <c r="M12" i="11"/>
  <c r="L12" i="11"/>
  <c r="M11" i="11"/>
  <c r="L11" i="11"/>
  <c r="M10" i="11"/>
  <c r="M9" i="11"/>
  <c r="L9" i="11"/>
  <c r="J35" i="10"/>
  <c r="H35" i="10"/>
  <c r="F35" i="10"/>
  <c r="L13" i="11" l="1"/>
  <c r="L25" i="11"/>
  <c r="K6" i="4" s="1"/>
  <c r="K4" i="4" s="1"/>
  <c r="M16" i="11"/>
  <c r="K11" i="4" s="1"/>
  <c r="M28" i="11"/>
  <c r="L38" i="10"/>
  <c r="E7" i="4" s="1"/>
  <c r="I36" i="10"/>
  <c r="J39" i="10" s="1"/>
  <c r="G36" i="10"/>
  <c r="H39" i="10" s="1"/>
  <c r="E36" i="10"/>
  <c r="F39" i="10" s="1"/>
  <c r="M35" i="10"/>
  <c r="E5" i="4" s="1"/>
  <c r="L35" i="10"/>
  <c r="M34" i="10"/>
  <c r="L34" i="10"/>
  <c r="M33" i="10"/>
  <c r="L33" i="10"/>
  <c r="M32" i="10"/>
  <c r="L32" i="10"/>
  <c r="L15" i="10"/>
  <c r="I13" i="10"/>
  <c r="J16" i="10" s="1"/>
  <c r="G13" i="10"/>
  <c r="H16" i="10" s="1"/>
  <c r="E13" i="10"/>
  <c r="M12" i="10"/>
  <c r="L12" i="10"/>
  <c r="M11" i="10"/>
  <c r="L11" i="10"/>
  <c r="M10" i="10"/>
  <c r="M9" i="10"/>
  <c r="L9" i="10"/>
  <c r="L36" i="10" l="1"/>
  <c r="L13" i="10"/>
  <c r="M16" i="10" s="1"/>
  <c r="E11" i="4" s="1"/>
  <c r="N26" i="9"/>
  <c r="M26" i="9"/>
  <c r="L26" i="9"/>
  <c r="K26" i="9"/>
  <c r="J26" i="9"/>
  <c r="I26" i="9"/>
  <c r="H26" i="9"/>
  <c r="G26" i="9"/>
  <c r="F26" i="9"/>
  <c r="E26" i="9"/>
  <c r="D26" i="9"/>
  <c r="C26" i="9"/>
  <c r="N25" i="9"/>
  <c r="N27" i="9" s="1"/>
  <c r="M25" i="9"/>
  <c r="M27" i="9" s="1"/>
  <c r="L25" i="9"/>
  <c r="K25" i="9"/>
  <c r="K27" i="9" s="1"/>
  <c r="J25" i="9"/>
  <c r="I25" i="9"/>
  <c r="H25" i="9"/>
  <c r="H27" i="9" s="1"/>
  <c r="G25" i="9"/>
  <c r="F25" i="9"/>
  <c r="F27" i="9" s="1"/>
  <c r="E25" i="9"/>
  <c r="E27" i="9" s="1"/>
  <c r="D25" i="9"/>
  <c r="C25" i="9"/>
  <c r="C27" i="9" s="1"/>
  <c r="O24" i="9"/>
  <c r="O23" i="9"/>
  <c r="O22" i="9"/>
  <c r="O21" i="9"/>
  <c r="O20" i="9"/>
  <c r="O19" i="9"/>
  <c r="O18" i="9"/>
  <c r="O17" i="9"/>
  <c r="O16" i="9"/>
  <c r="O15" i="9"/>
  <c r="N14" i="9"/>
  <c r="M14" i="9"/>
  <c r="L14" i="9"/>
  <c r="K14" i="9"/>
  <c r="J14" i="9"/>
  <c r="I14" i="9"/>
  <c r="H14" i="9"/>
  <c r="G14" i="9"/>
  <c r="F14" i="9"/>
  <c r="E14" i="9"/>
  <c r="D14" i="9"/>
  <c r="C14" i="9"/>
  <c r="O13" i="9"/>
  <c r="O12" i="9"/>
  <c r="O11" i="9"/>
  <c r="N10" i="9"/>
  <c r="M10" i="9"/>
  <c r="L10" i="9"/>
  <c r="K10" i="9"/>
  <c r="J10" i="9"/>
  <c r="I10" i="9"/>
  <c r="H10" i="9"/>
  <c r="G10" i="9"/>
  <c r="F10" i="9"/>
  <c r="E10" i="9"/>
  <c r="D10" i="9"/>
  <c r="C10" i="9"/>
  <c r="O9" i="9"/>
  <c r="O8" i="9"/>
  <c r="O7" i="9"/>
  <c r="N6" i="9"/>
  <c r="M6" i="9"/>
  <c r="L6" i="9"/>
  <c r="K6" i="9"/>
  <c r="J6" i="9"/>
  <c r="I6" i="9"/>
  <c r="H6" i="9"/>
  <c r="G6" i="9"/>
  <c r="F6" i="9"/>
  <c r="E6" i="9"/>
  <c r="D6" i="9"/>
  <c r="C6" i="9"/>
  <c r="O5" i="9"/>
  <c r="O4" i="9"/>
  <c r="O3" i="9"/>
  <c r="N2" i="9"/>
  <c r="M2" i="9"/>
  <c r="L2" i="9"/>
  <c r="K2" i="9"/>
  <c r="J2" i="9"/>
  <c r="I2" i="9"/>
  <c r="H2" i="9"/>
  <c r="G2" i="9"/>
  <c r="F2" i="9"/>
  <c r="E2" i="9"/>
  <c r="D2" i="9"/>
  <c r="C2" i="9"/>
  <c r="L27" i="8"/>
  <c r="D7" i="4" s="1"/>
  <c r="I25" i="8"/>
  <c r="J28" i="8" s="1"/>
  <c r="G25" i="8"/>
  <c r="H28" i="8" s="1"/>
  <c r="E25" i="8"/>
  <c r="F28" i="8" s="1"/>
  <c r="M24" i="8"/>
  <c r="D5" i="4" s="1"/>
  <c r="L24" i="8"/>
  <c r="M23" i="8"/>
  <c r="L23" i="8"/>
  <c r="M22" i="8"/>
  <c r="L22" i="8"/>
  <c r="M21" i="8"/>
  <c r="L21" i="8"/>
  <c r="I13" i="8"/>
  <c r="J16" i="8" s="1"/>
  <c r="G13" i="8"/>
  <c r="H16" i="8" s="1"/>
  <c r="E13" i="8"/>
  <c r="M12" i="8"/>
  <c r="L12" i="8"/>
  <c r="M11" i="8"/>
  <c r="L11" i="8"/>
  <c r="M10" i="8"/>
  <c r="M9" i="8"/>
  <c r="L9" i="8"/>
  <c r="M39" i="10" l="1"/>
  <c r="E6" i="4"/>
  <c r="E4" i="4" s="1"/>
  <c r="I27" i="9"/>
  <c r="J27" i="9"/>
  <c r="D27" i="9"/>
  <c r="L27" i="9"/>
  <c r="O10" i="9"/>
  <c r="G27" i="9"/>
  <c r="O26" i="9"/>
  <c r="O14" i="9"/>
  <c r="O6" i="9"/>
  <c r="O2" i="9"/>
  <c r="O25" i="9"/>
  <c r="L25" i="8"/>
  <c r="L13" i="8"/>
  <c r="M16" i="8" s="1"/>
  <c r="D11" i="4" s="1"/>
  <c r="M28" i="8" l="1"/>
  <c r="D6" i="4"/>
  <c r="D4" i="4" s="1"/>
  <c r="O27" i="9"/>
  <c r="L29" i="6"/>
  <c r="H7" i="4" s="1"/>
  <c r="L23" i="6"/>
  <c r="I26" i="6" l="1"/>
  <c r="E10" i="6" l="1"/>
  <c r="I10" i="6"/>
  <c r="G10" i="6"/>
  <c r="J30" i="6"/>
  <c r="H30" i="6"/>
  <c r="F30" i="6"/>
  <c r="E26" i="6"/>
  <c r="G26" i="6"/>
  <c r="L10" i="6" l="1"/>
  <c r="L16" i="6"/>
  <c r="I13" i="6"/>
  <c r="G13" i="6"/>
  <c r="L13" i="6" l="1"/>
  <c r="M26" i="6"/>
  <c r="L27" i="6" s="1"/>
  <c r="L26" i="6"/>
  <c r="M24" i="6"/>
  <c r="L24" i="6"/>
  <c r="M23" i="6"/>
  <c r="M22" i="6"/>
  <c r="L22" i="6"/>
  <c r="J17" i="6"/>
  <c r="H17" i="6"/>
  <c r="F17" i="6"/>
  <c r="M13" i="6"/>
  <c r="M11" i="6"/>
  <c r="L11" i="6"/>
  <c r="M10" i="6"/>
  <c r="M9" i="6"/>
  <c r="L9" i="6"/>
  <c r="I13" i="5"/>
  <c r="J16" i="5" s="1"/>
  <c r="M12" i="6" l="1"/>
  <c r="L14" i="6" s="1"/>
  <c r="M17" i="6" s="1"/>
  <c r="H11" i="4" s="1"/>
  <c r="F39" i="6"/>
  <c r="F40" i="6"/>
  <c r="E40" i="6" s="1"/>
  <c r="E41" i="6" s="1"/>
  <c r="H5" i="4"/>
  <c r="H6" i="4"/>
  <c r="G13" i="5"/>
  <c r="H16" i="5" s="1"/>
  <c r="E13" i="5"/>
  <c r="F16" i="5" s="1"/>
  <c r="F41" i="6" l="1"/>
  <c r="H41" i="6" s="1"/>
  <c r="H4" i="4"/>
  <c r="F43" i="6"/>
  <c r="E43" i="6"/>
  <c r="M30" i="6"/>
  <c r="P27" i="6"/>
  <c r="I25" i="5" l="1"/>
  <c r="J28" i="5" s="1"/>
  <c r="G25" i="5"/>
  <c r="H28" i="5" s="1"/>
  <c r="E25" i="5"/>
  <c r="F28" i="5" s="1"/>
  <c r="J5" i="4"/>
  <c r="K13" i="5" l="1"/>
  <c r="K25" i="5"/>
  <c r="J6" i="4" l="1"/>
  <c r="K9" i="4"/>
  <c r="I9" i="4"/>
  <c r="J4" i="4" l="1"/>
  <c r="F9" i="4"/>
  <c r="H9" i="4"/>
  <c r="G9" i="4"/>
  <c r="E9" i="4"/>
  <c r="D9" i="4"/>
  <c r="I7" i="3" l="1"/>
  <c r="J5" i="3" l="1"/>
  <c r="J6" i="3"/>
  <c r="K6" i="3" s="1"/>
  <c r="J10" i="3" l="1"/>
  <c r="K5" i="3"/>
  <c r="H7" i="3"/>
  <c r="J11" i="3" l="1"/>
  <c r="I5" i="3"/>
  <c r="H10" i="3"/>
  <c r="G11" i="3"/>
  <c r="H11" i="3"/>
  <c r="G12" i="3"/>
  <c r="F11" i="3"/>
  <c r="F10" i="3"/>
  <c r="I10" i="3" l="1"/>
  <c r="I6" i="3"/>
  <c r="I11" i="3" s="1"/>
  <c r="G5" i="3"/>
  <c r="G10" i="3" s="1"/>
  <c r="F7" i="3" l="1"/>
  <c r="F12" i="3" s="1"/>
  <c r="H12" i="3"/>
  <c r="I12" i="3"/>
  <c r="J12" i="3"/>
  <c r="Q29" i="2" l="1"/>
  <c r="Q23" i="2"/>
  <c r="K16" i="2"/>
  <c r="I16" i="2"/>
  <c r="H16" i="2"/>
  <c r="G16" i="2"/>
  <c r="F16" i="2"/>
  <c r="K15" i="2"/>
  <c r="J15" i="2"/>
  <c r="I15" i="2"/>
  <c r="H15" i="2"/>
  <c r="G15" i="2"/>
  <c r="F15" i="2"/>
  <c r="K14" i="2"/>
  <c r="J14" i="2"/>
  <c r="I14" i="2"/>
  <c r="H14" i="2"/>
  <c r="G14" i="2"/>
  <c r="F14" i="2"/>
  <c r="K13" i="2"/>
  <c r="J13" i="2"/>
  <c r="I13" i="2"/>
  <c r="H13" i="2"/>
  <c r="H17" i="2" s="1"/>
  <c r="H19" i="2" s="1"/>
  <c r="G13" i="2"/>
  <c r="G17" i="2" s="1"/>
  <c r="G19" i="2" s="1"/>
  <c r="F13" i="2"/>
  <c r="J7" i="2"/>
  <c r="J16" i="2" s="1"/>
  <c r="I17" i="2" l="1"/>
  <c r="I19" i="2" s="1"/>
  <c r="K17" i="2"/>
  <c r="K19" i="2" s="1"/>
  <c r="F17" i="2"/>
  <c r="F19" i="2" s="1"/>
  <c r="J17" i="2"/>
  <c r="J19" i="2" s="1"/>
  <c r="J8" i="1" l="1"/>
  <c r="J17" i="1" s="1"/>
  <c r="K16" i="1"/>
  <c r="J16" i="1"/>
  <c r="I16" i="1"/>
  <c r="H16" i="1"/>
  <c r="G16" i="1"/>
  <c r="F16" i="1"/>
  <c r="K17" i="1" l="1"/>
  <c r="I17" i="1"/>
  <c r="H17" i="1"/>
  <c r="K15" i="1"/>
  <c r="J15" i="1"/>
  <c r="I15" i="1"/>
  <c r="H15" i="1"/>
  <c r="K14" i="1"/>
  <c r="J14" i="1"/>
  <c r="I14" i="1"/>
  <c r="I18" i="1" s="1"/>
  <c r="I20" i="1" s="1"/>
  <c r="H14" i="1"/>
  <c r="H18" i="1" s="1"/>
  <c r="H20" i="1" s="1"/>
  <c r="F17" i="1"/>
  <c r="F15" i="1"/>
  <c r="F14" i="1"/>
  <c r="F18" i="1" s="1"/>
  <c r="F20" i="1" s="1"/>
  <c r="G17" i="1"/>
  <c r="J18" i="1" l="1"/>
  <c r="K18" i="1"/>
  <c r="K20" i="1" s="1"/>
  <c r="J20" i="1"/>
  <c r="G15" i="1"/>
  <c r="G14" i="1"/>
  <c r="G18" i="1" s="1"/>
  <c r="G20" i="1" s="1"/>
  <c r="J7" i="4"/>
  <c r="J9" i="4" s="1"/>
  <c r="L28" i="5"/>
  <c r="L16" i="5"/>
  <c r="J11" i="4" s="1"/>
  <c r="N36" i="10" l="1"/>
  <c r="O39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6" authorId="0" shapeId="0" xr:uid="{FA700673-CD23-4166-BF29-3EE92AF8065F}">
      <text>
        <r>
          <rPr>
            <sz val="10"/>
            <color rgb="FF000000"/>
            <rFont val="Calibri"/>
            <family val="2"/>
            <charset val="162"/>
            <scheme val="minor"/>
          </rPr>
          <t>2250 Euro = Amazon Return
	-Erkut Gunduz</t>
        </r>
      </text>
    </comment>
  </commentList>
</comments>
</file>

<file path=xl/sharedStrings.xml><?xml version="1.0" encoding="utf-8"?>
<sst xmlns="http://schemas.openxmlformats.org/spreadsheetml/2006/main" count="769" uniqueCount="252">
  <si>
    <t>INBOUND</t>
  </si>
  <si>
    <t>OUTBOUND</t>
  </si>
  <si>
    <t>STORAGE</t>
  </si>
  <si>
    <t>TRANSPORTATION</t>
  </si>
  <si>
    <t>BOSNA</t>
  </si>
  <si>
    <t>GÜRCİSTAN</t>
  </si>
  <si>
    <t>MAKEDONYA</t>
  </si>
  <si>
    <t>KOSOVA</t>
  </si>
  <si>
    <t>BELÇİKA</t>
  </si>
  <si>
    <t>HOLLANDA</t>
  </si>
  <si>
    <t>Birim Fiyat</t>
  </si>
  <si>
    <t>Hacim</t>
  </si>
  <si>
    <t>Toplam Tutar</t>
  </si>
  <si>
    <t>Toplam</t>
  </si>
  <si>
    <t>Palet Başı Maliyet</t>
  </si>
  <si>
    <t>Hollanda</t>
  </si>
  <si>
    <t>Cross Dock</t>
  </si>
  <si>
    <t>B2B Satış</t>
  </si>
  <si>
    <t>Oran</t>
  </si>
  <si>
    <t>Satış</t>
  </si>
  <si>
    <t>KAZAKİSTAN</t>
  </si>
  <si>
    <t>Depo</t>
  </si>
  <si>
    <t>İç Nakliye</t>
  </si>
  <si>
    <t xml:space="preserve">Toplam </t>
  </si>
  <si>
    <t>HOLLANDA(B2B)</t>
  </si>
  <si>
    <t>Lojistik Maliyet</t>
  </si>
  <si>
    <t>Ciro</t>
  </si>
  <si>
    <t>2026.Q1 LM</t>
  </si>
  <si>
    <t>Warehouse</t>
  </si>
  <si>
    <t>Inbound</t>
  </si>
  <si>
    <t>Outbound</t>
  </si>
  <si>
    <t>Total</t>
  </si>
  <si>
    <t>Quantity</t>
  </si>
  <si>
    <t>Cost</t>
  </si>
  <si>
    <t>Jan</t>
  </si>
  <si>
    <t>Feb</t>
  </si>
  <si>
    <t>Mar</t>
  </si>
  <si>
    <t>Stock(avr.box)</t>
  </si>
  <si>
    <t>2026 - TOTAL Q1</t>
  </si>
  <si>
    <t>2025 -  TOTAL Q1</t>
  </si>
  <si>
    <t>Transportation ( Pallets)</t>
  </si>
  <si>
    <t>Total Cost</t>
  </si>
  <si>
    <t>Revenue</t>
  </si>
  <si>
    <t>Serbia</t>
  </si>
  <si>
    <t>Rate</t>
  </si>
  <si>
    <t>Maliyet Artış oranı</t>
  </si>
  <si>
    <t>Kazakhstan - Q1</t>
  </si>
  <si>
    <t>Loc</t>
  </si>
  <si>
    <t>Item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</si>
  <si>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</si>
  <si>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</si>
  <si>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</si>
  <si>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</si>
  <si>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</si>
  <si>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</si>
  <si>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</si>
  <si>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</si>
  <si>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</si>
  <si>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 Total</t>
  </si>
  <si>
    <t>Space</t>
  </si>
  <si>
    <t>B2C</t>
  </si>
  <si>
    <t>Storage B2C</t>
  </si>
  <si>
    <t>B2B</t>
  </si>
  <si>
    <t>Storage B2B (Carton Location)</t>
  </si>
  <si>
    <t>Storage B2B (Pallet Location)</t>
  </si>
  <si>
    <t>Inbound Labour Charges</t>
  </si>
  <si>
    <t>Inbound B2B - Per Carton</t>
  </si>
  <si>
    <t>Inbound B2B - Per Pallet</t>
  </si>
  <si>
    <t>Inbound B2C - Per Unit</t>
  </si>
  <si>
    <t>Outbound Labour Charges</t>
  </si>
  <si>
    <t>Outbound B2C - Picking and Packing</t>
  </si>
  <si>
    <t>Outbound B2C - Nylon Packing</t>
  </si>
  <si>
    <t>Outbound B2B - Full Carton Pick</t>
  </si>
  <si>
    <t>Additional Services</t>
  </si>
  <si>
    <t>Returns</t>
  </si>
  <si>
    <t>VAS</t>
  </si>
  <si>
    <t>Account Management Hours</t>
  </si>
  <si>
    <t>Overtime</t>
  </si>
  <si>
    <t>Consumables Cost</t>
  </si>
  <si>
    <t>Consumables Margins</t>
  </si>
  <si>
    <t xml:space="preserve">DPD </t>
  </si>
  <si>
    <t>Total B2B</t>
  </si>
  <si>
    <t>Total B2C</t>
  </si>
  <si>
    <t>Grand Total</t>
  </si>
  <si>
    <t>Credit note</t>
  </si>
  <si>
    <t>Macedonia</t>
  </si>
  <si>
    <t>Stock(Truck)</t>
  </si>
  <si>
    <t>Transportation (delivery)</t>
  </si>
  <si>
    <t>Mağaza Şubat ayında açıldı</t>
  </si>
  <si>
    <t>Mart ayında sevkiyat yapılmadı</t>
  </si>
  <si>
    <t>Kosovo</t>
  </si>
  <si>
    <t>Bosnia Herzegovina</t>
  </si>
  <si>
    <t>Stock(Pallet)</t>
  </si>
  <si>
    <t>Transportation (Truck)</t>
  </si>
  <si>
    <t>Belgium</t>
  </si>
  <si>
    <t>Stock&amp;Handling</t>
  </si>
  <si>
    <t>Stock (Avr. Pallet)</t>
  </si>
  <si>
    <t>Inbound(box)</t>
  </si>
  <si>
    <t>Outbound(box)</t>
  </si>
  <si>
    <t>Transportation (Pallet)</t>
  </si>
  <si>
    <t>Inbound(pallet)</t>
  </si>
  <si>
    <t>Outbound(pallet)</t>
  </si>
  <si>
    <t>Georgia</t>
  </si>
  <si>
    <t>Netherland</t>
  </si>
  <si>
    <t>Credit Notes</t>
  </si>
  <si>
    <t>Ekim</t>
  </si>
  <si>
    <t>Kasım</t>
  </si>
  <si>
    <t>Aralık</t>
  </si>
  <si>
    <t>2025 - TOTAL Q4</t>
  </si>
  <si>
    <t>Stok Artış Oranı</t>
  </si>
  <si>
    <t>Gümrükleme</t>
  </si>
  <si>
    <t>İç taşıma</t>
  </si>
  <si>
    <t>Hubstream</t>
  </si>
  <si>
    <t>Logitrans</t>
  </si>
  <si>
    <t>55.329 koli</t>
  </si>
  <si>
    <t>1.476 Palet</t>
  </si>
  <si>
    <t>2026 Hacim</t>
  </si>
  <si>
    <t>28 Beyanname</t>
  </si>
  <si>
    <t>Lojistik/Ciro</t>
  </si>
  <si>
    <t>Toplam Lojistik</t>
  </si>
  <si>
    <t>Depolama</t>
  </si>
  <si>
    <t>Genel Toplam</t>
  </si>
  <si>
    <t>(SMM'ye ekleniyor)</t>
  </si>
  <si>
    <t xml:space="preserve">Lojistik Maliyet Karşılaştırması </t>
  </si>
  <si>
    <t>2026 Q1 Ciro</t>
  </si>
  <si>
    <t>(ortalama Koli)</t>
  </si>
  <si>
    <t>SERBIA</t>
  </si>
  <si>
    <t>BOSNIA HERZOGOVINA</t>
  </si>
  <si>
    <t>Transportation</t>
  </si>
  <si>
    <t>2026 Logistics / Revenue</t>
  </si>
  <si>
    <t>2025  Logistics / Revenue</t>
  </si>
  <si>
    <t>June</t>
  </si>
  <si>
    <t>2026 - TOTAL Q2</t>
  </si>
  <si>
    <t>2025 -  TOTAL Q2</t>
  </si>
  <si>
    <t>€</t>
  </si>
  <si>
    <t>Nisan</t>
  </si>
  <si>
    <t>Mayıs</t>
  </si>
  <si>
    <t>Haziran</t>
  </si>
  <si>
    <t>Kosova</t>
  </si>
  <si>
    <t>174.221,00 </t>
  </si>
  <si>
    <t>175.180,00 </t>
  </si>
  <si>
    <t>Makedonya</t>
  </si>
  <si>
    <t>43.645,00 </t>
  </si>
  <si>
    <t>38.223,72 </t>
  </si>
  <si>
    <t>38.710,00 </t>
  </si>
  <si>
    <t>Belçika</t>
  </si>
  <si>
    <t>101.420,00 </t>
  </si>
  <si>
    <t>103.385,00 </t>
  </si>
  <si>
    <t>Sırbistan</t>
  </si>
  <si>
    <t>612.038,00 </t>
  </si>
  <si>
    <t>620.165,00 </t>
  </si>
  <si>
    <t>Bosna</t>
  </si>
  <si>
    <t>184.723,00 </t>
  </si>
  <si>
    <t>179.487,00 </t>
  </si>
  <si>
    <t>Kazakistan</t>
  </si>
  <si>
    <t>342.198,00 </t>
  </si>
  <si>
    <t>373.641,00 </t>
  </si>
  <si>
    <t>Gürcistan</t>
  </si>
  <si>
    <t>314.420,00 </t>
  </si>
  <si>
    <t>309.301,53 </t>
  </si>
  <si>
    <t>291.662,19 </t>
  </si>
  <si>
    <t>January'25</t>
  </si>
  <si>
    <t>February'25</t>
  </si>
  <si>
    <t>March'25</t>
  </si>
  <si>
    <t>April'25</t>
  </si>
  <si>
    <t>May'25</t>
  </si>
  <si>
    <t>June'25</t>
  </si>
  <si>
    <t>July'25</t>
  </si>
  <si>
    <t>August'25</t>
  </si>
  <si>
    <t>September'25</t>
  </si>
  <si>
    <t>October'25</t>
  </si>
  <si>
    <t>November'25</t>
  </si>
  <si>
    <t>December'25</t>
  </si>
  <si>
    <t>619.666,97 </t>
  </si>
  <si>
    <t>503.172,96 </t>
  </si>
  <si>
    <t>525.839,75 </t>
  </si>
  <si>
    <t>569.515,86 </t>
  </si>
  <si>
    <t>558.771,49 </t>
  </si>
  <si>
    <t>517.941,70 </t>
  </si>
  <si>
    <t>616.817,68 </t>
  </si>
  <si>
    <t>694.617,17 </t>
  </si>
  <si>
    <t>597.336,04 </t>
  </si>
  <si>
    <t>782.811,70 </t>
  </si>
  <si>
    <t>1.173.633,09 </t>
  </si>
  <si>
    <t>211.834,56 </t>
  </si>
  <si>
    <t>165.115,45 </t>
  </si>
  <si>
    <t>175.006,64 </t>
  </si>
  <si>
    <t>191.581,26 </t>
  </si>
  <si>
    <t>156.627,52 </t>
  </si>
  <si>
    <t>197.462,42 </t>
  </si>
  <si>
    <t>310.555,05 </t>
  </si>
  <si>
    <t>340.365,96 </t>
  </si>
  <si>
    <t>214.287,29 </t>
  </si>
  <si>
    <t>224.145,34 </t>
  </si>
  <si>
    <t>248.213,21 </t>
  </si>
  <si>
    <t>188.161,75 </t>
  </si>
  <si>
    <t>126.772,91 </t>
  </si>
  <si>
    <t>113.256,43 </t>
  </si>
  <si>
    <t>112.114,77 </t>
  </si>
  <si>
    <t>117.994,63 </t>
  </si>
  <si>
    <t>108.569,62 </t>
  </si>
  <si>
    <t>153.352,70 </t>
  </si>
  <si>
    <t>140.119,49 </t>
  </si>
  <si>
    <t>166.864,82 </t>
  </si>
  <si>
    <t>177.641,52 </t>
  </si>
  <si>
    <t>241.647,34 </t>
  </si>
  <si>
    <t>453.382,70 </t>
  </si>
  <si>
    <t>499.262,47 </t>
  </si>
  <si>
    <t>634.268,75 </t>
  </si>
  <si>
    <t>403.610,99 </t>
  </si>
  <si>
    <t>425.240,69 </t>
  </si>
  <si>
    <t>555.408,28 </t>
  </si>
  <si>
    <t>623.299,99 </t>
  </si>
  <si>
    <t>670.641,12 </t>
  </si>
  <si>
    <t>556.652,78 </t>
  </si>
  <si>
    <t>616.277,91 </t>
  </si>
  <si>
    <t>692.508,28 </t>
  </si>
  <si>
    <t>286.742,47 </t>
  </si>
  <si>
    <t>251.236,80 </t>
  </si>
  <si>
    <t>282.314,45 </t>
  </si>
  <si>
    <t>249.635,13 </t>
  </si>
  <si>
    <t>250.486,82 </t>
  </si>
  <si>
    <t>359.631,63 </t>
  </si>
  <si>
    <t>398.905,33 </t>
  </si>
  <si>
    <t>399.422,66 </t>
  </si>
  <si>
    <t>329.138,85 </t>
  </si>
  <si>
    <t>360.288,50 </t>
  </si>
  <si>
    <t>485.719,85 </t>
  </si>
  <si>
    <t>42.327,92 </t>
  </si>
  <si>
    <t>33.310,62 </t>
  </si>
  <si>
    <t>48.215,78 </t>
  </si>
  <si>
    <t>39.471,67 </t>
  </si>
  <si>
    <t>25.753,71 </t>
  </si>
  <si>
    <t>54.307,81 </t>
  </si>
  <si>
    <t>46.877,64 </t>
  </si>
  <si>
    <t>72.858,49 </t>
  </si>
  <si>
    <t>76.143,18 </t>
  </si>
  <si>
    <t>66.256,48 </t>
  </si>
  <si>
    <t>202.532,31 </t>
  </si>
  <si>
    <t>154.307,57 </t>
  </si>
  <si>
    <t>194.062,28 </t>
  </si>
  <si>
    <t>168.263,84 </t>
  </si>
  <si>
    <t>294.677,48 </t>
  </si>
  <si>
    <t>455.924,13 </t>
  </si>
  <si>
    <t>435.582,60 </t>
  </si>
  <si>
    <t>280.981,98 </t>
  </si>
  <si>
    <t>282.532,94 </t>
  </si>
  <si>
    <t>319.986,25 </t>
  </si>
  <si>
    <t>257.038,58 </t>
  </si>
  <si>
    <t>2026 q2</t>
  </si>
  <si>
    <t>2025 fy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</si>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</sst>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0.0%"/>
    <numFmt numFmtId="167" formatCode="_-[$€-2]\ * #,##0.0_-;\-[$€-2]\ * #,##0.0_-;_-[$€-2]\ * &quot;-&quot;??_-;_-@_-"/>
    <numFmt numFmtId="168" formatCode="_-[$€-2]\ * #,##0_-;\-[$€-2]\ * #,##0_-;_-[$€-2]\ * &quot;-&quot;??_-;_-@_-"/>
    <numFmt numFmtId="169" formatCode="_-* #,##0\ [$€-1]_-;\-* #,##0\ [$€-1]_-;_-* &quot;-&quot;\ [$€-1]_-;_-@_-"/>
    <numFmt numFmtId="170" formatCode="_-[$€-2]\ * #,##0.00_-;\-[$€-2]\ * #,##0.00_-;_-[$€-2]\ * &quot;-&quot;??_-;_-@_-"/>
    <numFmt numFmtId="171" formatCode="[$€-2]\ #,##0;[Red]\-[$€-2]\ #,##0"/>
    <numFmt numFmtId="172" formatCode="#,##0.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u/>
      <sz val="11"/>
      <color theme="1"/>
      <name val="Calibri"/>
      <family val="2"/>
      <charset val="162"/>
      <scheme val="minor"/>
    </font>
    <font>
      <b/>
      <u/>
      <sz val="12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rgb="FFFFC000"/>
      <name val="Calibri"/>
      <family val="2"/>
      <charset val="162"/>
      <scheme val="minor"/>
    </font>
    <font>
      <sz val="12"/>
      <color rgb="FF00B05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2"/>
      <color rgb="FFC0000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b/>
      <sz val="20"/>
      <color rgb="FFFFC000"/>
      <name val="Calibri"/>
      <family val="2"/>
      <charset val="162"/>
      <scheme val="minor"/>
    </font>
    <font>
      <b/>
      <i/>
      <sz val="12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</font>
    <font>
      <sz val="10"/>
      <color theme="1"/>
      <name val="Calibri"/>
      <family val="2"/>
      <charset val="162"/>
    </font>
    <font>
      <u/>
      <sz val="10"/>
      <color theme="1"/>
      <name val="Calibri"/>
      <family val="2"/>
      <charset val="162"/>
    </font>
    <font>
      <sz val="9"/>
      <color rgb="FFE69138"/>
      <name val="Calibri"/>
      <family val="2"/>
      <charset val="162"/>
    </font>
    <font>
      <sz val="9"/>
      <color rgb="FF000000"/>
      <name val="Calibri"/>
      <family val="2"/>
      <charset val="162"/>
    </font>
    <font>
      <sz val="9"/>
      <color theme="1"/>
      <name val="Calibri"/>
      <family val="2"/>
      <charset val="162"/>
    </font>
    <font>
      <b/>
      <sz val="9"/>
      <color theme="1"/>
      <name val="Calibri"/>
      <family val="2"/>
      <charset val="162"/>
    </font>
    <font>
      <sz val="9"/>
      <color rgb="FF9900FF"/>
      <name val="Calibri"/>
      <family val="2"/>
      <charset val="162"/>
    </font>
    <font>
      <b/>
      <sz val="10"/>
      <color rgb="FF9900FF"/>
      <name val="Calibri"/>
      <family val="2"/>
      <charset val="162"/>
    </font>
    <font>
      <b/>
      <sz val="10"/>
      <color rgb="FFE69138"/>
      <name val="Calibri"/>
      <family val="2"/>
      <charset val="162"/>
    </font>
    <font>
      <sz val="10"/>
      <color rgb="FF000000"/>
      <name val="Calibri"/>
      <family val="2"/>
      <charset val="162"/>
      <scheme val="minor"/>
    </font>
    <font>
      <i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12"/>
      <color rgb="FFC00000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4"/>
      <color rgb="FF00B05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C00000"/>
      <name val="Calibri"/>
      <family val="2"/>
      <charset val="16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7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right"/>
    </xf>
    <xf numFmtId="0" fontId="0" fillId="0" borderId="1" xfId="0" applyBorder="1"/>
    <xf numFmtId="165" fontId="0" fillId="0" borderId="0" xfId="1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43" fontId="0" fillId="0" borderId="0" xfId="1" applyFont="1" applyAlignment="1">
      <alignment horizontal="center"/>
    </xf>
    <xf numFmtId="0" fontId="3" fillId="0" borderId="0" xfId="0" applyFont="1" applyAlignment="1">
      <alignment horizontal="left"/>
    </xf>
    <xf numFmtId="43" fontId="0" fillId="0" borderId="0" xfId="1" applyFont="1"/>
    <xf numFmtId="9" fontId="0" fillId="0" borderId="0" xfId="2" applyFont="1" applyAlignment="1">
      <alignment horizontal="center"/>
    </xf>
    <xf numFmtId="166" fontId="0" fillId="0" borderId="0" xfId="2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1" applyNumberFormat="1" applyFont="1" applyAlignment="1">
      <alignment horizontal="center"/>
    </xf>
    <xf numFmtId="168" fontId="0" fillId="0" borderId="1" xfId="1" applyNumberFormat="1" applyFont="1" applyBorder="1" applyAlignment="1">
      <alignment horizontal="center"/>
    </xf>
    <xf numFmtId="168" fontId="3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0" xfId="0" applyFont="1"/>
    <xf numFmtId="4" fontId="0" fillId="0" borderId="0" xfId="0" applyNumberFormat="1"/>
    <xf numFmtId="0" fontId="3" fillId="0" borderId="3" xfId="0" applyFont="1" applyBorder="1" applyAlignment="1">
      <alignment horizontal="center"/>
    </xf>
    <xf numFmtId="166" fontId="0" fillId="0" borderId="2" xfId="2" applyNumberFormat="1" applyFont="1" applyBorder="1" applyAlignment="1">
      <alignment horizontal="center"/>
    </xf>
    <xf numFmtId="166" fontId="3" fillId="0" borderId="2" xfId="2" applyNumberFormat="1" applyFont="1" applyBorder="1" applyAlignment="1">
      <alignment horizontal="center"/>
    </xf>
    <xf numFmtId="166" fontId="3" fillId="0" borderId="0" xfId="2" applyNumberFormat="1" applyFont="1" applyAlignment="1">
      <alignment horizontal="center"/>
    </xf>
    <xf numFmtId="169" fontId="6" fillId="0" borderId="2" xfId="1" applyNumberFormat="1" applyFont="1" applyBorder="1" applyAlignment="1">
      <alignment horizontal="center"/>
    </xf>
    <xf numFmtId="169" fontId="6" fillId="0" borderId="0" xfId="1" applyNumberFormat="1" applyFont="1" applyAlignment="1">
      <alignment horizontal="center"/>
    </xf>
    <xf numFmtId="169" fontId="7" fillId="0" borderId="2" xfId="1" applyNumberFormat="1" applyFont="1" applyBorder="1" applyAlignment="1">
      <alignment horizontal="center"/>
    </xf>
    <xf numFmtId="169" fontId="7" fillId="0" borderId="0" xfId="1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9" fontId="3" fillId="0" borderId="3" xfId="0" applyNumberFormat="1" applyFont="1" applyBorder="1"/>
    <xf numFmtId="169" fontId="7" fillId="0" borderId="1" xfId="1" applyNumberFormat="1" applyFont="1" applyBorder="1" applyAlignment="1">
      <alignment horizontal="center"/>
    </xf>
    <xf numFmtId="166" fontId="0" fillId="0" borderId="3" xfId="2" applyNumberFormat="1" applyFon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9" fontId="6" fillId="0" borderId="3" xfId="1" applyNumberFormat="1" applyFont="1" applyBorder="1" applyAlignment="1">
      <alignment horizontal="center"/>
    </xf>
    <xf numFmtId="169" fontId="6" fillId="0" borderId="1" xfId="1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168" fontId="3" fillId="2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right"/>
    </xf>
    <xf numFmtId="169" fontId="6" fillId="0" borderId="0" xfId="1" applyNumberFormat="1" applyFont="1" applyFill="1" applyAlignment="1">
      <alignment horizontal="center"/>
    </xf>
    <xf numFmtId="169" fontId="6" fillId="0" borderId="1" xfId="1" applyNumberFormat="1" applyFont="1" applyFill="1" applyBorder="1" applyAlignment="1">
      <alignment horizontal="center"/>
    </xf>
    <xf numFmtId="169" fontId="7" fillId="0" borderId="0" xfId="1" applyNumberFormat="1" applyFont="1" applyFill="1" applyAlignment="1">
      <alignment horizontal="center"/>
    </xf>
    <xf numFmtId="0" fontId="0" fillId="0" borderId="0" xfId="0" applyAlignment="1">
      <alignment vertical="center"/>
    </xf>
    <xf numFmtId="43" fontId="0" fillId="0" borderId="0" xfId="0" applyNumberFormat="1"/>
    <xf numFmtId="170" fontId="0" fillId="0" borderId="3" xfId="1" applyNumberFormat="1" applyFont="1" applyBorder="1" applyAlignment="1">
      <alignment horizontal="center" vertical="center"/>
    </xf>
    <xf numFmtId="170" fontId="0" fillId="0" borderId="7" xfId="1" applyNumberFormat="1" applyFont="1" applyBorder="1" applyAlignment="1">
      <alignment horizontal="center" vertical="center"/>
    </xf>
    <xf numFmtId="170" fontId="0" fillId="0" borderId="11" xfId="1" applyNumberFormat="1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9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171" fontId="0" fillId="0" borderId="0" xfId="0" applyNumberFormat="1"/>
    <xf numFmtId="0" fontId="11" fillId="4" borderId="5" xfId="0" applyFont="1" applyFill="1" applyBorder="1" applyAlignment="1">
      <alignment horizontal="left" vertical="center"/>
    </xf>
    <xf numFmtId="0" fontId="0" fillId="0" borderId="13" xfId="0" applyBorder="1"/>
    <xf numFmtId="0" fontId="0" fillId="0" borderId="23" xfId="0" applyBorder="1"/>
    <xf numFmtId="0" fontId="14" fillId="0" borderId="0" xfId="0" applyFont="1"/>
    <xf numFmtId="168" fontId="14" fillId="0" borderId="15" xfId="0" applyNumberFormat="1" applyFont="1" applyBorder="1" applyAlignment="1">
      <alignment horizontal="center"/>
    </xf>
    <xf numFmtId="168" fontId="14" fillId="0" borderId="19" xfId="0" applyNumberFormat="1" applyFont="1" applyBorder="1" applyAlignment="1">
      <alignment horizontal="center"/>
    </xf>
    <xf numFmtId="168" fontId="14" fillId="0" borderId="19" xfId="0" applyNumberFormat="1" applyFont="1" applyBorder="1"/>
    <xf numFmtId="165" fontId="0" fillId="0" borderId="14" xfId="1" applyNumberFormat="1" applyFont="1" applyBorder="1" applyAlignment="1">
      <alignment horizontal="center"/>
    </xf>
    <xf numFmtId="165" fontId="0" fillId="0" borderId="18" xfId="1" applyNumberFormat="1" applyFont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14" fillId="5" borderId="17" xfId="0" applyFont="1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14" fillId="6" borderId="17" xfId="0" applyFont="1" applyFill="1" applyBorder="1" applyAlignment="1">
      <alignment horizontal="center"/>
    </xf>
    <xf numFmtId="165" fontId="0" fillId="0" borderId="18" xfId="1" applyNumberFormat="1" applyFont="1" applyBorder="1"/>
    <xf numFmtId="0" fontId="8" fillId="0" borderId="0" xfId="0" applyFont="1"/>
    <xf numFmtId="0" fontId="16" fillId="5" borderId="16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165" fontId="13" fillId="5" borderId="14" xfId="1" applyNumberFormat="1" applyFont="1" applyFill="1" applyBorder="1" applyAlignment="1">
      <alignment horizontal="center"/>
    </xf>
    <xf numFmtId="168" fontId="17" fillId="5" borderId="15" xfId="0" applyNumberFormat="1" applyFont="1" applyFill="1" applyBorder="1" applyAlignment="1">
      <alignment horizontal="center"/>
    </xf>
    <xf numFmtId="165" fontId="13" fillId="5" borderId="18" xfId="1" applyNumberFormat="1" applyFont="1" applyFill="1" applyBorder="1" applyAlignment="1">
      <alignment horizontal="center"/>
    </xf>
    <xf numFmtId="168" fontId="17" fillId="5" borderId="19" xfId="0" applyNumberFormat="1" applyFont="1" applyFill="1" applyBorder="1" applyAlignment="1">
      <alignment horizontal="center"/>
    </xf>
    <xf numFmtId="0" fontId="16" fillId="6" borderId="16" xfId="0" applyFont="1" applyFill="1" applyBorder="1" applyAlignment="1">
      <alignment horizontal="center"/>
    </xf>
    <xf numFmtId="0" fontId="17" fillId="6" borderId="17" xfId="0" applyFont="1" applyFill="1" applyBorder="1" applyAlignment="1">
      <alignment horizontal="center"/>
    </xf>
    <xf numFmtId="165" fontId="13" fillId="6" borderId="14" xfId="1" applyNumberFormat="1" applyFont="1" applyFill="1" applyBorder="1" applyAlignment="1">
      <alignment horizontal="center"/>
    </xf>
    <xf numFmtId="168" fontId="17" fillId="6" borderId="15" xfId="0" applyNumberFormat="1" applyFont="1" applyFill="1" applyBorder="1" applyAlignment="1">
      <alignment horizontal="center"/>
    </xf>
    <xf numFmtId="165" fontId="13" fillId="6" borderId="18" xfId="1" applyNumberFormat="1" applyFont="1" applyFill="1" applyBorder="1" applyAlignment="1">
      <alignment horizontal="center"/>
    </xf>
    <xf numFmtId="168" fontId="17" fillId="6" borderId="19" xfId="0" applyNumberFormat="1" applyFont="1" applyFill="1" applyBorder="1" applyAlignment="1">
      <alignment horizontal="center"/>
    </xf>
    <xf numFmtId="0" fontId="3" fillId="5" borderId="31" xfId="0" applyFont="1" applyFill="1" applyBorder="1" applyAlignment="1">
      <alignment horizontal="center"/>
    </xf>
    <xf numFmtId="0" fontId="14" fillId="5" borderId="32" xfId="0" applyFont="1" applyFill="1" applyBorder="1" applyAlignment="1">
      <alignment horizontal="center"/>
    </xf>
    <xf numFmtId="168" fontId="14" fillId="0" borderId="31" xfId="0" applyNumberFormat="1" applyFont="1" applyBorder="1" applyAlignment="1">
      <alignment horizontal="center"/>
    </xf>
    <xf numFmtId="168" fontId="14" fillId="0" borderId="22" xfId="0" applyNumberFormat="1" applyFont="1" applyBorder="1" applyAlignment="1">
      <alignment horizontal="center"/>
    </xf>
    <xf numFmtId="168" fontId="14" fillId="0" borderId="22" xfId="0" applyNumberFormat="1" applyFont="1" applyBorder="1"/>
    <xf numFmtId="168" fontId="14" fillId="0" borderId="26" xfId="0" applyNumberFormat="1" applyFont="1" applyBorder="1"/>
    <xf numFmtId="0" fontId="3" fillId="6" borderId="31" xfId="0" applyFont="1" applyFill="1" applyBorder="1" applyAlignment="1">
      <alignment horizontal="center"/>
    </xf>
    <xf numFmtId="0" fontId="14" fillId="6" borderId="32" xfId="0" applyFont="1" applyFill="1" applyBorder="1" applyAlignment="1">
      <alignment horizontal="center"/>
    </xf>
    <xf numFmtId="165" fontId="13" fillId="6" borderId="18" xfId="1" applyNumberFormat="1" applyFont="1" applyFill="1" applyBorder="1"/>
    <xf numFmtId="165" fontId="13" fillId="5" borderId="18" xfId="1" applyNumberFormat="1" applyFont="1" applyFill="1" applyBorder="1"/>
    <xf numFmtId="9" fontId="14" fillId="0" borderId="0" xfId="2" applyFont="1"/>
    <xf numFmtId="9" fontId="19" fillId="0" borderId="0" xfId="2" applyFont="1"/>
    <xf numFmtId="0" fontId="14" fillId="0" borderId="0" xfId="0" applyFont="1" applyAlignment="1">
      <alignment horizontal="right"/>
    </xf>
    <xf numFmtId="166" fontId="14" fillId="0" borderId="0" xfId="2" applyNumberFormat="1" applyFont="1"/>
    <xf numFmtId="170" fontId="0" fillId="0" borderId="0" xfId="0" applyNumberFormat="1"/>
    <xf numFmtId="168" fontId="0" fillId="0" borderId="0" xfId="0" applyNumberFormat="1"/>
    <xf numFmtId="168" fontId="0" fillId="0" borderId="0" xfId="0" applyNumberFormat="1" applyAlignment="1">
      <alignment horizontal="right"/>
    </xf>
    <xf numFmtId="168" fontId="0" fillId="0" borderId="0" xfId="2" applyNumberFormat="1" applyFont="1"/>
    <xf numFmtId="168" fontId="0" fillId="0" borderId="0" xfId="1" applyNumberFormat="1" applyFont="1" applyAlignment="1">
      <alignment horizontal="right"/>
    </xf>
    <xf numFmtId="168" fontId="0" fillId="0" borderId="0" xfId="1" applyNumberFormat="1" applyFont="1"/>
    <xf numFmtId="165" fontId="0" fillId="0" borderId="0" xfId="0" applyNumberFormat="1"/>
    <xf numFmtId="170" fontId="14" fillId="0" borderId="0" xfId="0" applyNumberFormat="1" applyFont="1" applyAlignment="1">
      <alignment horizontal="right"/>
    </xf>
    <xf numFmtId="4" fontId="14" fillId="0" borderId="0" xfId="0" applyNumberFormat="1" applyFont="1"/>
    <xf numFmtId="165" fontId="0" fillId="0" borderId="18" xfId="1" applyNumberFormat="1" applyFont="1" applyFill="1" applyBorder="1" applyAlignment="1">
      <alignment horizontal="center"/>
    </xf>
    <xf numFmtId="165" fontId="3" fillId="6" borderId="20" xfId="1" applyNumberFormat="1" applyFont="1" applyFill="1" applyBorder="1"/>
    <xf numFmtId="168" fontId="14" fillId="6" borderId="21" xfId="0" applyNumberFormat="1" applyFont="1" applyFill="1" applyBorder="1"/>
    <xf numFmtId="168" fontId="14" fillId="6" borderId="26" xfId="0" applyNumberFormat="1" applyFont="1" applyFill="1" applyBorder="1"/>
    <xf numFmtId="170" fontId="0" fillId="0" borderId="0" xfId="0" applyNumberFormat="1" applyAlignment="1">
      <alignment horizontal="center"/>
    </xf>
    <xf numFmtId="9" fontId="3" fillId="0" borderId="0" xfId="2" applyFont="1" applyAlignment="1">
      <alignment horizontal="center"/>
    </xf>
    <xf numFmtId="9" fontId="0" fillId="0" borderId="2" xfId="2" applyFont="1" applyBorder="1" applyAlignment="1">
      <alignment horizontal="center"/>
    </xf>
    <xf numFmtId="9" fontId="3" fillId="0" borderId="2" xfId="2" applyFont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0" borderId="3" xfId="2" applyFont="1" applyBorder="1" applyAlignment="1">
      <alignment horizontal="center"/>
    </xf>
    <xf numFmtId="10" fontId="0" fillId="0" borderId="0" xfId="2" applyNumberFormat="1" applyFont="1"/>
    <xf numFmtId="3" fontId="14" fillId="0" borderId="0" xfId="0" applyNumberFormat="1" applyFont="1"/>
    <xf numFmtId="171" fontId="14" fillId="0" borderId="0" xfId="0" applyNumberFormat="1" applyFont="1"/>
    <xf numFmtId="0" fontId="21" fillId="0" borderId="34" xfId="0" applyFont="1" applyBorder="1" applyAlignment="1">
      <alignment horizontal="center"/>
    </xf>
    <xf numFmtId="3" fontId="21" fillId="0" borderId="34" xfId="0" applyNumberFormat="1" applyFont="1" applyBorder="1" applyAlignment="1">
      <alignment horizontal="center"/>
    </xf>
    <xf numFmtId="3" fontId="21" fillId="8" borderId="34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9" borderId="34" xfId="0" applyFont="1" applyFill="1" applyBorder="1" applyAlignment="1">
      <alignment horizontal="left"/>
    </xf>
    <xf numFmtId="3" fontId="22" fillId="9" borderId="34" xfId="0" applyNumberFormat="1" applyFont="1" applyFill="1" applyBorder="1" applyAlignment="1">
      <alignment horizontal="center"/>
    </xf>
    <xf numFmtId="3" fontId="21" fillId="9" borderId="34" xfId="0" applyNumberFormat="1" applyFont="1" applyFill="1" applyBorder="1" applyAlignment="1">
      <alignment horizontal="center"/>
    </xf>
    <xf numFmtId="0" fontId="24" fillId="0" borderId="34" xfId="0" applyFont="1" applyBorder="1" applyAlignment="1">
      <alignment horizontal="center"/>
    </xf>
    <xf numFmtId="0" fontId="25" fillId="0" borderId="34" xfId="0" applyFont="1" applyBorder="1" applyAlignment="1">
      <alignment horizontal="right"/>
    </xf>
    <xf numFmtId="3" fontId="26" fillId="0" borderId="34" xfId="0" applyNumberFormat="1" applyFont="1" applyBorder="1" applyAlignment="1">
      <alignment horizontal="right"/>
    </xf>
    <xf numFmtId="3" fontId="27" fillId="8" borderId="34" xfId="0" applyNumberFormat="1" applyFont="1" applyFill="1" applyBorder="1" applyAlignment="1">
      <alignment horizontal="right"/>
    </xf>
    <xf numFmtId="0" fontId="28" fillId="0" borderId="34" xfId="0" applyFont="1" applyBorder="1" applyAlignment="1">
      <alignment horizontal="center"/>
    </xf>
    <xf numFmtId="0" fontId="22" fillId="0" borderId="34" xfId="0" applyFont="1" applyBorder="1" applyAlignment="1">
      <alignment horizontal="center"/>
    </xf>
    <xf numFmtId="0" fontId="24" fillId="10" borderId="34" xfId="0" applyFont="1" applyFill="1" applyBorder="1" applyAlignment="1">
      <alignment horizontal="center"/>
    </xf>
    <xf numFmtId="0" fontId="23" fillId="10" borderId="34" xfId="0" applyFont="1" applyFill="1" applyBorder="1" applyAlignment="1">
      <alignment horizontal="left"/>
    </xf>
    <xf numFmtId="3" fontId="22" fillId="10" borderId="34" xfId="0" applyNumberFormat="1" applyFont="1" applyFill="1" applyBorder="1" applyAlignment="1">
      <alignment horizontal="center"/>
    </xf>
    <xf numFmtId="3" fontId="21" fillId="10" borderId="34" xfId="0" applyNumberFormat="1" applyFont="1" applyFill="1" applyBorder="1" applyAlignment="1">
      <alignment horizontal="center"/>
    </xf>
    <xf numFmtId="0" fontId="29" fillId="9" borderId="34" xfId="0" applyFont="1" applyFill="1" applyBorder="1" applyAlignment="1">
      <alignment horizontal="center"/>
    </xf>
    <xf numFmtId="0" fontId="29" fillId="9" borderId="34" xfId="0" applyFont="1" applyFill="1" applyBorder="1" applyAlignment="1">
      <alignment horizontal="left"/>
    </xf>
    <xf numFmtId="3" fontId="29" fillId="9" borderId="34" xfId="0" applyNumberFormat="1" applyFont="1" applyFill="1" applyBorder="1" applyAlignment="1">
      <alignment horizontal="right"/>
    </xf>
    <xf numFmtId="0" fontId="30" fillId="9" borderId="34" xfId="0" applyFont="1" applyFill="1" applyBorder="1" applyAlignment="1">
      <alignment horizontal="center"/>
    </xf>
    <xf numFmtId="0" fontId="30" fillId="9" borderId="34" xfId="0" applyFont="1" applyFill="1" applyBorder="1" applyAlignment="1">
      <alignment horizontal="left"/>
    </xf>
    <xf numFmtId="3" fontId="30" fillId="9" borderId="34" xfId="0" applyNumberFormat="1" applyFont="1" applyFill="1" applyBorder="1" applyAlignment="1">
      <alignment horizontal="right"/>
    </xf>
    <xf numFmtId="0" fontId="21" fillId="11" borderId="34" xfId="0" applyFont="1" applyFill="1" applyBorder="1" applyAlignment="1">
      <alignment horizontal="center"/>
    </xf>
    <xf numFmtId="0" fontId="21" fillId="11" borderId="34" xfId="0" applyFont="1" applyFill="1" applyBorder="1" applyAlignment="1">
      <alignment horizontal="left"/>
    </xf>
    <xf numFmtId="3" fontId="21" fillId="11" borderId="34" xfId="0" applyNumberFormat="1" applyFont="1" applyFill="1" applyBorder="1" applyAlignment="1">
      <alignment horizontal="right"/>
    </xf>
    <xf numFmtId="0" fontId="22" fillId="0" borderId="0" xfId="0" applyFont="1" applyAlignment="1">
      <alignment horizontal="left"/>
    </xf>
    <xf numFmtId="3" fontId="22" fillId="0" borderId="0" xfId="0" applyNumberFormat="1" applyFont="1" applyAlignment="1">
      <alignment horizontal="right"/>
    </xf>
    <xf numFmtId="3" fontId="22" fillId="0" borderId="0" xfId="0" applyNumberFormat="1" applyFont="1" applyAlignment="1">
      <alignment horizontal="left"/>
    </xf>
    <xf numFmtId="3" fontId="21" fillId="0" borderId="0" xfId="0" applyNumberFormat="1" applyFont="1" applyAlignment="1">
      <alignment horizontal="left"/>
    </xf>
    <xf numFmtId="0" fontId="3" fillId="12" borderId="8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168" fontId="14" fillId="0" borderId="35" xfId="0" applyNumberFormat="1" applyFont="1" applyBorder="1" applyAlignment="1">
      <alignment horizontal="center"/>
    </xf>
    <xf numFmtId="165" fontId="0" fillId="0" borderId="36" xfId="1" applyNumberFormat="1" applyFont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165" fontId="13" fillId="5" borderId="36" xfId="1" applyNumberFormat="1" applyFont="1" applyFill="1" applyBorder="1" applyAlignment="1">
      <alignment horizontal="center"/>
    </xf>
    <xf numFmtId="168" fontId="17" fillId="5" borderId="35" xfId="0" applyNumberFormat="1" applyFont="1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14" fillId="5" borderId="19" xfId="0" applyFont="1" applyFill="1" applyBorder="1" applyAlignment="1">
      <alignment horizontal="center"/>
    </xf>
    <xf numFmtId="0" fontId="14" fillId="5" borderId="22" xfId="0" applyFont="1" applyFill="1" applyBorder="1" applyAlignment="1">
      <alignment horizontal="center"/>
    </xf>
    <xf numFmtId="0" fontId="16" fillId="5" borderId="18" xfId="0" applyFont="1" applyFill="1" applyBorder="1" applyAlignment="1">
      <alignment horizontal="center"/>
    </xf>
    <xf numFmtId="0" fontId="17" fillId="5" borderId="19" xfId="0" applyFont="1" applyFill="1" applyBorder="1" applyAlignment="1">
      <alignment horizontal="center"/>
    </xf>
    <xf numFmtId="165" fontId="13" fillId="6" borderId="36" xfId="1" applyNumberFormat="1" applyFont="1" applyFill="1" applyBorder="1" applyAlignment="1">
      <alignment horizontal="center"/>
    </xf>
    <xf numFmtId="168" fontId="17" fillId="6" borderId="35" xfId="0" applyNumberFormat="1" applyFont="1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14" fillId="6" borderId="19" xfId="0" applyFont="1" applyFill="1" applyBorder="1" applyAlignment="1">
      <alignment horizontal="center"/>
    </xf>
    <xf numFmtId="0" fontId="14" fillId="6" borderId="22" xfId="0" applyFont="1" applyFill="1" applyBorder="1" applyAlignment="1">
      <alignment horizontal="center"/>
    </xf>
    <xf numFmtId="0" fontId="16" fillId="6" borderId="18" xfId="0" applyFont="1" applyFill="1" applyBorder="1" applyAlignment="1">
      <alignment horizontal="center"/>
    </xf>
    <xf numFmtId="0" fontId="17" fillId="6" borderId="19" xfId="0" applyFont="1" applyFill="1" applyBorder="1" applyAlignment="1">
      <alignment horizontal="center"/>
    </xf>
    <xf numFmtId="168" fontId="14" fillId="0" borderId="0" xfId="0" applyNumberFormat="1" applyFont="1"/>
    <xf numFmtId="168" fontId="14" fillId="0" borderId="0" xfId="0" applyNumberFormat="1" applyFont="1" applyAlignment="1">
      <alignment horizontal="right"/>
    </xf>
    <xf numFmtId="9" fontId="10" fillId="0" borderId="0" xfId="2" applyFont="1" applyAlignment="1">
      <alignment horizontal="center"/>
    </xf>
    <xf numFmtId="0" fontId="3" fillId="12" borderId="9" xfId="0" applyFont="1" applyFill="1" applyBorder="1" applyAlignment="1">
      <alignment horizontal="center" vertical="center"/>
    </xf>
    <xf numFmtId="0" fontId="6" fillId="0" borderId="0" xfId="0" applyFont="1"/>
    <xf numFmtId="168" fontId="0" fillId="0" borderId="2" xfId="1" applyNumberFormat="1" applyFont="1" applyBorder="1" applyAlignment="1">
      <alignment horizontal="center" vertical="center"/>
    </xf>
    <xf numFmtId="168" fontId="0" fillId="0" borderId="6" xfId="1" applyNumberFormat="1" applyFont="1" applyBorder="1" applyAlignment="1">
      <alignment horizontal="center" vertical="center"/>
    </xf>
    <xf numFmtId="168" fontId="0" fillId="0" borderId="10" xfId="1" applyNumberFormat="1" applyFont="1" applyBorder="1" applyAlignment="1">
      <alignment horizontal="center" vertical="center"/>
    </xf>
    <xf numFmtId="168" fontId="0" fillId="0" borderId="3" xfId="1" applyNumberFormat="1" applyFont="1" applyBorder="1" applyAlignment="1">
      <alignment horizontal="center" vertical="center"/>
    </xf>
    <xf numFmtId="168" fontId="0" fillId="0" borderId="7" xfId="1" applyNumberFormat="1" applyFont="1" applyBorder="1" applyAlignment="1">
      <alignment horizontal="center" vertical="center"/>
    </xf>
    <xf numFmtId="168" fontId="0" fillId="0" borderId="11" xfId="1" applyNumberFormat="1" applyFont="1" applyBorder="1" applyAlignment="1">
      <alignment horizontal="center" vertical="center"/>
    </xf>
    <xf numFmtId="168" fontId="3" fillId="0" borderId="2" xfId="1" applyNumberFormat="1" applyFont="1" applyBorder="1" applyAlignment="1">
      <alignment horizontal="center" vertical="center"/>
    </xf>
    <xf numFmtId="168" fontId="3" fillId="0" borderId="6" xfId="1" applyNumberFormat="1" applyFont="1" applyBorder="1" applyAlignment="1">
      <alignment horizontal="center" vertical="center"/>
    </xf>
    <xf numFmtId="168" fontId="3" fillId="0" borderId="10" xfId="1" applyNumberFormat="1" applyFont="1" applyBorder="1" applyAlignment="1">
      <alignment horizontal="center" vertical="center"/>
    </xf>
    <xf numFmtId="0" fontId="32" fillId="14" borderId="37" xfId="0" applyFont="1" applyFill="1" applyBorder="1" applyAlignment="1">
      <alignment horizontal="left"/>
    </xf>
    <xf numFmtId="0" fontId="33" fillId="14" borderId="32" xfId="0" applyFont="1" applyFill="1" applyBorder="1" applyAlignment="1">
      <alignment horizontal="left"/>
    </xf>
    <xf numFmtId="165" fontId="33" fillId="14" borderId="37" xfId="1" applyNumberFormat="1" applyFont="1" applyFill="1" applyBorder="1"/>
    <xf numFmtId="168" fontId="32" fillId="14" borderId="38" xfId="0" applyNumberFormat="1" applyFont="1" applyFill="1" applyBorder="1"/>
    <xf numFmtId="168" fontId="34" fillId="14" borderId="32" xfId="0" applyNumberFormat="1" applyFont="1" applyFill="1" applyBorder="1"/>
    <xf numFmtId="168" fontId="32" fillId="14" borderId="38" xfId="0" applyNumberFormat="1" applyFont="1" applyFill="1" applyBorder="1" applyAlignment="1">
      <alignment horizontal="center"/>
    </xf>
    <xf numFmtId="166" fontId="3" fillId="13" borderId="4" xfId="2" applyNumberFormat="1" applyFont="1" applyFill="1" applyBorder="1" applyAlignment="1">
      <alignment horizontal="right"/>
    </xf>
    <xf numFmtId="166" fontId="3" fillId="13" borderId="3" xfId="2" applyNumberFormat="1" applyFont="1" applyFill="1" applyBorder="1" applyAlignment="1">
      <alignment horizontal="right"/>
    </xf>
    <xf numFmtId="166" fontId="3" fillId="13" borderId="12" xfId="2" applyNumberFormat="1" applyFont="1" applyFill="1" applyBorder="1" applyAlignment="1">
      <alignment horizontal="right"/>
    </xf>
    <xf numFmtId="166" fontId="3" fillId="13" borderId="13" xfId="2" applyNumberFormat="1" applyFont="1" applyFill="1" applyBorder="1" applyAlignment="1">
      <alignment horizontal="right"/>
    </xf>
    <xf numFmtId="9" fontId="0" fillId="0" borderId="0" xfId="2" applyFont="1"/>
    <xf numFmtId="166" fontId="0" fillId="0" borderId="0" xfId="2" applyNumberFormat="1" applyFont="1"/>
    <xf numFmtId="0" fontId="35" fillId="13" borderId="7" xfId="0" applyFont="1" applyFill="1" applyBorder="1"/>
    <xf numFmtId="0" fontId="12" fillId="3" borderId="7" xfId="0" applyFont="1" applyFill="1" applyBorder="1"/>
    <xf numFmtId="166" fontId="3" fillId="3" borderId="3" xfId="2" applyNumberFormat="1" applyFont="1" applyFill="1" applyBorder="1" applyAlignment="1">
      <alignment horizontal="right"/>
    </xf>
    <xf numFmtId="166" fontId="3" fillId="3" borderId="4" xfId="2" applyNumberFormat="1" applyFont="1" applyFill="1" applyBorder="1" applyAlignment="1">
      <alignment horizontal="right"/>
    </xf>
    <xf numFmtId="166" fontId="3" fillId="3" borderId="12" xfId="2" applyNumberFormat="1" applyFont="1" applyFill="1" applyBorder="1" applyAlignment="1">
      <alignment horizontal="right"/>
    </xf>
    <xf numFmtId="166" fontId="3" fillId="3" borderId="13" xfId="2" applyNumberFormat="1" applyFont="1" applyFill="1" applyBorder="1" applyAlignment="1">
      <alignment horizontal="right"/>
    </xf>
    <xf numFmtId="9" fontId="3" fillId="3" borderId="4" xfId="2" applyFont="1" applyFill="1" applyBorder="1" applyAlignment="1">
      <alignment horizontal="right"/>
    </xf>
    <xf numFmtId="166" fontId="3" fillId="15" borderId="3" xfId="2" applyNumberFormat="1" applyFont="1" applyFill="1" applyBorder="1" applyAlignment="1">
      <alignment horizontal="right"/>
    </xf>
    <xf numFmtId="166" fontId="3" fillId="15" borderId="4" xfId="2" applyNumberFormat="1" applyFont="1" applyFill="1" applyBorder="1" applyAlignment="1">
      <alignment horizontal="right"/>
    </xf>
    <xf numFmtId="166" fontId="3" fillId="15" borderId="12" xfId="2" applyNumberFormat="1" applyFont="1" applyFill="1" applyBorder="1" applyAlignment="1">
      <alignment horizontal="right"/>
    </xf>
    <xf numFmtId="166" fontId="3" fillId="15" borderId="13" xfId="2" applyNumberFormat="1" applyFont="1" applyFill="1" applyBorder="1" applyAlignment="1">
      <alignment horizontal="right"/>
    </xf>
    <xf numFmtId="0" fontId="37" fillId="15" borderId="7" xfId="0" applyFont="1" applyFill="1" applyBorder="1"/>
    <xf numFmtId="166" fontId="10" fillId="0" borderId="0" xfId="2" applyNumberFormat="1" applyFont="1"/>
    <xf numFmtId="2" fontId="0" fillId="0" borderId="0" xfId="2" applyNumberFormat="1" applyFont="1" applyAlignment="1">
      <alignment horizontal="center"/>
    </xf>
    <xf numFmtId="0" fontId="16" fillId="16" borderId="16" xfId="0" applyFont="1" applyFill="1" applyBorder="1" applyAlignment="1">
      <alignment horizontal="center"/>
    </xf>
    <xf numFmtId="0" fontId="17" fillId="16" borderId="17" xfId="0" applyFont="1" applyFill="1" applyBorder="1" applyAlignment="1">
      <alignment horizontal="center"/>
    </xf>
    <xf numFmtId="165" fontId="13" fillId="16" borderId="14" xfId="1" applyNumberFormat="1" applyFont="1" applyFill="1" applyBorder="1" applyAlignment="1">
      <alignment horizontal="center"/>
    </xf>
    <xf numFmtId="168" fontId="17" fillId="16" borderId="15" xfId="0" applyNumberFormat="1" applyFont="1" applyFill="1" applyBorder="1" applyAlignment="1">
      <alignment horizontal="center"/>
    </xf>
    <xf numFmtId="165" fontId="13" fillId="16" borderId="18" xfId="1" applyNumberFormat="1" applyFont="1" applyFill="1" applyBorder="1" applyAlignment="1">
      <alignment horizontal="center"/>
    </xf>
    <xf numFmtId="168" fontId="17" fillId="16" borderId="19" xfId="0" applyNumberFormat="1" applyFont="1" applyFill="1" applyBorder="1" applyAlignment="1">
      <alignment horizontal="center"/>
    </xf>
    <xf numFmtId="165" fontId="13" fillId="16" borderId="18" xfId="1" applyNumberFormat="1" applyFont="1" applyFill="1" applyBorder="1"/>
    <xf numFmtId="0" fontId="0" fillId="16" borderId="16" xfId="0" applyFill="1" applyBorder="1" applyAlignment="1">
      <alignment horizontal="center"/>
    </xf>
    <xf numFmtId="0" fontId="14" fillId="16" borderId="17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168" fontId="1" fillId="0" borderId="0" xfId="1" applyNumberFormat="1" applyFont="1" applyAlignment="1">
      <alignment horizontal="right"/>
    </xf>
    <xf numFmtId="168" fontId="1" fillId="0" borderId="1" xfId="1" applyNumberFormat="1" applyFont="1" applyBorder="1" applyAlignment="1">
      <alignment horizontal="right"/>
    </xf>
    <xf numFmtId="168" fontId="20" fillId="0" borderId="1" xfId="1" applyNumberFormat="1" applyFont="1" applyBorder="1" applyAlignment="1">
      <alignment horizontal="right"/>
    </xf>
    <xf numFmtId="168" fontId="1" fillId="0" borderId="0" xfId="1" applyNumberFormat="1" applyFont="1" applyBorder="1" applyAlignment="1">
      <alignment horizontal="right"/>
    </xf>
    <xf numFmtId="168" fontId="20" fillId="0" borderId="0" xfId="1" applyNumberFormat="1" applyFont="1" applyBorder="1" applyAlignment="1">
      <alignment horizontal="right"/>
    </xf>
    <xf numFmtId="0" fontId="0" fillId="0" borderId="39" xfId="0" applyBorder="1" applyAlignment="1">
      <alignment vertical="center"/>
    </xf>
    <xf numFmtId="0" fontId="0" fillId="0" borderId="8" xfId="0" applyBorder="1"/>
    <xf numFmtId="165" fontId="0" fillId="0" borderId="20" xfId="1" applyNumberFormat="1" applyFont="1" applyBorder="1" applyAlignment="1">
      <alignment horizontal="center"/>
    </xf>
    <xf numFmtId="168" fontId="14" fillId="0" borderId="21" xfId="0" applyNumberFormat="1" applyFont="1" applyBorder="1" applyAlignment="1">
      <alignment horizontal="center"/>
    </xf>
    <xf numFmtId="168" fontId="14" fillId="0" borderId="26" xfId="0" applyNumberFormat="1" applyFont="1" applyBorder="1" applyAlignment="1">
      <alignment horizontal="center"/>
    </xf>
    <xf numFmtId="165" fontId="13" fillId="5" borderId="20" xfId="1" applyNumberFormat="1" applyFont="1" applyFill="1" applyBorder="1" applyAlignment="1">
      <alignment horizontal="center"/>
    </xf>
    <xf numFmtId="168" fontId="17" fillId="5" borderId="21" xfId="0" applyNumberFormat="1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right"/>
    </xf>
    <xf numFmtId="166" fontId="3" fillId="0" borderId="2" xfId="2" applyNumberFormat="1" applyFont="1" applyBorder="1" applyAlignment="1">
      <alignment horizontal="right"/>
    </xf>
    <xf numFmtId="43" fontId="3" fillId="0" borderId="3" xfId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15" borderId="22" xfId="0" applyFont="1" applyFill="1" applyBorder="1"/>
    <xf numFmtId="0" fontId="3" fillId="15" borderId="22" xfId="0" applyFont="1" applyFill="1" applyBorder="1" applyAlignment="1">
      <alignment horizontal="right"/>
    </xf>
    <xf numFmtId="0" fontId="19" fillId="15" borderId="22" xfId="0" applyFont="1" applyFill="1" applyBorder="1" applyAlignment="1">
      <alignment horizontal="right"/>
    </xf>
    <xf numFmtId="168" fontId="3" fillId="0" borderId="1" xfId="0" applyNumberFormat="1" applyFont="1" applyBorder="1" applyAlignment="1">
      <alignment horizontal="right"/>
    </xf>
    <xf numFmtId="168" fontId="14" fillId="0" borderId="1" xfId="1" applyNumberFormat="1" applyFont="1" applyBorder="1" applyAlignment="1">
      <alignment horizontal="center"/>
    </xf>
    <xf numFmtId="0" fontId="0" fillId="17" borderId="16" xfId="0" applyFill="1" applyBorder="1" applyAlignment="1">
      <alignment horizontal="center"/>
    </xf>
    <xf numFmtId="0" fontId="14" fillId="17" borderId="17" xfId="0" applyFont="1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14" fillId="5" borderId="21" xfId="0" applyFont="1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14" fillId="6" borderId="21" xfId="0" applyFont="1" applyFill="1" applyBorder="1" applyAlignment="1">
      <alignment horizontal="center"/>
    </xf>
    <xf numFmtId="0" fontId="16" fillId="6" borderId="20" xfId="0" applyFont="1" applyFill="1" applyBorder="1" applyAlignment="1">
      <alignment horizontal="center"/>
    </xf>
    <xf numFmtId="0" fontId="17" fillId="6" borderId="21" xfId="0" applyFont="1" applyFill="1" applyBorder="1" applyAlignment="1">
      <alignment horizontal="center"/>
    </xf>
    <xf numFmtId="0" fontId="16" fillId="5" borderId="20" xfId="0" applyFont="1" applyFill="1" applyBorder="1" applyAlignment="1">
      <alignment horizontal="center"/>
    </xf>
    <xf numFmtId="0" fontId="17" fillId="5" borderId="21" xfId="0" applyFont="1" applyFill="1" applyBorder="1" applyAlignment="1">
      <alignment horizontal="center"/>
    </xf>
    <xf numFmtId="4" fontId="0" fillId="0" borderId="0" xfId="0" applyNumberFormat="1" applyAlignment="1">
      <alignment vertical="center"/>
    </xf>
    <xf numFmtId="9" fontId="39" fillId="0" borderId="0" xfId="0" applyNumberFormat="1" applyFont="1" applyAlignment="1">
      <alignment vertical="center" wrapText="1"/>
    </xf>
    <xf numFmtId="0" fontId="39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4" fontId="41" fillId="0" borderId="0" xfId="0" applyNumberFormat="1" applyFont="1" applyAlignment="1">
      <alignment horizontal="right" vertical="center"/>
    </xf>
    <xf numFmtId="3" fontId="41" fillId="0" borderId="0" xfId="0" applyNumberFormat="1" applyFont="1" applyAlignment="1">
      <alignment horizontal="right" vertical="center" wrapText="1"/>
    </xf>
    <xf numFmtId="3" fontId="0" fillId="0" borderId="0" xfId="0" applyNumberFormat="1" applyAlignment="1">
      <alignment vertical="center"/>
    </xf>
    <xf numFmtId="0" fontId="16" fillId="5" borderId="40" xfId="0" applyFont="1" applyFill="1" applyBorder="1" applyAlignment="1">
      <alignment horizontal="center"/>
    </xf>
    <xf numFmtId="0" fontId="17" fillId="5" borderId="41" xfId="0" applyFont="1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14" fillId="5" borderId="35" xfId="0" applyFont="1" applyFill="1" applyBorder="1" applyAlignment="1">
      <alignment horizontal="center"/>
    </xf>
    <xf numFmtId="0" fontId="16" fillId="6" borderId="42" xfId="0" applyFont="1" applyFill="1" applyBorder="1" applyAlignment="1">
      <alignment horizontal="center"/>
    </xf>
    <xf numFmtId="0" fontId="17" fillId="6" borderId="43" xfId="0" applyFont="1" applyFill="1" applyBorder="1" applyAlignment="1">
      <alignment horizontal="center"/>
    </xf>
    <xf numFmtId="0" fontId="0" fillId="6" borderId="42" xfId="0" applyFill="1" applyBorder="1" applyAlignment="1">
      <alignment horizontal="center"/>
    </xf>
    <xf numFmtId="0" fontId="14" fillId="6" borderId="43" xfId="0" applyFont="1" applyFill="1" applyBorder="1" applyAlignment="1">
      <alignment horizontal="center"/>
    </xf>
    <xf numFmtId="165" fontId="3" fillId="0" borderId="0" xfId="0" applyNumberFormat="1" applyFont="1"/>
    <xf numFmtId="168" fontId="14" fillId="0" borderId="3" xfId="0" applyNumberFormat="1" applyFont="1" applyBorder="1" applyAlignment="1">
      <alignment horizontal="center"/>
    </xf>
    <xf numFmtId="168" fontId="14" fillId="0" borderId="13" xfId="0" applyNumberFormat="1" applyFont="1" applyBorder="1" applyAlignment="1">
      <alignment horizontal="center"/>
    </xf>
    <xf numFmtId="168" fontId="14" fillId="0" borderId="13" xfId="0" applyNumberFormat="1" applyFont="1" applyBorder="1"/>
    <xf numFmtId="0" fontId="14" fillId="5" borderId="13" xfId="0" applyFont="1" applyFill="1" applyBorder="1" applyAlignment="1">
      <alignment horizontal="center"/>
    </xf>
    <xf numFmtId="165" fontId="13" fillId="5" borderId="19" xfId="1" applyNumberFormat="1" applyFont="1" applyFill="1" applyBorder="1" applyAlignment="1">
      <alignment horizontal="center"/>
    </xf>
    <xf numFmtId="167" fontId="0" fillId="0" borderId="0" xfId="0" applyNumberFormat="1"/>
    <xf numFmtId="172" fontId="14" fillId="0" borderId="0" xfId="0" applyNumberFormat="1" applyFont="1"/>
    <xf numFmtId="0" fontId="38" fillId="0" borderId="0" xfId="0" applyFont="1" applyAlignment="1">
      <alignment horizontal="center" wrapText="1"/>
    </xf>
    <xf numFmtId="0" fontId="38" fillId="0" borderId="1" xfId="0" applyFont="1" applyBorder="1" applyAlignment="1">
      <alignment horizontal="center" wrapText="1"/>
    </xf>
    <xf numFmtId="0" fontId="3" fillId="6" borderId="1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16" fillId="6" borderId="14" xfId="0" applyFont="1" applyFill="1" applyBorder="1" applyAlignment="1">
      <alignment horizontal="center"/>
    </xf>
    <xf numFmtId="0" fontId="16" fillId="6" borderId="15" xfId="0" applyFont="1" applyFill="1" applyBorder="1" applyAlignment="1">
      <alignment horizontal="center"/>
    </xf>
    <xf numFmtId="0" fontId="8" fillId="0" borderId="24" xfId="0" applyFont="1" applyBorder="1"/>
    <xf numFmtId="0" fontId="8" fillId="0" borderId="22" xfId="0" applyFont="1" applyBorder="1"/>
    <xf numFmtId="0" fontId="3" fillId="6" borderId="25" xfId="0" applyFont="1" applyFill="1" applyBorder="1" applyAlignment="1">
      <alignment horizontal="left"/>
    </xf>
    <xf numFmtId="0" fontId="3" fillId="6" borderId="26" xfId="0" applyFont="1" applyFill="1" applyBorder="1" applyAlignment="1">
      <alignment horizontal="left"/>
    </xf>
    <xf numFmtId="0" fontId="14" fillId="0" borderId="13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170" fontId="0" fillId="0" borderId="13" xfId="0" applyNumberFormat="1" applyBorder="1" applyAlignment="1">
      <alignment horizontal="right"/>
    </xf>
    <xf numFmtId="170" fontId="0" fillId="0" borderId="12" xfId="0" applyNumberFormat="1" applyBorder="1" applyAlignment="1">
      <alignment horizontal="right"/>
    </xf>
    <xf numFmtId="170" fontId="0" fillId="0" borderId="13" xfId="0" applyNumberFormat="1" applyBorder="1" applyAlignment="1">
      <alignment horizontal="center"/>
    </xf>
    <xf numFmtId="170" fontId="0" fillId="0" borderId="12" xfId="0" applyNumberFormat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15" fillId="6" borderId="28" xfId="0" applyFont="1" applyFill="1" applyBorder="1" applyAlignment="1">
      <alignment horizontal="center" vertical="center"/>
    </xf>
    <xf numFmtId="0" fontId="15" fillId="6" borderId="29" xfId="0" applyFont="1" applyFill="1" applyBorder="1" applyAlignment="1">
      <alignment horizontal="center" vertical="center"/>
    </xf>
    <xf numFmtId="0" fontId="15" fillId="6" borderId="30" xfId="0" applyFont="1" applyFill="1" applyBorder="1" applyAlignment="1">
      <alignment horizontal="center" vertical="center"/>
    </xf>
    <xf numFmtId="0" fontId="15" fillId="6" borderId="27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0" fontId="0" fillId="0" borderId="13" xfId="1" applyNumberFormat="1" applyFont="1" applyBorder="1" applyAlignment="1">
      <alignment horizontal="right"/>
    </xf>
    <xf numFmtId="170" fontId="0" fillId="0" borderId="12" xfId="1" applyNumberFormat="1" applyFont="1" applyBorder="1" applyAlignment="1">
      <alignment horizontal="right"/>
    </xf>
    <xf numFmtId="170" fontId="19" fillId="0" borderId="4" xfId="0" applyNumberFormat="1" applyFont="1" applyBorder="1" applyAlignment="1">
      <alignment horizontal="right"/>
    </xf>
    <xf numFmtId="168" fontId="14" fillId="5" borderId="25" xfId="0" applyNumberFormat="1" applyFont="1" applyFill="1" applyBorder="1" applyAlignment="1">
      <alignment horizontal="center"/>
    </xf>
    <xf numFmtId="168" fontId="14" fillId="5" borderId="33" xfId="0" applyNumberFormat="1" applyFont="1" applyFill="1" applyBorder="1" applyAlignment="1">
      <alignment horizontal="center"/>
    </xf>
    <xf numFmtId="170" fontId="0" fillId="0" borderId="13" xfId="1" applyNumberFormat="1" applyFont="1" applyBorder="1" applyAlignment="1">
      <alignment horizontal="center"/>
    </xf>
    <xf numFmtId="170" fontId="0" fillId="0" borderId="12" xfId="1" applyNumberFormat="1" applyFont="1" applyBorder="1" applyAlignment="1">
      <alignment horizontal="center"/>
    </xf>
    <xf numFmtId="168" fontId="16" fillId="6" borderId="25" xfId="0" applyNumberFormat="1" applyFont="1" applyFill="1" applyBorder="1" applyAlignment="1">
      <alignment horizontal="center"/>
    </xf>
    <xf numFmtId="168" fontId="16" fillId="6" borderId="9" xfId="0" applyNumberFormat="1" applyFont="1" applyFill="1" applyBorder="1" applyAlignment="1">
      <alignment horizontal="center"/>
    </xf>
    <xf numFmtId="0" fontId="36" fillId="0" borderId="0" xfId="0" applyFont="1" applyAlignment="1">
      <alignment horizontal="right" vertical="center"/>
    </xf>
    <xf numFmtId="0" fontId="36" fillId="0" borderId="1" xfId="0" applyFont="1" applyBorder="1" applyAlignment="1">
      <alignment horizontal="right" vertical="center"/>
    </xf>
    <xf numFmtId="0" fontId="18" fillId="7" borderId="0" xfId="0" applyFont="1" applyFill="1" applyAlignment="1">
      <alignment horizontal="left" vertical="center"/>
    </xf>
    <xf numFmtId="0" fontId="15" fillId="5" borderId="28" xfId="0" applyFont="1" applyFill="1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/>
    </xf>
    <xf numFmtId="0" fontId="15" fillId="5" borderId="30" xfId="0" applyFont="1" applyFill="1" applyBorder="1" applyAlignment="1">
      <alignment horizontal="center" vertical="center"/>
    </xf>
    <xf numFmtId="0" fontId="15" fillId="5" borderId="27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16" fillId="5" borderId="14" xfId="0" applyFont="1" applyFill="1" applyBorder="1" applyAlignment="1">
      <alignment horizontal="center"/>
    </xf>
    <xf numFmtId="0" fontId="16" fillId="5" borderId="15" xfId="0" applyFont="1" applyFill="1" applyBorder="1" applyAlignment="1">
      <alignment horizontal="center"/>
    </xf>
    <xf numFmtId="0" fontId="0" fillId="0" borderId="20" xfId="0" applyBorder="1" applyAlignment="1">
      <alignment horizontal="center" vertical="center"/>
    </xf>
    <xf numFmtId="168" fontId="16" fillId="5" borderId="25" xfId="0" applyNumberFormat="1" applyFont="1" applyFill="1" applyBorder="1" applyAlignment="1">
      <alignment horizontal="center"/>
    </xf>
    <xf numFmtId="168" fontId="16" fillId="5" borderId="9" xfId="0" applyNumberFormat="1" applyFont="1" applyFill="1" applyBorder="1" applyAlignment="1">
      <alignment horizontal="center"/>
    </xf>
    <xf numFmtId="168" fontId="14" fillId="6" borderId="25" xfId="0" applyNumberFormat="1" applyFont="1" applyFill="1" applyBorder="1" applyAlignment="1">
      <alignment horizontal="center"/>
    </xf>
    <xf numFmtId="168" fontId="14" fillId="6" borderId="33" xfId="0" applyNumberFormat="1" applyFont="1" applyFill="1" applyBorder="1" applyAlignment="1">
      <alignment horizontal="center"/>
    </xf>
    <xf numFmtId="170" fontId="20" fillId="0" borderId="13" xfId="0" applyNumberFormat="1" applyFont="1" applyBorder="1" applyAlignment="1">
      <alignment horizontal="center"/>
    </xf>
    <xf numFmtId="170" fontId="20" fillId="0" borderId="12" xfId="0" applyNumberFormat="1" applyFont="1" applyBorder="1" applyAlignment="1">
      <alignment horizontal="center"/>
    </xf>
    <xf numFmtId="168" fontId="20" fillId="0" borderId="13" xfId="1" applyNumberFormat="1" applyFont="1" applyFill="1" applyBorder="1" applyAlignment="1">
      <alignment horizontal="right"/>
    </xf>
    <xf numFmtId="168" fontId="20" fillId="0" borderId="12" xfId="1" applyNumberFormat="1" applyFont="1" applyFill="1" applyBorder="1" applyAlignment="1">
      <alignment horizontal="right"/>
    </xf>
    <xf numFmtId="170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8" fillId="0" borderId="24" xfId="0" applyFont="1" applyBorder="1" applyAlignment="1">
      <alignment horizontal="left"/>
    </xf>
    <xf numFmtId="0" fontId="8" fillId="0" borderId="22" xfId="0" applyFont="1" applyBorder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26" xfId="0" applyFont="1" applyFill="1" applyBorder="1" applyAlignment="1">
      <alignment horizontal="left"/>
    </xf>
    <xf numFmtId="0" fontId="3" fillId="16" borderId="14" xfId="0" applyFont="1" applyFill="1" applyBorder="1" applyAlignment="1">
      <alignment horizontal="center"/>
    </xf>
    <xf numFmtId="0" fontId="3" fillId="16" borderId="15" xfId="0" applyFont="1" applyFill="1" applyBorder="1" applyAlignment="1">
      <alignment horizontal="center"/>
    </xf>
    <xf numFmtId="0" fontId="16" fillId="16" borderId="14" xfId="0" applyFont="1" applyFill="1" applyBorder="1" applyAlignment="1">
      <alignment horizontal="center"/>
    </xf>
    <xf numFmtId="0" fontId="16" fillId="16" borderId="15" xfId="0" applyFont="1" applyFill="1" applyBorder="1" applyAlignment="1">
      <alignment horizontal="center"/>
    </xf>
    <xf numFmtId="0" fontId="3" fillId="16" borderId="25" xfId="0" applyFont="1" applyFill="1" applyBorder="1" applyAlignment="1">
      <alignment horizontal="left"/>
    </xf>
    <xf numFmtId="0" fontId="3" fillId="16" borderId="26" xfId="0" applyFont="1" applyFill="1" applyBorder="1" applyAlignment="1">
      <alignment horizontal="left"/>
    </xf>
    <xf numFmtId="168" fontId="14" fillId="16" borderId="25" xfId="0" applyNumberFormat="1" applyFont="1" applyFill="1" applyBorder="1" applyAlignment="1">
      <alignment horizontal="center"/>
    </xf>
    <xf numFmtId="168" fontId="14" fillId="16" borderId="33" xfId="0" applyNumberFormat="1" applyFont="1" applyFill="1" applyBorder="1" applyAlignment="1">
      <alignment horizontal="center"/>
    </xf>
    <xf numFmtId="168" fontId="16" fillId="16" borderId="25" xfId="0" applyNumberFormat="1" applyFont="1" applyFill="1" applyBorder="1" applyAlignment="1">
      <alignment horizontal="center"/>
    </xf>
    <xf numFmtId="168" fontId="16" fillId="16" borderId="9" xfId="0" applyNumberFormat="1" applyFont="1" applyFill="1" applyBorder="1" applyAlignment="1">
      <alignment horizontal="center"/>
    </xf>
    <xf numFmtId="0" fontId="15" fillId="16" borderId="28" xfId="0" applyFont="1" applyFill="1" applyBorder="1" applyAlignment="1">
      <alignment horizontal="center" vertical="center"/>
    </xf>
    <xf numFmtId="0" fontId="15" fillId="16" borderId="29" xfId="0" applyFont="1" applyFill="1" applyBorder="1" applyAlignment="1">
      <alignment horizontal="center" vertical="center"/>
    </xf>
    <xf numFmtId="0" fontId="15" fillId="16" borderId="30" xfId="0" applyFont="1" applyFill="1" applyBorder="1" applyAlignment="1">
      <alignment horizontal="center" vertical="center"/>
    </xf>
    <xf numFmtId="0" fontId="15" fillId="16" borderId="27" xfId="0" applyFont="1" applyFill="1" applyBorder="1" applyAlignment="1">
      <alignment horizontal="center" vertical="center"/>
    </xf>
    <xf numFmtId="0" fontId="16" fillId="5" borderId="42" xfId="0" applyFont="1" applyFill="1" applyBorder="1" applyAlignment="1">
      <alignment horizontal="center"/>
    </xf>
    <xf numFmtId="0" fontId="16" fillId="5" borderId="43" xfId="0" applyFont="1" applyFill="1" applyBorder="1" applyAlignment="1">
      <alignment horizontal="center"/>
    </xf>
    <xf numFmtId="0" fontId="16" fillId="6" borderId="44" xfId="0" applyFont="1" applyFill="1" applyBorder="1" applyAlignment="1">
      <alignment horizontal="center"/>
    </xf>
    <xf numFmtId="0" fontId="16" fillId="6" borderId="45" xfId="0" applyFont="1" applyFill="1" applyBorder="1" applyAlignment="1">
      <alignment horizontal="center"/>
    </xf>
    <xf numFmtId="168" fontId="16" fillId="5" borderId="33" xfId="0" applyNumberFormat="1" applyFont="1" applyFill="1" applyBorder="1" applyAlignment="1">
      <alignment horizontal="center"/>
    </xf>
    <xf numFmtId="0" fontId="3" fillId="5" borderId="42" xfId="0" applyFont="1" applyFill="1" applyBorder="1" applyAlignment="1">
      <alignment horizontal="center"/>
    </xf>
    <xf numFmtId="0" fontId="3" fillId="5" borderId="43" xfId="0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65" fontId="42" fillId="5" borderId="25" xfId="1" applyNumberFormat="1" applyFont="1" applyFill="1" applyBorder="1" applyAlignment="1">
      <alignment horizontal="center"/>
    </xf>
    <xf numFmtId="165" fontId="42" fillId="5" borderId="33" xfId="1" applyNumberFormat="1" applyFont="1" applyFill="1" applyBorder="1" applyAlignment="1">
      <alignment horizontal="center"/>
    </xf>
    <xf numFmtId="0" fontId="3" fillId="5" borderId="23" xfId="0" applyFont="1" applyFill="1" applyBorder="1" applyAlignment="1">
      <alignment horizontal="center"/>
    </xf>
    <xf numFmtId="168" fontId="14" fillId="5" borderId="26" xfId="0" applyNumberFormat="1" applyFont="1" applyFill="1" applyBorder="1" applyAlignment="1">
      <alignment horizontal="center"/>
    </xf>
    <xf numFmtId="168" fontId="20" fillId="0" borderId="13" xfId="0" applyNumberFormat="1" applyFont="1" applyBorder="1" applyAlignment="1">
      <alignment horizontal="center"/>
    </xf>
    <xf numFmtId="168" fontId="20" fillId="0" borderId="12" xfId="0" applyNumberFormat="1" applyFont="1" applyBorder="1" applyAlignment="1">
      <alignment horizontal="center"/>
    </xf>
    <xf numFmtId="168" fontId="10" fillId="0" borderId="4" xfId="0" applyNumberFormat="1" applyFont="1" applyBorder="1" applyAlignment="1">
      <alignment horizontal="center"/>
    </xf>
    <xf numFmtId="0" fontId="36" fillId="6" borderId="28" xfId="0" applyFont="1" applyFill="1" applyBorder="1" applyAlignment="1">
      <alignment horizontal="center" vertical="center"/>
    </xf>
    <xf numFmtId="0" fontId="36" fillId="6" borderId="29" xfId="0" applyFont="1" applyFill="1" applyBorder="1" applyAlignment="1">
      <alignment horizontal="center" vertical="center"/>
    </xf>
    <xf numFmtId="0" fontId="36" fillId="6" borderId="30" xfId="0" applyFont="1" applyFill="1" applyBorder="1" applyAlignment="1">
      <alignment horizontal="center" vertical="center"/>
    </xf>
    <xf numFmtId="0" fontId="36" fillId="6" borderId="27" xfId="0" applyFont="1" applyFill="1" applyBorder="1" applyAlignment="1">
      <alignment horizontal="center" vertical="center"/>
    </xf>
    <xf numFmtId="0" fontId="36" fillId="5" borderId="28" xfId="0" applyFont="1" applyFill="1" applyBorder="1" applyAlignment="1">
      <alignment horizontal="center" vertical="center"/>
    </xf>
    <xf numFmtId="0" fontId="36" fillId="5" borderId="29" xfId="0" applyFont="1" applyFill="1" applyBorder="1" applyAlignment="1">
      <alignment horizontal="center" vertical="center"/>
    </xf>
    <xf numFmtId="0" fontId="36" fillId="5" borderId="30" xfId="0" applyFont="1" applyFill="1" applyBorder="1" applyAlignment="1">
      <alignment horizontal="center" vertical="center"/>
    </xf>
    <xf numFmtId="0" fontId="36" fillId="5" borderId="27" xfId="0" applyFont="1" applyFill="1" applyBorder="1" applyAlignment="1">
      <alignment horizontal="center" vertical="center"/>
    </xf>
    <xf numFmtId="0" fontId="3" fillId="17" borderId="14" xfId="0" applyFont="1" applyFill="1" applyBorder="1" applyAlignment="1">
      <alignment horizontal="center"/>
    </xf>
    <xf numFmtId="0" fontId="3" fillId="17" borderId="15" xfId="0" applyFont="1" applyFill="1" applyBorder="1" applyAlignment="1">
      <alignment horizontal="center"/>
    </xf>
    <xf numFmtId="0" fontId="40" fillId="0" borderId="0" xfId="0" applyFont="1" applyAlignment="1">
      <alignment vertical="center"/>
    </xf>
    <xf numFmtId="0" fontId="39" fillId="0" borderId="0" xfId="0" applyFont="1" applyAlignment="1">
      <alignment vertical="center"/>
    </xf>
  </cellXfs>
  <cellStyles count="3">
    <cellStyle name="Normal" xfId="0" builtinId="0"/>
    <cellStyle name="Virgül" xfId="1" builtinId="3"/>
    <cellStyle name="Yüzd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4:Q31"/>
  <sheetViews>
    <sheetView showGridLines="0" workbookViewId="0">
      <selection activeCell="C36" sqref="C36"/>
    </sheetView>
  </sheetViews>
  <sheetFormatPr defaultRowHeight="14.5" x14ac:dyDescent="0.35"/>
  <cols>
    <col min="5" max="5" width="18.54296875" customWidth="1"/>
    <col min="6" max="11" width="13" style="1" customWidth="1"/>
    <col min="15" max="16" width="11.54296875" bestFit="1" customWidth="1"/>
  </cols>
  <sheetData>
    <row r="4" spans="5:14" x14ac:dyDescent="0.35">
      <c r="E4" s="3" t="s">
        <v>10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2"/>
      <c r="M4" s="2"/>
      <c r="N4" s="2"/>
    </row>
    <row r="5" spans="5:14" x14ac:dyDescent="0.35">
      <c r="E5" t="s">
        <v>0</v>
      </c>
      <c r="F5" s="17">
        <v>1.41</v>
      </c>
      <c r="G5" s="17">
        <v>4</v>
      </c>
      <c r="H5" s="17">
        <v>1.6</v>
      </c>
      <c r="I5" s="17">
        <v>1.7</v>
      </c>
      <c r="J5" s="17">
        <v>5.91</v>
      </c>
      <c r="K5" s="17">
        <v>3</v>
      </c>
    </row>
    <row r="6" spans="5:14" x14ac:dyDescent="0.35">
      <c r="E6" t="s">
        <v>1</v>
      </c>
      <c r="F6" s="17">
        <v>1.41</v>
      </c>
      <c r="G6" s="17">
        <v>5</v>
      </c>
      <c r="H6" s="17">
        <v>1.6</v>
      </c>
      <c r="I6" s="17">
        <v>1.7</v>
      </c>
      <c r="J6" s="17">
        <v>5.91</v>
      </c>
      <c r="K6" s="17">
        <v>3</v>
      </c>
    </row>
    <row r="7" spans="5:14" x14ac:dyDescent="0.35">
      <c r="E7" t="s">
        <v>2</v>
      </c>
      <c r="F7" s="17">
        <v>0.26</v>
      </c>
      <c r="G7" s="17">
        <v>0.45</v>
      </c>
      <c r="H7" s="17">
        <v>0.2</v>
      </c>
      <c r="I7" s="17">
        <v>0.22</v>
      </c>
      <c r="J7" s="17">
        <v>0.4</v>
      </c>
      <c r="K7" s="17">
        <v>0.65</v>
      </c>
    </row>
    <row r="8" spans="5:14" x14ac:dyDescent="0.35">
      <c r="E8" t="s">
        <v>3</v>
      </c>
      <c r="F8" s="17">
        <v>15</v>
      </c>
      <c r="G8" s="17">
        <v>26</v>
      </c>
      <c r="H8" s="17">
        <v>15</v>
      </c>
      <c r="I8" s="17">
        <v>15</v>
      </c>
      <c r="J8" s="17">
        <f>192.48/4</f>
        <v>48.12</v>
      </c>
      <c r="K8" s="17">
        <v>38</v>
      </c>
    </row>
    <row r="10" spans="5:14" x14ac:dyDescent="0.35">
      <c r="E10" s="2" t="s">
        <v>11</v>
      </c>
      <c r="F10" s="2">
        <v>33</v>
      </c>
      <c r="G10" s="2">
        <v>33</v>
      </c>
      <c r="H10" s="2">
        <v>33</v>
      </c>
      <c r="I10" s="2">
        <v>33</v>
      </c>
      <c r="J10" s="2">
        <v>33</v>
      </c>
      <c r="K10" s="2">
        <v>33</v>
      </c>
    </row>
    <row r="11" spans="5:14" ht="8.25" customHeight="1" x14ac:dyDescent="0.35"/>
    <row r="12" spans="5:14" ht="8.25" customHeight="1" x14ac:dyDescent="0.35"/>
    <row r="13" spans="5:14" x14ac:dyDescent="0.35">
      <c r="E13" s="3" t="s">
        <v>12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</row>
    <row r="14" spans="5:14" x14ac:dyDescent="0.35">
      <c r="E14" t="s">
        <v>0</v>
      </c>
      <c r="F14" s="18">
        <f>F5*$G$10</f>
        <v>46.529999999999994</v>
      </c>
      <c r="G14" s="18">
        <f>G5*$G$10</f>
        <v>132</v>
      </c>
      <c r="H14" s="18">
        <f t="shared" ref="H14:K14" si="0">H5*$G$10</f>
        <v>52.800000000000004</v>
      </c>
      <c r="I14" s="18">
        <f t="shared" si="0"/>
        <v>56.1</v>
      </c>
      <c r="J14" s="18">
        <f t="shared" si="0"/>
        <v>195.03</v>
      </c>
      <c r="K14" s="18">
        <f t="shared" si="0"/>
        <v>99</v>
      </c>
      <c r="L14" s="1"/>
    </row>
    <row r="15" spans="5:14" x14ac:dyDescent="0.35">
      <c r="E15" t="s">
        <v>1</v>
      </c>
      <c r="F15" s="18">
        <f t="shared" ref="F15:G15" si="1">F6*$G$10</f>
        <v>46.529999999999994</v>
      </c>
      <c r="G15" s="18">
        <f t="shared" si="1"/>
        <v>165</v>
      </c>
      <c r="H15" s="18">
        <f t="shared" ref="H15:K15" si="2">H6*$G$10</f>
        <v>52.800000000000004</v>
      </c>
      <c r="I15" s="18">
        <f t="shared" si="2"/>
        <v>56.1</v>
      </c>
      <c r="J15" s="18">
        <f t="shared" si="2"/>
        <v>195.03</v>
      </c>
      <c r="K15" s="18">
        <f t="shared" si="2"/>
        <v>99</v>
      </c>
      <c r="L15" s="1"/>
    </row>
    <row r="16" spans="5:14" x14ac:dyDescent="0.35">
      <c r="E16" t="s">
        <v>2</v>
      </c>
      <c r="F16" s="18">
        <f t="shared" ref="F16:K16" si="3">F7*$G$10*10</f>
        <v>85.8</v>
      </c>
      <c r="G16" s="18">
        <f t="shared" si="3"/>
        <v>148.5</v>
      </c>
      <c r="H16" s="18">
        <f t="shared" si="3"/>
        <v>66</v>
      </c>
      <c r="I16" s="18">
        <f t="shared" si="3"/>
        <v>72.599999999999994</v>
      </c>
      <c r="J16" s="18">
        <f t="shared" si="3"/>
        <v>132</v>
      </c>
      <c r="K16" s="18">
        <f t="shared" si="3"/>
        <v>214.5</v>
      </c>
      <c r="L16" s="1"/>
    </row>
    <row r="17" spans="5:17" x14ac:dyDescent="0.35">
      <c r="E17" s="8" t="s">
        <v>3</v>
      </c>
      <c r="F17" s="19">
        <f>F10*F8</f>
        <v>495</v>
      </c>
      <c r="G17" s="19">
        <f>G10*G8</f>
        <v>858</v>
      </c>
      <c r="H17" s="19">
        <f t="shared" ref="H17:K17" si="4">H10*H8</f>
        <v>495</v>
      </c>
      <c r="I17" s="19">
        <f t="shared" si="4"/>
        <v>495</v>
      </c>
      <c r="J17" s="19">
        <f>J10*J8</f>
        <v>1587.9599999999998</v>
      </c>
      <c r="K17" s="19">
        <f t="shared" si="4"/>
        <v>1254</v>
      </c>
      <c r="L17" s="1"/>
    </row>
    <row r="18" spans="5:17" x14ac:dyDescent="0.35">
      <c r="E18" s="7" t="s">
        <v>13</v>
      </c>
      <c r="F18" s="20">
        <f>SUM(F14:F17)</f>
        <v>673.86</v>
      </c>
      <c r="G18" s="20">
        <f t="shared" ref="G18:K18" si="5">SUM(G14:G17)</f>
        <v>1303.5</v>
      </c>
      <c r="H18" s="20">
        <f t="shared" si="5"/>
        <v>666.6</v>
      </c>
      <c r="I18" s="20">
        <f t="shared" si="5"/>
        <v>679.8</v>
      </c>
      <c r="J18" s="20">
        <f>SUM(J14:J17)</f>
        <v>2110.0199999999995</v>
      </c>
      <c r="K18" s="20">
        <f t="shared" si="5"/>
        <v>1666.5</v>
      </c>
      <c r="L18" s="1"/>
    </row>
    <row r="19" spans="5:17" x14ac:dyDescent="0.35">
      <c r="F19" s="21"/>
      <c r="G19" s="21"/>
      <c r="H19" s="21"/>
      <c r="I19" s="21"/>
      <c r="J19" s="21"/>
      <c r="K19" s="21"/>
      <c r="L19" s="1"/>
    </row>
    <row r="20" spans="5:17" x14ac:dyDescent="0.35">
      <c r="E20" s="43" t="s">
        <v>14</v>
      </c>
      <c r="F20" s="44">
        <f>F18/F10</f>
        <v>20.420000000000002</v>
      </c>
      <c r="G20" s="44">
        <f t="shared" ref="G20:K20" si="6">G18/G10</f>
        <v>39.5</v>
      </c>
      <c r="H20" s="44">
        <f t="shared" si="6"/>
        <v>20.2</v>
      </c>
      <c r="I20" s="44">
        <f t="shared" si="6"/>
        <v>20.599999999999998</v>
      </c>
      <c r="J20" s="44">
        <f t="shared" si="6"/>
        <v>63.939999999999984</v>
      </c>
      <c r="K20" s="44">
        <f t="shared" si="6"/>
        <v>50.5</v>
      </c>
      <c r="L20" s="1"/>
    </row>
    <row r="21" spans="5:17" x14ac:dyDescent="0.35">
      <c r="H21" s="5"/>
      <c r="L21" s="1"/>
    </row>
    <row r="22" spans="5:17" x14ac:dyDescent="0.35">
      <c r="E22" s="23"/>
      <c r="H22" s="5"/>
      <c r="L22" s="1"/>
    </row>
    <row r="23" spans="5:17" x14ac:dyDescent="0.35">
      <c r="H23" s="5"/>
      <c r="L23" s="1"/>
      <c r="O23" s="1"/>
      <c r="P23" s="1"/>
      <c r="Q23" s="1"/>
    </row>
    <row r="24" spans="5:17" x14ac:dyDescent="0.35">
      <c r="L24" s="1"/>
      <c r="O24" s="1"/>
      <c r="P24" s="12"/>
      <c r="Q24" s="15"/>
    </row>
    <row r="25" spans="5:17" x14ac:dyDescent="0.35">
      <c r="L25" s="1"/>
    </row>
    <row r="26" spans="5:17" x14ac:dyDescent="0.35">
      <c r="L26" s="1"/>
    </row>
    <row r="31" spans="5:17" x14ac:dyDescent="0.35">
      <c r="O31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8871-F30B-4087-9895-EB62E4D914D1}">
  <dimension ref="E2:O26"/>
  <sheetViews>
    <sheetView showGridLines="0" zoomScale="145" zoomScaleNormal="145" workbookViewId="0">
      <selection activeCell="C24" sqref="C24"/>
    </sheetView>
  </sheetViews>
  <sheetFormatPr defaultRowHeight="14.5" x14ac:dyDescent="0.35"/>
  <cols>
    <col min="5" max="5" width="14.7265625" bestFit="1" customWidth="1"/>
    <col min="6" max="6" width="13" style="1" customWidth="1"/>
    <col min="7" max="7" width="16.26953125" style="1" customWidth="1"/>
    <col min="8" max="8" width="13" style="1" customWidth="1"/>
    <col min="9" max="9" width="15.54296875" style="1" bestFit="1" customWidth="1"/>
    <col min="10" max="10" width="17.54296875" style="1" bestFit="1" customWidth="1"/>
    <col min="11" max="11" width="15.54296875" bestFit="1" customWidth="1"/>
    <col min="13" max="14" width="11.54296875" bestFit="1" customWidth="1"/>
  </cols>
  <sheetData>
    <row r="2" spans="5:12" x14ac:dyDescent="0.35">
      <c r="E2" s="45">
        <v>2025</v>
      </c>
    </row>
    <row r="3" spans="5:12" ht="3.75" customHeight="1" x14ac:dyDescent="0.35"/>
    <row r="4" spans="5:12" ht="14.25" customHeight="1" x14ac:dyDescent="0.35">
      <c r="E4" s="42" t="s">
        <v>25</v>
      </c>
      <c r="F4" s="25" t="s">
        <v>6</v>
      </c>
      <c r="G4" s="4" t="s">
        <v>7</v>
      </c>
      <c r="H4" s="4" t="s">
        <v>8</v>
      </c>
      <c r="I4" s="4" t="s">
        <v>24</v>
      </c>
      <c r="J4" s="22" t="s">
        <v>20</v>
      </c>
      <c r="K4" s="2"/>
      <c r="L4" s="2"/>
    </row>
    <row r="5" spans="5:12" x14ac:dyDescent="0.35">
      <c r="E5" t="s">
        <v>21</v>
      </c>
      <c r="F5" s="29">
        <v>8687</v>
      </c>
      <c r="G5" s="30">
        <f>G7-G6</f>
        <v>83154</v>
      </c>
      <c r="H5" s="30">
        <v>70767</v>
      </c>
      <c r="I5" s="46">
        <f>I7*0.45</f>
        <v>85969.35</v>
      </c>
      <c r="J5" s="30">
        <f>J7*0.45</f>
        <v>266679</v>
      </c>
      <c r="K5" s="14">
        <f>J5/J7*K7</f>
        <v>157481182.34999999</v>
      </c>
    </row>
    <row r="6" spans="5:12" x14ac:dyDescent="0.35">
      <c r="E6" s="8" t="s">
        <v>22</v>
      </c>
      <c r="F6" s="39">
        <v>8236</v>
      </c>
      <c r="G6" s="40">
        <v>65630</v>
      </c>
      <c r="H6" s="40">
        <v>69405</v>
      </c>
      <c r="I6" s="47">
        <f>I5*0.45</f>
        <v>38686.207500000004</v>
      </c>
      <c r="J6" s="40">
        <f>J7*0.55</f>
        <v>325941</v>
      </c>
      <c r="K6" s="14">
        <f>J6/J7*K7</f>
        <v>192477000.65000001</v>
      </c>
    </row>
    <row r="7" spans="5:12" x14ac:dyDescent="0.35">
      <c r="E7" s="13" t="s">
        <v>23</v>
      </c>
      <c r="F7" s="31">
        <f t="shared" ref="F7:H7" si="0">SUM(F5:F6)</f>
        <v>16923</v>
      </c>
      <c r="G7" s="32">
        <v>148784</v>
      </c>
      <c r="H7" s="32">
        <f t="shared" si="0"/>
        <v>140172</v>
      </c>
      <c r="I7" s="48">
        <f>34068+156975</f>
        <v>191043</v>
      </c>
      <c r="J7" s="32">
        <v>592620</v>
      </c>
      <c r="K7" s="24">
        <v>349958183</v>
      </c>
    </row>
    <row r="8" spans="5:12" ht="18.75" customHeight="1" x14ac:dyDescent="0.35">
      <c r="F8" s="33"/>
      <c r="G8" s="34"/>
      <c r="H8" s="34"/>
      <c r="I8" s="34"/>
      <c r="J8" s="34"/>
    </row>
    <row r="9" spans="5:12" ht="14.25" customHeight="1" x14ac:dyDescent="0.35">
      <c r="E9" s="41" t="s">
        <v>19</v>
      </c>
      <c r="F9" s="35">
        <v>566073</v>
      </c>
      <c r="G9" s="36">
        <v>3045890</v>
      </c>
      <c r="H9" s="36">
        <v>1895368</v>
      </c>
      <c r="I9" s="36">
        <v>949524</v>
      </c>
      <c r="J9" s="36">
        <v>7309566</v>
      </c>
    </row>
    <row r="10" spans="5:12" x14ac:dyDescent="0.35">
      <c r="E10" t="s">
        <v>21</v>
      </c>
      <c r="F10" s="26">
        <f>F5/F9</f>
        <v>1.5346077272719243E-2</v>
      </c>
      <c r="G10" s="16">
        <f t="shared" ref="G10:I10" si="1">G5/G9</f>
        <v>2.7300394958452209E-2</v>
      </c>
      <c r="H10" s="16">
        <f t="shared" si="1"/>
        <v>3.733681269283854E-2</v>
      </c>
      <c r="I10" s="16">
        <f t="shared" si="1"/>
        <v>9.0539417645051634E-2</v>
      </c>
      <c r="J10" s="16">
        <f>J5/J9</f>
        <v>3.6483561404329616E-2</v>
      </c>
    </row>
    <row r="11" spans="5:12" x14ac:dyDescent="0.35">
      <c r="E11" s="8" t="s">
        <v>22</v>
      </c>
      <c r="F11" s="37">
        <f>F6/F9</f>
        <v>1.454936024152362E-2</v>
      </c>
      <c r="G11" s="38">
        <f t="shared" ref="G11:I11" si="2">G6/G9</f>
        <v>2.1547068344556108E-2</v>
      </c>
      <c r="H11" s="38">
        <f t="shared" si="2"/>
        <v>3.6618218731138227E-2</v>
      </c>
      <c r="I11" s="38">
        <f t="shared" si="2"/>
        <v>4.0742737940273235E-2</v>
      </c>
      <c r="J11" s="38">
        <f>J6/J9</f>
        <v>4.4591019494180636E-2</v>
      </c>
    </row>
    <row r="12" spans="5:12" x14ac:dyDescent="0.35">
      <c r="E12" s="23" t="s">
        <v>13</v>
      </c>
      <c r="F12" s="27">
        <f>F7/F9</f>
        <v>2.9895437514242864E-2</v>
      </c>
      <c r="G12" s="28">
        <f t="shared" ref="G12:J12" si="3">G7/G9</f>
        <v>4.8847463303008314E-2</v>
      </c>
      <c r="H12" s="28">
        <f t="shared" si="3"/>
        <v>7.3955031423976775E-2</v>
      </c>
      <c r="I12" s="28">
        <f t="shared" si="3"/>
        <v>0.20119870587789251</v>
      </c>
      <c r="J12" s="28">
        <f t="shared" si="3"/>
        <v>8.107458089851026E-2</v>
      </c>
    </row>
    <row r="13" spans="5:12" x14ac:dyDescent="0.35">
      <c r="E13" s="7"/>
      <c r="F13" s="20"/>
      <c r="G13" s="20"/>
      <c r="H13" s="20"/>
      <c r="I13" s="20"/>
      <c r="J13" s="20"/>
    </row>
    <row r="14" spans="5:12" x14ac:dyDescent="0.35">
      <c r="F14" s="21"/>
      <c r="G14" s="21"/>
      <c r="H14" s="21"/>
      <c r="I14" s="21"/>
      <c r="J14" s="21"/>
    </row>
    <row r="15" spans="5:12" x14ac:dyDescent="0.35">
      <c r="E15" s="13"/>
      <c r="F15" s="20"/>
      <c r="G15" s="20"/>
      <c r="H15" s="20"/>
      <c r="I15" s="20"/>
      <c r="J15" s="20"/>
    </row>
    <row r="16" spans="5:12" x14ac:dyDescent="0.35">
      <c r="F16" s="5"/>
    </row>
    <row r="17" spans="5:15" x14ac:dyDescent="0.35">
      <c r="E17" s="23"/>
      <c r="F17" s="5"/>
    </row>
    <row r="18" spans="5:15" x14ac:dyDescent="0.35">
      <c r="F18" s="5"/>
      <c r="M18" s="1"/>
      <c r="N18" s="1"/>
      <c r="O18" s="1"/>
    </row>
    <row r="19" spans="5:15" x14ac:dyDescent="0.35">
      <c r="M19" s="1"/>
      <c r="N19" s="12"/>
      <c r="O19" s="15"/>
    </row>
    <row r="22" spans="5:15" x14ac:dyDescent="0.35">
      <c r="F22" s="9"/>
    </row>
    <row r="23" spans="5:15" x14ac:dyDescent="0.35">
      <c r="F23" s="9"/>
    </row>
    <row r="24" spans="5:15" x14ac:dyDescent="0.35">
      <c r="F24" s="9"/>
    </row>
    <row r="25" spans="5:15" x14ac:dyDescent="0.35">
      <c r="F25" s="9"/>
    </row>
    <row r="26" spans="5:15" x14ac:dyDescent="0.35">
      <c r="M26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2528-FE8D-4527-971F-2A30344F6A73}">
  <sheetPr filterMode="1"/>
  <dimension ref="A1:O29"/>
  <sheetViews>
    <sheetView workbookViewId="0">
      <selection activeCell="C34" sqref="C34"/>
    </sheetView>
  </sheetViews>
  <sheetFormatPr defaultRowHeight="14.5" x14ac:dyDescent="0.35"/>
  <cols>
    <col min="2" max="2" width="29" bestFit="1" customWidth="1"/>
  </cols>
  <sheetData>
    <row r="1" spans="1:15" x14ac:dyDescent="0.35">
      <c r="A1" s="122" t="s">
        <v>47</v>
      </c>
      <c r="B1" s="122" t="s">
        <v>48</v>
      </c>
      <c r="C1" s="123" t="s">
        <v>34</v>
      </c>
      <c r="D1" s="123" t="s">
        <v>35</v>
      </c>
      <c r="E1" s="123" t="s">
        <v>36</v>
      </c>
      <c r="F1" s="123" t="s">
        <v>49</v>
      </c>
      <c r="G1" s="123" t="s">
        <v>50</v>
      </c>
      <c r="H1" s="123" t="s">
        <v>51</v>
      </c>
      <c r="I1" s="123" t="s">
        <v>52</v>
      </c>
      <c r="J1" s="123" t="s">
        <v>53</v>
      </c>
      <c r="K1" s="123" t="s">
        <v>54</v>
      </c>
      <c r="L1" s="123" t="s">
        <v>55</v>
      </c>
      <c r="M1" s="123" t="s">
        <v>56</v>
      </c>
      <c r="N1" s="123" t="s">
        <v>57</v>
      </c>
      <c r="O1" s="124" t="s">
        <v>58</v>
      </c>
    </row>
    <row r="2" spans="1:15" hidden="1" x14ac:dyDescent="0.35">
      <c r="A2" s="125"/>
      <c r="B2" s="126" t="s">
        <v>59</v>
      </c>
      <c r="C2" s="127">
        <f t="shared" ref="C2:N2" si="0">SUM(C3:C5)</f>
        <v>5931</v>
      </c>
      <c r="D2" s="127">
        <f t="shared" si="0"/>
        <v>10958</v>
      </c>
      <c r="E2" s="127">
        <f t="shared" si="0"/>
        <v>12842</v>
      </c>
      <c r="F2" s="127">
        <f t="shared" si="0"/>
        <v>30354</v>
      </c>
      <c r="G2" s="127">
        <f t="shared" si="0"/>
        <v>26329</v>
      </c>
      <c r="H2" s="127">
        <f t="shared" si="0"/>
        <v>30311</v>
      </c>
      <c r="I2" s="127">
        <f t="shared" si="0"/>
        <v>33774</v>
      </c>
      <c r="J2" s="127">
        <f t="shared" si="0"/>
        <v>0</v>
      </c>
      <c r="K2" s="127">
        <f t="shared" si="0"/>
        <v>0</v>
      </c>
      <c r="L2" s="127">
        <f t="shared" si="0"/>
        <v>0</v>
      </c>
      <c r="M2" s="127">
        <f t="shared" si="0"/>
        <v>0</v>
      </c>
      <c r="N2" s="127">
        <f t="shared" si="0"/>
        <v>0</v>
      </c>
      <c r="O2" s="128">
        <f t="shared" ref="O2:O24" si="1">SUM(C2:N2)</f>
        <v>150499</v>
      </c>
    </row>
    <row r="3" spans="1:15" hidden="1" x14ac:dyDescent="0.35">
      <c r="A3" s="129" t="s">
        <v>60</v>
      </c>
      <c r="B3" s="130" t="s">
        <v>61</v>
      </c>
      <c r="C3" s="131">
        <v>2452</v>
      </c>
      <c r="D3" s="131">
        <v>3311</v>
      </c>
      <c r="E3" s="131">
        <v>2852</v>
      </c>
      <c r="F3" s="131">
        <v>3776</v>
      </c>
      <c r="G3" s="131">
        <v>3199</v>
      </c>
      <c r="H3" s="131">
        <v>3363</v>
      </c>
      <c r="I3" s="131">
        <v>4180</v>
      </c>
      <c r="J3" s="131"/>
      <c r="K3" s="131"/>
      <c r="L3" s="131"/>
      <c r="M3" s="131"/>
      <c r="N3" s="131"/>
      <c r="O3" s="132">
        <f t="shared" si="1"/>
        <v>23133</v>
      </c>
    </row>
    <row r="4" spans="1:15" hidden="1" x14ac:dyDescent="0.35">
      <c r="A4" s="133" t="s">
        <v>62</v>
      </c>
      <c r="B4" s="130" t="s">
        <v>63</v>
      </c>
      <c r="C4" s="131">
        <v>0</v>
      </c>
      <c r="D4" s="131">
        <v>0</v>
      </c>
      <c r="E4" s="131">
        <v>0</v>
      </c>
      <c r="F4" s="131"/>
      <c r="G4" s="131">
        <v>0</v>
      </c>
      <c r="H4" s="131">
        <v>0</v>
      </c>
      <c r="I4" s="131">
        <v>0</v>
      </c>
      <c r="J4" s="131"/>
      <c r="K4" s="131"/>
      <c r="L4" s="131"/>
      <c r="M4" s="131"/>
      <c r="N4" s="131"/>
      <c r="O4" s="132">
        <f t="shared" si="1"/>
        <v>0</v>
      </c>
    </row>
    <row r="5" spans="1:15" x14ac:dyDescent="0.35">
      <c r="A5" s="133" t="s">
        <v>62</v>
      </c>
      <c r="B5" s="130" t="s">
        <v>64</v>
      </c>
      <c r="C5" s="131">
        <v>3479</v>
      </c>
      <c r="D5" s="131">
        <v>7647</v>
      </c>
      <c r="E5" s="131">
        <v>9990</v>
      </c>
      <c r="F5" s="131">
        <v>26578</v>
      </c>
      <c r="G5" s="131">
        <v>23130</v>
      </c>
      <c r="H5" s="131">
        <v>26948</v>
      </c>
      <c r="I5" s="131">
        <v>29594</v>
      </c>
      <c r="J5" s="131"/>
      <c r="K5" s="131"/>
      <c r="L5" s="131"/>
      <c r="M5" s="131"/>
      <c r="N5" s="131"/>
      <c r="O5" s="132">
        <f t="shared" si="1"/>
        <v>127366</v>
      </c>
    </row>
    <row r="6" spans="1:15" hidden="1" x14ac:dyDescent="0.35">
      <c r="A6" s="134"/>
      <c r="B6" s="126" t="s">
        <v>65</v>
      </c>
      <c r="C6" s="127">
        <f t="shared" ref="C6:N6" si="2">SUM(C7:C9)</f>
        <v>13115</v>
      </c>
      <c r="D6" s="127">
        <f t="shared" si="2"/>
        <v>2312</v>
      </c>
      <c r="E6" s="127">
        <f t="shared" si="2"/>
        <v>1480</v>
      </c>
      <c r="F6" s="127">
        <f t="shared" si="2"/>
        <v>5368.52</v>
      </c>
      <c r="G6" s="127">
        <f t="shared" si="2"/>
        <v>3072</v>
      </c>
      <c r="H6" s="127">
        <f t="shared" si="2"/>
        <v>38.07</v>
      </c>
      <c r="I6" s="127">
        <f t="shared" si="2"/>
        <v>79</v>
      </c>
      <c r="J6" s="127">
        <f t="shared" si="2"/>
        <v>0</v>
      </c>
      <c r="K6" s="127">
        <f t="shared" si="2"/>
        <v>0</v>
      </c>
      <c r="L6" s="127">
        <f t="shared" si="2"/>
        <v>0</v>
      </c>
      <c r="M6" s="127">
        <f t="shared" si="2"/>
        <v>0</v>
      </c>
      <c r="N6" s="127">
        <f t="shared" si="2"/>
        <v>0</v>
      </c>
      <c r="O6" s="128">
        <f t="shared" si="1"/>
        <v>25464.59</v>
      </c>
    </row>
    <row r="7" spans="1:15" x14ac:dyDescent="0.35">
      <c r="A7" s="133" t="s">
        <v>62</v>
      </c>
      <c r="B7" s="130" t="s">
        <v>66</v>
      </c>
      <c r="C7" s="131">
        <v>5100</v>
      </c>
      <c r="D7" s="131">
        <v>474</v>
      </c>
      <c r="E7" s="131">
        <v>781</v>
      </c>
      <c r="F7" s="131">
        <v>2541</v>
      </c>
      <c r="G7" s="131">
        <v>1776</v>
      </c>
      <c r="H7" s="131">
        <v>38.07</v>
      </c>
      <c r="I7" s="131">
        <v>0</v>
      </c>
      <c r="J7" s="131"/>
      <c r="K7" s="131"/>
      <c r="L7" s="131"/>
      <c r="M7" s="131"/>
      <c r="N7" s="131"/>
      <c r="O7" s="132">
        <f t="shared" si="1"/>
        <v>10710.07</v>
      </c>
    </row>
    <row r="8" spans="1:15" hidden="1" x14ac:dyDescent="0.35">
      <c r="A8" s="133" t="s">
        <v>62</v>
      </c>
      <c r="B8" s="130" t="s">
        <v>67</v>
      </c>
      <c r="C8" s="131">
        <v>0</v>
      </c>
      <c r="D8" s="131">
        <v>0</v>
      </c>
      <c r="E8" s="131">
        <v>0</v>
      </c>
      <c r="F8" s="131">
        <v>0</v>
      </c>
      <c r="G8" s="131">
        <v>0</v>
      </c>
      <c r="H8" s="131">
        <v>0</v>
      </c>
      <c r="I8" s="131">
        <v>0</v>
      </c>
      <c r="J8" s="131"/>
      <c r="K8" s="131"/>
      <c r="L8" s="131"/>
      <c r="M8" s="131"/>
      <c r="N8" s="131"/>
      <c r="O8" s="132">
        <f t="shared" si="1"/>
        <v>0</v>
      </c>
    </row>
    <row r="9" spans="1:15" hidden="1" x14ac:dyDescent="0.35">
      <c r="A9" s="129" t="s">
        <v>60</v>
      </c>
      <c r="B9" s="130" t="s">
        <v>68</v>
      </c>
      <c r="C9" s="131">
        <v>8015</v>
      </c>
      <c r="D9" s="131">
        <v>1838</v>
      </c>
      <c r="E9" s="131">
        <v>699</v>
      </c>
      <c r="F9" s="131">
        <v>2827.52</v>
      </c>
      <c r="G9" s="131">
        <v>1296</v>
      </c>
      <c r="H9" s="131">
        <v>0</v>
      </c>
      <c r="I9" s="131">
        <v>79</v>
      </c>
      <c r="J9" s="131"/>
      <c r="K9" s="131"/>
      <c r="L9" s="131"/>
      <c r="M9" s="131"/>
      <c r="N9" s="131"/>
      <c r="O9" s="132">
        <f t="shared" si="1"/>
        <v>14754.52</v>
      </c>
    </row>
    <row r="10" spans="1:15" hidden="1" x14ac:dyDescent="0.35">
      <c r="A10" s="134"/>
      <c r="B10" s="126" t="s">
        <v>69</v>
      </c>
      <c r="C10" s="127">
        <f t="shared" ref="C10:N10" si="3">SUM(C11:C13)</f>
        <v>7901</v>
      </c>
      <c r="D10" s="127">
        <f t="shared" si="3"/>
        <v>7360</v>
      </c>
      <c r="E10" s="127">
        <f t="shared" si="3"/>
        <v>6434</v>
      </c>
      <c r="F10" s="127">
        <f t="shared" si="3"/>
        <v>9543</v>
      </c>
      <c r="G10" s="127">
        <f t="shared" si="3"/>
        <v>5132</v>
      </c>
      <c r="H10" s="127">
        <f t="shared" si="3"/>
        <v>1992.25</v>
      </c>
      <c r="I10" s="127">
        <f t="shared" si="3"/>
        <v>2276</v>
      </c>
      <c r="J10" s="127">
        <f t="shared" si="3"/>
        <v>0</v>
      </c>
      <c r="K10" s="127">
        <f t="shared" si="3"/>
        <v>0</v>
      </c>
      <c r="L10" s="127">
        <f t="shared" si="3"/>
        <v>0</v>
      </c>
      <c r="M10" s="127">
        <f t="shared" si="3"/>
        <v>0</v>
      </c>
      <c r="N10" s="127">
        <f t="shared" si="3"/>
        <v>0</v>
      </c>
      <c r="O10" s="128">
        <f t="shared" si="1"/>
        <v>40638.25</v>
      </c>
    </row>
    <row r="11" spans="1:15" hidden="1" x14ac:dyDescent="0.35">
      <c r="A11" s="129" t="s">
        <v>60</v>
      </c>
      <c r="B11" s="130" t="s">
        <v>70</v>
      </c>
      <c r="C11" s="131">
        <v>5854</v>
      </c>
      <c r="D11" s="131">
        <v>5286</v>
      </c>
      <c r="E11" s="131">
        <v>4447</v>
      </c>
      <c r="F11" s="131">
        <v>6695</v>
      </c>
      <c r="G11" s="131">
        <v>3606</v>
      </c>
      <c r="H11" s="131">
        <v>1132</v>
      </c>
      <c r="I11" s="131">
        <v>1526</v>
      </c>
      <c r="J11" s="131"/>
      <c r="K11" s="131"/>
      <c r="L11" s="131"/>
      <c r="M11" s="131"/>
      <c r="N11" s="131"/>
      <c r="O11" s="132">
        <f t="shared" si="1"/>
        <v>28546</v>
      </c>
    </row>
    <row r="12" spans="1:15" hidden="1" x14ac:dyDescent="0.35">
      <c r="A12" s="129" t="s">
        <v>60</v>
      </c>
      <c r="B12" s="130" t="s">
        <v>71</v>
      </c>
      <c r="C12" s="131">
        <v>1236</v>
      </c>
      <c r="D12" s="131">
        <v>734</v>
      </c>
      <c r="E12" s="131">
        <v>617</v>
      </c>
      <c r="F12" s="131">
        <v>929</v>
      </c>
      <c r="G12" s="131">
        <v>501</v>
      </c>
      <c r="H12" s="131">
        <v>157</v>
      </c>
      <c r="I12" s="131">
        <v>212</v>
      </c>
      <c r="J12" s="131"/>
      <c r="K12" s="131"/>
      <c r="L12" s="131"/>
      <c r="M12" s="131"/>
      <c r="N12" s="131"/>
      <c r="O12" s="132">
        <f t="shared" si="1"/>
        <v>4386</v>
      </c>
    </row>
    <row r="13" spans="1:15" x14ac:dyDescent="0.35">
      <c r="A13" s="133" t="s">
        <v>62</v>
      </c>
      <c r="B13" s="130" t="s">
        <v>72</v>
      </c>
      <c r="C13" s="131">
        <v>811</v>
      </c>
      <c r="D13" s="131">
        <v>1340</v>
      </c>
      <c r="E13" s="131">
        <v>1370</v>
      </c>
      <c r="F13" s="131">
        <v>1919</v>
      </c>
      <c r="G13" s="131">
        <v>1025</v>
      </c>
      <c r="H13" s="131">
        <v>703.25</v>
      </c>
      <c r="I13" s="131">
        <v>538</v>
      </c>
      <c r="J13" s="131"/>
      <c r="K13" s="131"/>
      <c r="L13" s="131"/>
      <c r="M13" s="131"/>
      <c r="N13" s="131"/>
      <c r="O13" s="132">
        <f t="shared" si="1"/>
        <v>7706.25</v>
      </c>
    </row>
    <row r="14" spans="1:15" hidden="1" x14ac:dyDescent="0.35">
      <c r="A14" s="134"/>
      <c r="B14" s="126" t="s">
        <v>73</v>
      </c>
      <c r="C14" s="127">
        <f t="shared" ref="C14:N14" si="4">SUM(C15:C23)</f>
        <v>12077</v>
      </c>
      <c r="D14" s="127">
        <f t="shared" si="4"/>
        <v>19707</v>
      </c>
      <c r="E14" s="127">
        <f t="shared" si="4"/>
        <v>1327</v>
      </c>
      <c r="F14" s="127">
        <f t="shared" si="4"/>
        <v>2664.28</v>
      </c>
      <c r="G14" s="127">
        <f t="shared" si="4"/>
        <v>4475</v>
      </c>
      <c r="H14" s="127">
        <f t="shared" si="4"/>
        <v>1679.9299999999998</v>
      </c>
      <c r="I14" s="127">
        <f t="shared" si="4"/>
        <v>5752</v>
      </c>
      <c r="J14" s="127">
        <f t="shared" si="4"/>
        <v>0</v>
      </c>
      <c r="K14" s="127">
        <f t="shared" si="4"/>
        <v>0</v>
      </c>
      <c r="L14" s="127">
        <f t="shared" si="4"/>
        <v>0</v>
      </c>
      <c r="M14" s="127">
        <f t="shared" si="4"/>
        <v>0</v>
      </c>
      <c r="N14" s="127">
        <f t="shared" si="4"/>
        <v>0</v>
      </c>
      <c r="O14" s="128">
        <f t="shared" si="1"/>
        <v>47682.21</v>
      </c>
    </row>
    <row r="15" spans="1:15" hidden="1" x14ac:dyDescent="0.35">
      <c r="A15" s="129" t="s">
        <v>60</v>
      </c>
      <c r="B15" s="130" t="s">
        <v>74</v>
      </c>
      <c r="C15" s="131">
        <v>784</v>
      </c>
      <c r="D15" s="131">
        <v>779</v>
      </c>
      <c r="E15" s="131">
        <v>616</v>
      </c>
      <c r="F15" s="131">
        <v>372</v>
      </c>
      <c r="G15" s="131">
        <v>503</v>
      </c>
      <c r="H15" s="131">
        <v>506</v>
      </c>
      <c r="I15" s="131">
        <v>108</v>
      </c>
      <c r="J15" s="131"/>
      <c r="K15" s="131"/>
      <c r="L15" s="131"/>
      <c r="M15" s="131"/>
      <c r="N15" s="131"/>
      <c r="O15" s="132">
        <f t="shared" si="1"/>
        <v>3668</v>
      </c>
    </row>
    <row r="16" spans="1:15" hidden="1" x14ac:dyDescent="0.35">
      <c r="A16" s="129" t="s">
        <v>60</v>
      </c>
      <c r="B16" s="130" t="s">
        <v>75</v>
      </c>
      <c r="C16" s="131">
        <v>8960</v>
      </c>
      <c r="D16" s="131">
        <v>18928</v>
      </c>
      <c r="E16" s="131">
        <v>112</v>
      </c>
      <c r="F16" s="131">
        <v>2291.2800000000002</v>
      </c>
      <c r="G16" s="131">
        <v>928</v>
      </c>
      <c r="H16" s="131">
        <v>816.93</v>
      </c>
      <c r="I16" s="131">
        <v>219</v>
      </c>
      <c r="J16" s="131"/>
      <c r="K16" s="131"/>
      <c r="L16" s="131"/>
      <c r="M16" s="131"/>
      <c r="N16" s="131"/>
      <c r="O16" s="132">
        <f t="shared" si="1"/>
        <v>32255.21</v>
      </c>
    </row>
    <row r="17" spans="1:15" x14ac:dyDescent="0.35">
      <c r="A17" s="133" t="s">
        <v>62</v>
      </c>
      <c r="B17" s="130" t="s">
        <v>75</v>
      </c>
      <c r="C17" s="131">
        <v>0</v>
      </c>
      <c r="D17" s="131">
        <v>0</v>
      </c>
      <c r="E17" s="131">
        <v>599</v>
      </c>
      <c r="F17" s="131">
        <v>0</v>
      </c>
      <c r="G17" s="131">
        <v>4</v>
      </c>
      <c r="H17" s="131">
        <v>0</v>
      </c>
      <c r="I17" s="131">
        <v>0</v>
      </c>
      <c r="J17" s="131"/>
      <c r="K17" s="131"/>
      <c r="L17" s="131"/>
      <c r="M17" s="131"/>
      <c r="N17" s="131"/>
      <c r="O17" s="132">
        <f t="shared" si="1"/>
        <v>603</v>
      </c>
    </row>
    <row r="18" spans="1:15" hidden="1" x14ac:dyDescent="0.35">
      <c r="A18" s="129" t="s">
        <v>60</v>
      </c>
      <c r="B18" s="130" t="s">
        <v>76</v>
      </c>
      <c r="C18" s="131">
        <v>0</v>
      </c>
      <c r="D18" s="131">
        <v>0</v>
      </c>
      <c r="E18" s="131">
        <v>0</v>
      </c>
      <c r="F18" s="131">
        <v>0</v>
      </c>
      <c r="G18" s="131">
        <v>131</v>
      </c>
      <c r="H18" s="131">
        <v>357</v>
      </c>
      <c r="I18" s="131">
        <v>712</v>
      </c>
      <c r="J18" s="131"/>
      <c r="K18" s="131"/>
      <c r="L18" s="131"/>
      <c r="M18" s="131"/>
      <c r="N18" s="131"/>
      <c r="O18" s="132">
        <f t="shared" si="1"/>
        <v>1200</v>
      </c>
    </row>
    <row r="19" spans="1:15" hidden="1" x14ac:dyDescent="0.35">
      <c r="A19" s="133" t="s">
        <v>62</v>
      </c>
      <c r="B19" s="130" t="s">
        <v>76</v>
      </c>
      <c r="C19" s="131">
        <v>0</v>
      </c>
      <c r="D19" s="131">
        <v>0</v>
      </c>
      <c r="E19" s="131">
        <v>0</v>
      </c>
      <c r="F19" s="131">
        <v>0</v>
      </c>
      <c r="G19" s="131">
        <v>131</v>
      </c>
      <c r="H19" s="131">
        <v>0</v>
      </c>
      <c r="I19" s="131">
        <v>0</v>
      </c>
      <c r="J19" s="131"/>
      <c r="K19" s="131"/>
      <c r="L19" s="131"/>
      <c r="M19" s="131"/>
      <c r="N19" s="131"/>
      <c r="O19" s="132">
        <f t="shared" si="1"/>
        <v>131</v>
      </c>
    </row>
    <row r="20" spans="1:15" hidden="1" x14ac:dyDescent="0.35">
      <c r="A20" s="129" t="s">
        <v>60</v>
      </c>
      <c r="B20" s="130" t="s">
        <v>77</v>
      </c>
      <c r="C20" s="131">
        <v>0</v>
      </c>
      <c r="D20" s="131">
        <v>0</v>
      </c>
      <c r="E20" s="131">
        <v>0</v>
      </c>
      <c r="F20" s="131">
        <v>0</v>
      </c>
      <c r="G20" s="131">
        <v>0</v>
      </c>
      <c r="H20" s="131">
        <v>0</v>
      </c>
      <c r="I20" s="131">
        <v>0</v>
      </c>
      <c r="J20" s="131"/>
      <c r="K20" s="131"/>
      <c r="L20" s="131"/>
      <c r="M20" s="131"/>
      <c r="N20" s="131"/>
      <c r="O20" s="132">
        <f t="shared" si="1"/>
        <v>0</v>
      </c>
    </row>
    <row r="21" spans="1:15" hidden="1" x14ac:dyDescent="0.35">
      <c r="A21" s="133" t="s">
        <v>62</v>
      </c>
      <c r="B21" s="130" t="s">
        <v>77</v>
      </c>
      <c r="C21" s="131">
        <v>0</v>
      </c>
      <c r="D21" s="131">
        <v>0</v>
      </c>
      <c r="E21" s="131">
        <v>0</v>
      </c>
      <c r="F21" s="131">
        <v>0</v>
      </c>
      <c r="G21" s="131">
        <v>1500</v>
      </c>
      <c r="H21" s="131">
        <v>0</v>
      </c>
      <c r="I21" s="131"/>
      <c r="J21" s="131"/>
      <c r="K21" s="131"/>
      <c r="L21" s="131"/>
      <c r="M21" s="131"/>
      <c r="N21" s="131"/>
      <c r="O21" s="132">
        <f t="shared" si="1"/>
        <v>1500</v>
      </c>
    </row>
    <row r="22" spans="1:15" hidden="1" x14ac:dyDescent="0.35">
      <c r="A22" s="129" t="s">
        <v>60</v>
      </c>
      <c r="B22" s="130" t="s">
        <v>78</v>
      </c>
      <c r="C22" s="131">
        <v>2160</v>
      </c>
      <c r="D22" s="131">
        <v>0</v>
      </c>
      <c r="E22" s="131">
        <v>0</v>
      </c>
      <c r="F22" s="131">
        <v>0</v>
      </c>
      <c r="G22" s="131">
        <v>1183</v>
      </c>
      <c r="H22" s="131">
        <v>0</v>
      </c>
      <c r="I22" s="131">
        <v>4363</v>
      </c>
      <c r="J22" s="131"/>
      <c r="K22" s="131"/>
      <c r="L22" s="131"/>
      <c r="M22" s="131"/>
      <c r="N22" s="131"/>
      <c r="O22" s="132">
        <f t="shared" si="1"/>
        <v>7706</v>
      </c>
    </row>
    <row r="23" spans="1:15" hidden="1" x14ac:dyDescent="0.35">
      <c r="A23" s="129" t="s">
        <v>60</v>
      </c>
      <c r="B23" s="130" t="s">
        <v>79</v>
      </c>
      <c r="C23" s="131">
        <v>173</v>
      </c>
      <c r="D23" s="131">
        <v>0</v>
      </c>
      <c r="E23" s="131">
        <v>0</v>
      </c>
      <c r="F23" s="131">
        <v>1</v>
      </c>
      <c r="G23" s="131">
        <v>95</v>
      </c>
      <c r="H23" s="131">
        <v>0</v>
      </c>
      <c r="I23" s="131">
        <v>350</v>
      </c>
      <c r="J23" s="131"/>
      <c r="K23" s="131"/>
      <c r="L23" s="131"/>
      <c r="M23" s="131"/>
      <c r="N23" s="131"/>
      <c r="O23" s="132">
        <f t="shared" si="1"/>
        <v>619</v>
      </c>
    </row>
    <row r="24" spans="1:15" hidden="1" x14ac:dyDescent="0.35">
      <c r="A24" s="135" t="s">
        <v>60</v>
      </c>
      <c r="B24" s="136" t="s">
        <v>80</v>
      </c>
      <c r="C24" s="137">
        <v>22501</v>
      </c>
      <c r="D24" s="137">
        <v>16150</v>
      </c>
      <c r="E24" s="137">
        <v>20762</v>
      </c>
      <c r="F24" s="137">
        <v>28769</v>
      </c>
      <c r="G24" s="137">
        <v>43334</v>
      </c>
      <c r="H24" s="137">
        <v>14426</v>
      </c>
      <c r="I24" s="137">
        <v>18407</v>
      </c>
      <c r="J24" s="137"/>
      <c r="K24" s="137"/>
      <c r="L24" s="137"/>
      <c r="M24" s="137"/>
      <c r="N24" s="137"/>
      <c r="O24" s="138">
        <f t="shared" si="1"/>
        <v>164349</v>
      </c>
    </row>
    <row r="25" spans="1:15" hidden="1" x14ac:dyDescent="0.35">
      <c r="A25" s="139" t="s">
        <v>62</v>
      </c>
      <c r="B25" s="140" t="s">
        <v>81</v>
      </c>
      <c r="C25" s="141">
        <f t="shared" ref="C25:O25" si="5">C4+C5+C7+C8+C13+C17+C19+C21</f>
        <v>9390</v>
      </c>
      <c r="D25" s="141">
        <f t="shared" si="5"/>
        <v>9461</v>
      </c>
      <c r="E25" s="141">
        <f t="shared" si="5"/>
        <v>12740</v>
      </c>
      <c r="F25" s="141">
        <f t="shared" si="5"/>
        <v>31038</v>
      </c>
      <c r="G25" s="141">
        <f t="shared" si="5"/>
        <v>27566</v>
      </c>
      <c r="H25" s="141">
        <f t="shared" si="5"/>
        <v>27689.32</v>
      </c>
      <c r="I25" s="141">
        <f t="shared" si="5"/>
        <v>30132</v>
      </c>
      <c r="J25" s="141">
        <f t="shared" si="5"/>
        <v>0</v>
      </c>
      <c r="K25" s="141">
        <f t="shared" si="5"/>
        <v>0</v>
      </c>
      <c r="L25" s="141">
        <f t="shared" si="5"/>
        <v>0</v>
      </c>
      <c r="M25" s="141">
        <f t="shared" si="5"/>
        <v>0</v>
      </c>
      <c r="N25" s="141">
        <f t="shared" si="5"/>
        <v>0</v>
      </c>
      <c r="O25" s="141">
        <f t="shared" si="5"/>
        <v>148016.32000000001</v>
      </c>
    </row>
    <row r="26" spans="1:15" hidden="1" x14ac:dyDescent="0.35">
      <c r="A26" s="142" t="s">
        <v>60</v>
      </c>
      <c r="B26" s="143" t="s">
        <v>82</v>
      </c>
      <c r="C26" s="144">
        <f t="shared" ref="C26:O26" si="6">C3+C9+C11+C12+C15+C16+C18+C20+C22+C23+C24</f>
        <v>52135</v>
      </c>
      <c r="D26" s="144">
        <f t="shared" si="6"/>
        <v>47026</v>
      </c>
      <c r="E26" s="144">
        <f t="shared" si="6"/>
        <v>30105</v>
      </c>
      <c r="F26" s="144">
        <f t="shared" si="6"/>
        <v>45660.800000000003</v>
      </c>
      <c r="G26" s="144">
        <f t="shared" si="6"/>
        <v>54776</v>
      </c>
      <c r="H26" s="144">
        <f t="shared" si="6"/>
        <v>20757.93</v>
      </c>
      <c r="I26" s="144">
        <f t="shared" si="6"/>
        <v>30156</v>
      </c>
      <c r="J26" s="144">
        <f t="shared" si="6"/>
        <v>0</v>
      </c>
      <c r="K26" s="144">
        <f t="shared" si="6"/>
        <v>0</v>
      </c>
      <c r="L26" s="144">
        <f t="shared" si="6"/>
        <v>0</v>
      </c>
      <c r="M26" s="144">
        <f t="shared" si="6"/>
        <v>0</v>
      </c>
      <c r="N26" s="144">
        <f t="shared" si="6"/>
        <v>0</v>
      </c>
      <c r="O26" s="144">
        <f t="shared" si="6"/>
        <v>280616.73</v>
      </c>
    </row>
    <row r="27" spans="1:15" hidden="1" x14ac:dyDescent="0.35">
      <c r="A27" s="145" t="s">
        <v>31</v>
      </c>
      <c r="B27" s="146" t="s">
        <v>83</v>
      </c>
      <c r="C27" s="147">
        <f t="shared" ref="C27:O27" si="7">SUM(C25:C26)</f>
        <v>61525</v>
      </c>
      <c r="D27" s="147">
        <f t="shared" si="7"/>
        <v>56487</v>
      </c>
      <c r="E27" s="147">
        <f t="shared" si="7"/>
        <v>42845</v>
      </c>
      <c r="F27" s="147">
        <f t="shared" si="7"/>
        <v>76698.8</v>
      </c>
      <c r="G27" s="147">
        <f t="shared" si="7"/>
        <v>82342</v>
      </c>
      <c r="H27" s="147">
        <f t="shared" si="7"/>
        <v>48447.25</v>
      </c>
      <c r="I27" s="147">
        <f t="shared" si="7"/>
        <v>60288</v>
      </c>
      <c r="J27" s="147">
        <f t="shared" si="7"/>
        <v>0</v>
      </c>
      <c r="K27" s="147">
        <f t="shared" si="7"/>
        <v>0</v>
      </c>
      <c r="L27" s="147">
        <f t="shared" si="7"/>
        <v>0</v>
      </c>
      <c r="M27" s="147">
        <f t="shared" si="7"/>
        <v>0</v>
      </c>
      <c r="N27" s="147">
        <f t="shared" si="7"/>
        <v>0</v>
      </c>
      <c r="O27" s="147">
        <f t="shared" si="7"/>
        <v>428633.05</v>
      </c>
    </row>
    <row r="28" spans="1:15" x14ac:dyDescent="0.35">
      <c r="A28" s="125"/>
      <c r="B28" s="148"/>
      <c r="C28" s="149"/>
      <c r="D28" s="149"/>
      <c r="E28" s="149"/>
      <c r="F28" s="149"/>
      <c r="G28" s="149"/>
      <c r="H28" s="150"/>
      <c r="I28" s="150"/>
      <c r="J28" s="150"/>
      <c r="K28" s="150"/>
      <c r="L28" s="150"/>
      <c r="M28" s="150"/>
      <c r="N28" s="150"/>
      <c r="O28" s="151"/>
    </row>
    <row r="29" spans="1:15" x14ac:dyDescent="0.35">
      <c r="A29">
        <v>69000</v>
      </c>
      <c r="B29" t="s">
        <v>84</v>
      </c>
    </row>
  </sheetData>
  <autoFilter ref="A1:O27" xr:uid="{78652528-FE8D-4527-971F-2A30344F6A73}">
    <filterColumn colId="0">
      <filters>
        <filter val="B2B"/>
      </filters>
    </filterColumn>
    <filterColumn colId="4">
      <filters>
        <filter val="1.370"/>
        <filter val="599"/>
        <filter val="781"/>
        <filter val="9.990"/>
      </filters>
    </filterColumn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7F86F-C3A4-4959-B338-1D83F8D901CC}">
  <sheetPr>
    <tabColor rgb="FF92D050"/>
  </sheetPr>
  <dimension ref="C4:U42"/>
  <sheetViews>
    <sheetView showGridLines="0" zoomScale="120" zoomScaleNormal="120" workbookViewId="0">
      <selection activeCell="T7" sqref="T7:U16"/>
    </sheetView>
  </sheetViews>
  <sheetFormatPr defaultRowHeight="15.5" x14ac:dyDescent="0.35"/>
  <cols>
    <col min="1" max="1" width="6.453125" customWidth="1"/>
    <col min="3" max="3" width="14.1796875" bestFit="1" customWidth="1"/>
    <col min="4" max="4" width="13.81640625" bestFit="1" customWidth="1"/>
    <col min="5" max="5" width="8.7265625" customWidth="1"/>
    <col min="6" max="6" width="12.7265625" style="62" customWidth="1"/>
    <col min="7" max="7" width="8.7265625" customWidth="1"/>
    <col min="8" max="8" width="12.81640625" style="62" customWidth="1"/>
    <col min="9" max="9" width="10.54296875" customWidth="1"/>
    <col min="10" max="10" width="12.453125" style="62" customWidth="1"/>
    <col min="11" max="11" width="0.26953125" style="62" customWidth="1"/>
    <col min="12" max="12" width="10.1796875" style="73" customWidth="1"/>
    <col min="13" max="13" width="11.54296875" style="73" bestFit="1" customWidth="1"/>
    <col min="14" max="14" width="10.453125" bestFit="1" customWidth="1"/>
    <col min="21" max="21" width="10.26953125" bestFit="1" customWidth="1"/>
  </cols>
  <sheetData>
    <row r="4" spans="3:21" ht="14.5" x14ac:dyDescent="0.35">
      <c r="C4" s="310" t="s">
        <v>85</v>
      </c>
      <c r="D4" s="310"/>
      <c r="E4" s="310"/>
      <c r="F4" s="310"/>
      <c r="G4" s="310"/>
      <c r="H4" s="310"/>
      <c r="I4" s="310"/>
      <c r="J4" s="310"/>
      <c r="K4" s="310"/>
      <c r="L4" s="310"/>
      <c r="M4" s="310"/>
    </row>
    <row r="5" spans="3:21" ht="14.5" x14ac:dyDescent="0.35"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</row>
    <row r="6" spans="3:21" ht="9" customHeight="1" thickBot="1" x14ac:dyDescent="0.4"/>
    <row r="7" spans="3:21" x14ac:dyDescent="0.35">
      <c r="C7" s="311">
        <v>2025</v>
      </c>
      <c r="D7" s="312"/>
      <c r="E7" s="315" t="s">
        <v>34</v>
      </c>
      <c r="F7" s="316"/>
      <c r="G7" s="315" t="s">
        <v>35</v>
      </c>
      <c r="H7" s="316"/>
      <c r="I7" s="315" t="s">
        <v>36</v>
      </c>
      <c r="J7" s="316"/>
      <c r="K7" s="86"/>
      <c r="L7" s="317" t="s">
        <v>39</v>
      </c>
      <c r="M7" s="318"/>
      <c r="N7" s="315" t="s">
        <v>49</v>
      </c>
      <c r="O7" s="316"/>
      <c r="P7" s="315" t="s">
        <v>50</v>
      </c>
      <c r="Q7" s="316"/>
      <c r="R7" s="315" t="s">
        <v>131</v>
      </c>
      <c r="S7" s="316"/>
      <c r="T7" s="317" t="s">
        <v>133</v>
      </c>
      <c r="U7" s="318"/>
    </row>
    <row r="8" spans="3:21" ht="16" thickBot="1" x14ac:dyDescent="0.4">
      <c r="C8" s="313"/>
      <c r="D8" s="314"/>
      <c r="E8" s="68" t="s">
        <v>32</v>
      </c>
      <c r="F8" s="69" t="s">
        <v>33</v>
      </c>
      <c r="G8" s="68" t="s">
        <v>32</v>
      </c>
      <c r="H8" s="69" t="s">
        <v>33</v>
      </c>
      <c r="I8" s="68" t="s">
        <v>32</v>
      </c>
      <c r="J8" s="69" t="s">
        <v>33</v>
      </c>
      <c r="K8" s="87"/>
      <c r="L8" s="74" t="s">
        <v>32</v>
      </c>
      <c r="M8" s="75" t="s">
        <v>33</v>
      </c>
      <c r="N8" s="245" t="s">
        <v>32</v>
      </c>
      <c r="O8" s="246" t="s">
        <v>33</v>
      </c>
      <c r="P8" s="245" t="s">
        <v>32</v>
      </c>
      <c r="Q8" s="246" t="s">
        <v>33</v>
      </c>
      <c r="R8" s="245" t="s">
        <v>32</v>
      </c>
      <c r="S8" s="246" t="s">
        <v>33</v>
      </c>
      <c r="T8" s="251" t="s">
        <v>32</v>
      </c>
      <c r="U8" s="252" t="s">
        <v>33</v>
      </c>
    </row>
    <row r="9" spans="3:21" ht="16" thickBot="1" x14ac:dyDescent="0.4">
      <c r="C9" s="297" t="s">
        <v>28</v>
      </c>
      <c r="D9" s="61" t="s">
        <v>29</v>
      </c>
      <c r="E9" s="67">
        <v>3</v>
      </c>
      <c r="F9" s="64">
        <v>900</v>
      </c>
      <c r="G9" s="66"/>
      <c r="H9" s="63"/>
      <c r="I9" s="67">
        <v>3</v>
      </c>
      <c r="J9" s="64">
        <v>300</v>
      </c>
      <c r="K9" s="88"/>
      <c r="L9" s="76">
        <f>E9+G9+I9</f>
        <v>6</v>
      </c>
      <c r="M9" s="77">
        <f>F9+H9+J9</f>
        <v>1200</v>
      </c>
      <c r="N9" s="155"/>
      <c r="O9" s="154"/>
      <c r="P9" s="155">
        <v>1</v>
      </c>
      <c r="Q9" s="154">
        <v>300</v>
      </c>
      <c r="R9" s="155">
        <v>2</v>
      </c>
      <c r="S9" s="154">
        <v>600</v>
      </c>
      <c r="T9" s="157">
        <f>N9+P9+R9</f>
        <v>3</v>
      </c>
      <c r="U9" s="158">
        <f>O9+Q9+S9</f>
        <v>900</v>
      </c>
    </row>
    <row r="10" spans="3:21" x14ac:dyDescent="0.35">
      <c r="C10" s="298"/>
      <c r="D10" s="60" t="s">
        <v>86</v>
      </c>
      <c r="E10" s="67"/>
      <c r="F10" s="64"/>
      <c r="G10" s="67"/>
      <c r="H10" s="64"/>
      <c r="I10" s="67"/>
      <c r="J10" s="64"/>
      <c r="K10" s="89"/>
      <c r="L10" s="78">
        <v>3</v>
      </c>
      <c r="M10" s="79">
        <f t="shared" ref="M10:M12" si="0">F10+H10+J10</f>
        <v>0</v>
      </c>
      <c r="N10" s="67"/>
      <c r="O10" s="64"/>
      <c r="P10" s="67">
        <v>43</v>
      </c>
      <c r="Q10" s="64">
        <v>1287</v>
      </c>
      <c r="R10" s="67">
        <v>42</v>
      </c>
      <c r="S10" s="64">
        <f>1280</f>
        <v>1280</v>
      </c>
      <c r="T10" s="76">
        <f t="shared" ref="T10:T12" si="1">N10+P10+R10</f>
        <v>85</v>
      </c>
      <c r="U10" s="79">
        <f t="shared" ref="U10:U12" si="2">O10+Q10+S10</f>
        <v>2567</v>
      </c>
    </row>
    <row r="11" spans="3:21" x14ac:dyDescent="0.35">
      <c r="C11" s="298"/>
      <c r="D11" s="60" t="s">
        <v>30</v>
      </c>
      <c r="E11" s="67"/>
      <c r="F11" s="64"/>
      <c r="G11" s="67"/>
      <c r="H11" s="64"/>
      <c r="I11" s="67"/>
      <c r="J11" s="64"/>
      <c r="K11" s="89"/>
      <c r="L11" s="78">
        <f>E11+G11+I11</f>
        <v>0</v>
      </c>
      <c r="M11" s="79">
        <f t="shared" si="0"/>
        <v>0</v>
      </c>
      <c r="N11" s="67"/>
      <c r="O11" s="64"/>
      <c r="P11" s="67"/>
      <c r="Q11" s="64"/>
      <c r="R11" s="67"/>
      <c r="S11" s="64"/>
      <c r="T11" s="78">
        <f t="shared" si="1"/>
        <v>0</v>
      </c>
      <c r="U11" s="79">
        <f t="shared" si="2"/>
        <v>0</v>
      </c>
    </row>
    <row r="12" spans="3:21" x14ac:dyDescent="0.35">
      <c r="C12" s="330" t="s">
        <v>87</v>
      </c>
      <c r="D12" s="331"/>
      <c r="E12" s="72">
        <v>3</v>
      </c>
      <c r="F12" s="65">
        <v>810</v>
      </c>
      <c r="G12" s="72">
        <v>3</v>
      </c>
      <c r="H12" s="65">
        <v>540</v>
      </c>
      <c r="I12" s="72">
        <v>5</v>
      </c>
      <c r="J12" s="65">
        <v>900</v>
      </c>
      <c r="K12" s="90"/>
      <c r="L12" s="95">
        <f>E12+G12+I12</f>
        <v>11</v>
      </c>
      <c r="M12" s="79">
        <f t="shared" si="0"/>
        <v>2250</v>
      </c>
      <c r="N12" s="72"/>
      <c r="O12" s="65"/>
      <c r="P12" s="72">
        <v>5</v>
      </c>
      <c r="Q12" s="65">
        <v>900</v>
      </c>
      <c r="R12" s="72">
        <v>6</v>
      </c>
      <c r="S12" s="65">
        <v>1080</v>
      </c>
      <c r="T12" s="95">
        <f t="shared" si="1"/>
        <v>11</v>
      </c>
      <c r="U12" s="79">
        <f t="shared" si="2"/>
        <v>1980</v>
      </c>
    </row>
    <row r="13" spans="3:21" ht="16" thickBot="1" x14ac:dyDescent="0.4">
      <c r="C13" s="332" t="s">
        <v>31</v>
      </c>
      <c r="D13" s="333"/>
      <c r="E13" s="302">
        <f>SUM(F9:F12)</f>
        <v>1710</v>
      </c>
      <c r="F13" s="303"/>
      <c r="G13" s="302">
        <f>SUM(H9:H12)</f>
        <v>540</v>
      </c>
      <c r="H13" s="303"/>
      <c r="I13" s="302">
        <f>SUM(J9:J12)</f>
        <v>1200</v>
      </c>
      <c r="J13" s="303"/>
      <c r="K13" s="91"/>
      <c r="L13" s="320">
        <f>SUM(M9:M12)</f>
        <v>3450</v>
      </c>
      <c r="M13" s="321"/>
      <c r="N13" s="302">
        <f>SUM(O9:O12)</f>
        <v>0</v>
      </c>
      <c r="O13" s="303"/>
      <c r="P13" s="302">
        <f>SUM(Q9:Q12)</f>
        <v>2487</v>
      </c>
      <c r="Q13" s="303"/>
      <c r="R13" s="302">
        <f>SUM(S9:S12)</f>
        <v>2960</v>
      </c>
      <c r="S13" s="303"/>
      <c r="T13" s="320">
        <f>SUM(U9:U12)</f>
        <v>5447</v>
      </c>
      <c r="U13" s="321"/>
    </row>
    <row r="14" spans="3:21" ht="9.75" customHeight="1" x14ac:dyDescent="0.35">
      <c r="O14" s="62"/>
      <c r="Q14" s="62"/>
      <c r="S14" s="62"/>
      <c r="T14" s="73"/>
      <c r="U14" s="73"/>
    </row>
    <row r="15" spans="3:21" x14ac:dyDescent="0.35">
      <c r="C15" s="286" t="s">
        <v>42</v>
      </c>
      <c r="D15" s="287"/>
      <c r="E15" s="326">
        <v>0</v>
      </c>
      <c r="F15" s="327"/>
      <c r="G15" s="326">
        <v>42328</v>
      </c>
      <c r="H15" s="327"/>
      <c r="I15" s="326">
        <f>L15-G15</f>
        <v>35671</v>
      </c>
      <c r="J15" s="327"/>
      <c r="K15" s="98"/>
      <c r="L15" s="328">
        <v>77999</v>
      </c>
      <c r="M15" s="329"/>
      <c r="N15" s="326">
        <v>48215.78</v>
      </c>
      <c r="O15" s="327"/>
      <c r="P15" s="326">
        <v>39471.67</v>
      </c>
      <c r="Q15" s="327"/>
      <c r="R15" s="326">
        <v>25753.71</v>
      </c>
      <c r="S15" s="327"/>
      <c r="T15" s="328">
        <f>N15+P15+R15</f>
        <v>113441.16</v>
      </c>
      <c r="U15" s="329"/>
    </row>
    <row r="16" spans="3:21" x14ac:dyDescent="0.35">
      <c r="C16" s="292" t="s">
        <v>44</v>
      </c>
      <c r="D16" s="292"/>
      <c r="E16" s="62" t="s">
        <v>88</v>
      </c>
      <c r="F16" s="99"/>
      <c r="G16" s="99"/>
      <c r="H16" s="99">
        <f>G13/G15</f>
        <v>1.2757512757512758E-2</v>
      </c>
      <c r="I16" s="99"/>
      <c r="J16" s="99">
        <f>I13/I15</f>
        <v>3.3640772616411088E-2</v>
      </c>
      <c r="K16" s="96"/>
      <c r="L16" s="97"/>
      <c r="M16" s="96">
        <f>L13/L15</f>
        <v>4.423133629918332E-2</v>
      </c>
      <c r="N16" s="62"/>
      <c r="O16" s="99">
        <f>N13/N15</f>
        <v>0</v>
      </c>
      <c r="P16" s="99"/>
      <c r="Q16" s="99">
        <f>P13/P15</f>
        <v>6.3007215048159856E-2</v>
      </c>
      <c r="R16" s="99"/>
      <c r="S16" s="99">
        <f>R13/R15</f>
        <v>0.11493489675856411</v>
      </c>
      <c r="U16" s="99">
        <f>T13/T15</f>
        <v>4.8016081640914109E-2</v>
      </c>
    </row>
    <row r="17" spans="3:21" x14ac:dyDescent="0.35">
      <c r="O17" s="62"/>
      <c r="Q17" s="62"/>
      <c r="S17" s="62"/>
    </row>
    <row r="18" spans="3:21" ht="16" thickBot="1" x14ac:dyDescent="0.4">
      <c r="O18" s="62"/>
      <c r="Q18" s="62"/>
      <c r="S18" s="62"/>
    </row>
    <row r="19" spans="3:21" x14ac:dyDescent="0.35">
      <c r="C19" s="293">
        <v>2026</v>
      </c>
      <c r="D19" s="294"/>
      <c r="E19" s="278" t="s">
        <v>34</v>
      </c>
      <c r="F19" s="279"/>
      <c r="G19" s="278" t="s">
        <v>35</v>
      </c>
      <c r="H19" s="279"/>
      <c r="I19" s="278" t="s">
        <v>36</v>
      </c>
      <c r="J19" s="279"/>
      <c r="K19" s="92"/>
      <c r="L19" s="280" t="s">
        <v>38</v>
      </c>
      <c r="M19" s="281"/>
      <c r="N19" s="278" t="s">
        <v>49</v>
      </c>
      <c r="O19" s="279"/>
      <c r="P19" s="278" t="s">
        <v>50</v>
      </c>
      <c r="Q19" s="279"/>
      <c r="R19" s="278" t="s">
        <v>131</v>
      </c>
      <c r="S19" s="279"/>
      <c r="T19" s="280" t="s">
        <v>132</v>
      </c>
      <c r="U19" s="281"/>
    </row>
    <row r="20" spans="3:21" ht="16" thickBot="1" x14ac:dyDescent="0.4">
      <c r="C20" s="295"/>
      <c r="D20" s="296"/>
      <c r="E20" s="70" t="s">
        <v>32</v>
      </c>
      <c r="F20" s="71" t="s">
        <v>33</v>
      </c>
      <c r="G20" s="70" t="s">
        <v>32</v>
      </c>
      <c r="H20" s="71" t="s">
        <v>33</v>
      </c>
      <c r="I20" s="70" t="s">
        <v>32</v>
      </c>
      <c r="J20" s="71" t="s">
        <v>33</v>
      </c>
      <c r="K20" s="93"/>
      <c r="L20" s="80" t="s">
        <v>32</v>
      </c>
      <c r="M20" s="81" t="s">
        <v>33</v>
      </c>
      <c r="N20" s="247" t="s">
        <v>32</v>
      </c>
      <c r="O20" s="248" t="s">
        <v>33</v>
      </c>
      <c r="P20" s="247" t="s">
        <v>32</v>
      </c>
      <c r="Q20" s="248" t="s">
        <v>33</v>
      </c>
      <c r="R20" s="247" t="s">
        <v>32</v>
      </c>
      <c r="S20" s="248" t="s">
        <v>33</v>
      </c>
      <c r="T20" s="249" t="s">
        <v>32</v>
      </c>
      <c r="U20" s="250" t="s">
        <v>33</v>
      </c>
    </row>
    <row r="21" spans="3:21" x14ac:dyDescent="0.35">
      <c r="C21" s="297" t="s">
        <v>28</v>
      </c>
      <c r="D21" s="61" t="s">
        <v>29</v>
      </c>
      <c r="E21" s="67">
        <v>1</v>
      </c>
      <c r="F21" s="64">
        <v>300</v>
      </c>
      <c r="G21" s="66"/>
      <c r="H21" s="63"/>
      <c r="I21" s="66"/>
      <c r="J21" s="63"/>
      <c r="K21" s="88"/>
      <c r="L21" s="82">
        <f>E21+G21+I21</f>
        <v>1</v>
      </c>
      <c r="M21" s="83">
        <f>F21+H21+J21</f>
        <v>300</v>
      </c>
      <c r="N21" s="155">
        <v>1</v>
      </c>
      <c r="O21" s="154">
        <v>300</v>
      </c>
      <c r="P21" s="155"/>
      <c r="Q21" s="154"/>
      <c r="R21" s="155">
        <v>1</v>
      </c>
      <c r="S21" s="154">
        <v>300</v>
      </c>
      <c r="T21" s="164">
        <f>N21+P21+R21</f>
        <v>2</v>
      </c>
      <c r="U21" s="165">
        <f>O21+Q21+S21</f>
        <v>600</v>
      </c>
    </row>
    <row r="22" spans="3:21" x14ac:dyDescent="0.35">
      <c r="C22" s="298"/>
      <c r="D22" s="60" t="s">
        <v>86</v>
      </c>
      <c r="E22" s="67"/>
      <c r="F22" s="64"/>
      <c r="G22" s="67"/>
      <c r="H22" s="64"/>
      <c r="I22" s="67"/>
      <c r="J22" s="64"/>
      <c r="K22" s="89"/>
      <c r="L22" s="84">
        <f>(E22+G22+I22)/3</f>
        <v>0</v>
      </c>
      <c r="M22" s="85">
        <f t="shared" ref="M22:M24" si="3">F22+H22+J22</f>
        <v>0</v>
      </c>
      <c r="N22" s="67"/>
      <c r="O22" s="64"/>
      <c r="P22" s="67"/>
      <c r="Q22" s="64"/>
      <c r="R22" s="67"/>
      <c r="S22" s="64"/>
      <c r="T22" s="84">
        <f t="shared" ref="T22:T24" si="4">N22+P22+R22</f>
        <v>0</v>
      </c>
      <c r="U22" s="85">
        <f t="shared" ref="U22:U24" si="5">O22+Q22+S22</f>
        <v>0</v>
      </c>
    </row>
    <row r="23" spans="3:21" x14ac:dyDescent="0.35">
      <c r="C23" s="298"/>
      <c r="D23" s="60" t="s">
        <v>30</v>
      </c>
      <c r="E23" s="67"/>
      <c r="F23" s="64"/>
      <c r="G23" s="67"/>
      <c r="H23" s="64"/>
      <c r="I23" s="67"/>
      <c r="J23" s="64"/>
      <c r="K23" s="89"/>
      <c r="L23" s="84">
        <f>E23+G23+I23</f>
        <v>0</v>
      </c>
      <c r="M23" s="85">
        <f t="shared" si="3"/>
        <v>0</v>
      </c>
      <c r="N23" s="67"/>
      <c r="O23" s="64"/>
      <c r="P23" s="67"/>
      <c r="Q23" s="64"/>
      <c r="R23" s="67"/>
      <c r="S23" s="64"/>
      <c r="T23" s="84">
        <f t="shared" si="4"/>
        <v>0</v>
      </c>
      <c r="U23" s="85">
        <f t="shared" si="5"/>
        <v>0</v>
      </c>
    </row>
    <row r="24" spans="3:21" x14ac:dyDescent="0.35">
      <c r="C24" s="330" t="s">
        <v>87</v>
      </c>
      <c r="D24" s="331"/>
      <c r="E24" s="67">
        <v>9</v>
      </c>
      <c r="F24" s="64">
        <v>810</v>
      </c>
      <c r="G24" s="67">
        <v>2</v>
      </c>
      <c r="H24" s="64">
        <v>270</v>
      </c>
      <c r="I24" s="67">
        <v>0</v>
      </c>
      <c r="J24" s="64"/>
      <c r="K24" s="89">
        <v>0</v>
      </c>
      <c r="L24" s="94">
        <f>E24+G24+I24</f>
        <v>11</v>
      </c>
      <c r="M24" s="85">
        <f t="shared" si="3"/>
        <v>1080</v>
      </c>
      <c r="N24" s="67">
        <v>9</v>
      </c>
      <c r="O24" s="64">
        <v>810</v>
      </c>
      <c r="P24" s="67"/>
      <c r="Q24" s="64"/>
      <c r="R24" s="109">
        <v>2</v>
      </c>
      <c r="S24" s="64">
        <v>540</v>
      </c>
      <c r="T24" s="94">
        <f t="shared" si="4"/>
        <v>11</v>
      </c>
      <c r="U24" s="85">
        <f t="shared" si="5"/>
        <v>1350</v>
      </c>
    </row>
    <row r="25" spans="3:21" ht="16" thickBot="1" x14ac:dyDescent="0.4">
      <c r="C25" s="284" t="s">
        <v>41</v>
      </c>
      <c r="D25" s="285"/>
      <c r="E25" s="322">
        <f>SUM(F21:F24)</f>
        <v>1110</v>
      </c>
      <c r="F25" s="323"/>
      <c r="G25" s="322">
        <f>SUM(H21:H24)</f>
        <v>270</v>
      </c>
      <c r="H25" s="323"/>
      <c r="I25" s="322">
        <f>SUM(J21:J24)</f>
        <v>0</v>
      </c>
      <c r="J25" s="323"/>
      <c r="K25" s="91"/>
      <c r="L25" s="306">
        <f>SUM(M21:M24)</f>
        <v>1380</v>
      </c>
      <c r="M25" s="307"/>
      <c r="N25" s="322">
        <f>SUM(O21:O24)</f>
        <v>1110</v>
      </c>
      <c r="O25" s="323"/>
      <c r="P25" s="322">
        <f>SUM(Q21:Q24)</f>
        <v>0</v>
      </c>
      <c r="Q25" s="323"/>
      <c r="R25" s="322">
        <f>SUM(S21:S24)</f>
        <v>840</v>
      </c>
      <c r="S25" s="323"/>
      <c r="T25" s="306">
        <f>SUM(U21:U24)</f>
        <v>1950</v>
      </c>
      <c r="U25" s="307"/>
    </row>
    <row r="26" spans="3:21" ht="9.75" customHeight="1" x14ac:dyDescent="0.35">
      <c r="O26" s="62"/>
      <c r="Q26" s="62"/>
      <c r="S26" s="62"/>
    </row>
    <row r="27" spans="3:21" x14ac:dyDescent="0.35">
      <c r="C27" s="286" t="s">
        <v>42</v>
      </c>
      <c r="D27" s="287"/>
      <c r="E27" s="324">
        <v>59734</v>
      </c>
      <c r="F27" s="325"/>
      <c r="G27" s="324">
        <v>38493</v>
      </c>
      <c r="H27" s="325"/>
      <c r="I27" s="324">
        <v>39506</v>
      </c>
      <c r="J27" s="325"/>
      <c r="L27" s="328">
        <f>SUM(E27:J27)</f>
        <v>137733</v>
      </c>
      <c r="M27" s="329"/>
      <c r="N27" s="324">
        <v>43645</v>
      </c>
      <c r="O27" s="325"/>
      <c r="P27" s="324">
        <v>38223.72</v>
      </c>
      <c r="Q27" s="325"/>
      <c r="R27" s="324">
        <v>29854.91</v>
      </c>
      <c r="S27" s="325"/>
      <c r="T27" s="328">
        <f>N27+P27+R27</f>
        <v>111723.63</v>
      </c>
      <c r="U27" s="329"/>
    </row>
    <row r="28" spans="3:21" x14ac:dyDescent="0.35">
      <c r="C28" s="292" t="s">
        <v>44</v>
      </c>
      <c r="D28" s="292"/>
      <c r="E28" s="62"/>
      <c r="F28" s="96">
        <f>E25/E27</f>
        <v>1.8582381893059229E-2</v>
      </c>
      <c r="G28" s="96"/>
      <c r="H28" s="96">
        <f>G25/G27</f>
        <v>7.0142623334112694E-3</v>
      </c>
      <c r="I28" s="96"/>
      <c r="J28" s="96">
        <f>I25/I27</f>
        <v>0</v>
      </c>
      <c r="K28" s="96"/>
      <c r="L28" s="97"/>
      <c r="M28" s="99">
        <f>L25/L27</f>
        <v>1.0019385332491124E-2</v>
      </c>
      <c r="N28" s="62"/>
      <c r="O28" s="96">
        <f>N25/N27</f>
        <v>2.5432466491006989E-2</v>
      </c>
      <c r="P28" s="96"/>
      <c r="Q28" s="96">
        <f>P25/P27</f>
        <v>0</v>
      </c>
      <c r="R28" s="96"/>
      <c r="S28" s="96">
        <f>R25/R27</f>
        <v>2.8136075439517318E-2</v>
      </c>
      <c r="U28" s="99">
        <f>T25/T27</f>
        <v>1.7453783053772955E-2</v>
      </c>
    </row>
    <row r="29" spans="3:21" x14ac:dyDescent="0.35">
      <c r="I29" s="13" t="s">
        <v>89</v>
      </c>
      <c r="O29" s="62"/>
      <c r="Q29" s="62"/>
      <c r="R29" s="13"/>
      <c r="S29" s="62"/>
    </row>
    <row r="30" spans="3:21" x14ac:dyDescent="0.35">
      <c r="F30" s="120"/>
      <c r="G30" s="58"/>
      <c r="H30" s="121"/>
      <c r="O30" s="120"/>
      <c r="P30" s="58"/>
      <c r="Q30" s="121"/>
      <c r="S30" s="62"/>
    </row>
    <row r="31" spans="3:21" ht="16" thickBot="1" x14ac:dyDescent="0.4">
      <c r="F31" s="101"/>
      <c r="H31" s="101"/>
    </row>
    <row r="32" spans="3:21" x14ac:dyDescent="0.35">
      <c r="C32" s="293">
        <v>2025</v>
      </c>
      <c r="D32" s="294"/>
      <c r="E32" s="278" t="s">
        <v>105</v>
      </c>
      <c r="F32" s="279"/>
      <c r="G32" s="278" t="s">
        <v>106</v>
      </c>
      <c r="H32" s="279"/>
      <c r="I32" s="278" t="s">
        <v>107</v>
      </c>
      <c r="J32" s="279"/>
      <c r="K32" s="92"/>
      <c r="L32" s="280" t="s">
        <v>108</v>
      </c>
      <c r="M32" s="281"/>
    </row>
    <row r="33" spans="3:13" ht="16" thickBot="1" x14ac:dyDescent="0.4">
      <c r="C33" s="295"/>
      <c r="D33" s="296"/>
      <c r="E33" s="70" t="s">
        <v>32</v>
      </c>
      <c r="F33" s="71" t="s">
        <v>33</v>
      </c>
      <c r="G33" s="70" t="s">
        <v>32</v>
      </c>
      <c r="H33" s="71" t="s">
        <v>33</v>
      </c>
      <c r="I33" s="70" t="s">
        <v>32</v>
      </c>
      <c r="J33" s="71" t="s">
        <v>33</v>
      </c>
      <c r="K33" s="93"/>
      <c r="L33" s="80" t="s">
        <v>32</v>
      </c>
      <c r="M33" s="81" t="s">
        <v>33</v>
      </c>
    </row>
    <row r="34" spans="3:13" x14ac:dyDescent="0.35">
      <c r="C34" s="297" t="s">
        <v>28</v>
      </c>
      <c r="D34" s="61" t="s">
        <v>29</v>
      </c>
      <c r="E34" s="67">
        <v>1</v>
      </c>
      <c r="F34" s="64">
        <v>300</v>
      </c>
      <c r="G34" s="66"/>
      <c r="H34" s="63">
        <v>900</v>
      </c>
      <c r="I34" s="66"/>
      <c r="J34" s="64">
        <v>300</v>
      </c>
      <c r="K34" s="88"/>
      <c r="L34" s="82">
        <f>E34+G34+I34</f>
        <v>1</v>
      </c>
      <c r="M34" s="83">
        <f>F34+H34+J34</f>
        <v>1500</v>
      </c>
    </row>
    <row r="35" spans="3:13" x14ac:dyDescent="0.35">
      <c r="C35" s="298"/>
      <c r="D35" s="60" t="s">
        <v>86</v>
      </c>
      <c r="E35" s="67"/>
      <c r="F35" s="64"/>
      <c r="G35" s="67"/>
      <c r="H35" s="64"/>
      <c r="I35" s="67"/>
      <c r="J35" s="64"/>
      <c r="K35" s="89"/>
      <c r="L35" s="84">
        <f>(E35+G35+I35)/3</f>
        <v>0</v>
      </c>
      <c r="M35" s="85">
        <f t="shared" ref="M35:M37" si="6">F35+H35+J35</f>
        <v>0</v>
      </c>
    </row>
    <row r="36" spans="3:13" x14ac:dyDescent="0.35">
      <c r="C36" s="298"/>
      <c r="D36" s="60" t="s">
        <v>30</v>
      </c>
      <c r="E36" s="67"/>
      <c r="F36" s="64"/>
      <c r="G36" s="67"/>
      <c r="H36" s="64"/>
      <c r="I36" s="67"/>
      <c r="J36" s="64"/>
      <c r="K36" s="89"/>
      <c r="L36" s="84">
        <f>E36+G36+I36</f>
        <v>0</v>
      </c>
      <c r="M36" s="85">
        <f t="shared" si="6"/>
        <v>0</v>
      </c>
    </row>
    <row r="37" spans="3:13" x14ac:dyDescent="0.35">
      <c r="C37" s="330" t="s">
        <v>87</v>
      </c>
      <c r="D37" s="331"/>
      <c r="E37" s="67"/>
      <c r="F37" s="64">
        <v>810</v>
      </c>
      <c r="G37" s="67">
        <v>2</v>
      </c>
      <c r="H37" s="64">
        <v>540</v>
      </c>
      <c r="I37" s="67">
        <v>0</v>
      </c>
      <c r="J37" s="64">
        <v>1080</v>
      </c>
      <c r="K37" s="89">
        <v>0</v>
      </c>
      <c r="L37" s="94">
        <f>E37+G37+I37</f>
        <v>2</v>
      </c>
      <c r="M37" s="85">
        <f t="shared" si="6"/>
        <v>2430</v>
      </c>
    </row>
    <row r="38" spans="3:13" ht="16" thickBot="1" x14ac:dyDescent="0.4">
      <c r="C38" s="284" t="s">
        <v>41</v>
      </c>
      <c r="D38" s="285"/>
      <c r="E38" s="322">
        <f>SUM(F34:F37)</f>
        <v>1110</v>
      </c>
      <c r="F38" s="323"/>
      <c r="G38" s="322">
        <f>SUM(H34:H37)</f>
        <v>1440</v>
      </c>
      <c r="H38" s="323"/>
      <c r="I38" s="322">
        <f>SUM(J34:J37)</f>
        <v>1380</v>
      </c>
      <c r="J38" s="323"/>
      <c r="K38" s="91"/>
      <c r="L38" s="306">
        <f>SUM(M34:M37)</f>
        <v>3930</v>
      </c>
      <c r="M38" s="307"/>
    </row>
    <row r="40" spans="3:13" x14ac:dyDescent="0.35">
      <c r="C40" s="286" t="s">
        <v>42</v>
      </c>
      <c r="D40" s="287"/>
      <c r="E40" s="324">
        <v>76143</v>
      </c>
      <c r="F40" s="325"/>
      <c r="G40" s="324">
        <v>66256</v>
      </c>
      <c r="H40" s="325"/>
      <c r="I40" s="324">
        <v>60550</v>
      </c>
      <c r="J40" s="325"/>
      <c r="L40" s="328">
        <f>SUM(E40:J40)</f>
        <v>202949</v>
      </c>
      <c r="M40" s="329"/>
    </row>
    <row r="41" spans="3:13" x14ac:dyDescent="0.35">
      <c r="C41" s="292" t="s">
        <v>44</v>
      </c>
      <c r="D41" s="292"/>
      <c r="E41" s="62"/>
      <c r="F41" s="96">
        <f>E38/E40</f>
        <v>1.4577833812694535E-2</v>
      </c>
      <c r="G41" s="96"/>
      <c r="H41" s="96">
        <f>G38/G40</f>
        <v>2.1733880705143684E-2</v>
      </c>
      <c r="I41" s="96"/>
      <c r="J41" s="96">
        <f>I38/I40</f>
        <v>2.2791081750619321E-2</v>
      </c>
      <c r="K41" s="96"/>
      <c r="L41" s="97"/>
      <c r="M41" s="99">
        <f>L38/L40</f>
        <v>1.9364470876919816E-2</v>
      </c>
    </row>
    <row r="42" spans="3:13" x14ac:dyDescent="0.35">
      <c r="I42" s="13"/>
    </row>
  </sheetData>
  <mergeCells count="79">
    <mergeCell ref="T27:U27"/>
    <mergeCell ref="T7:U7"/>
    <mergeCell ref="T13:U13"/>
    <mergeCell ref="T15:U15"/>
    <mergeCell ref="T19:U19"/>
    <mergeCell ref="T25:U25"/>
    <mergeCell ref="C4:M5"/>
    <mergeCell ref="C7:D8"/>
    <mergeCell ref="E7:F7"/>
    <mergeCell ref="G7:H7"/>
    <mergeCell ref="I7:J7"/>
    <mergeCell ref="L7:M7"/>
    <mergeCell ref="C9:C11"/>
    <mergeCell ref="C12:D12"/>
    <mergeCell ref="C13:D13"/>
    <mergeCell ref="E13:F13"/>
    <mergeCell ref="G13:H13"/>
    <mergeCell ref="L19:M19"/>
    <mergeCell ref="L13:M13"/>
    <mergeCell ref="C15:D15"/>
    <mergeCell ref="E15:F15"/>
    <mergeCell ref="G15:H15"/>
    <mergeCell ref="I15:J15"/>
    <mergeCell ref="L15:M15"/>
    <mergeCell ref="I13:J13"/>
    <mergeCell ref="C16:D16"/>
    <mergeCell ref="C19:D20"/>
    <mergeCell ref="E19:F19"/>
    <mergeCell ref="G19:H19"/>
    <mergeCell ref="I19:J19"/>
    <mergeCell ref="C21:C23"/>
    <mergeCell ref="C24:D24"/>
    <mergeCell ref="C25:D25"/>
    <mergeCell ref="E25:F25"/>
    <mergeCell ref="G25:H25"/>
    <mergeCell ref="C28:D28"/>
    <mergeCell ref="L25:M25"/>
    <mergeCell ref="C27:D27"/>
    <mergeCell ref="E27:F27"/>
    <mergeCell ref="G27:H27"/>
    <mergeCell ref="I27:J27"/>
    <mergeCell ref="L27:M27"/>
    <mergeCell ref="I25:J25"/>
    <mergeCell ref="C32:D33"/>
    <mergeCell ref="E32:F32"/>
    <mergeCell ref="G32:H32"/>
    <mergeCell ref="I32:J32"/>
    <mergeCell ref="L32:M32"/>
    <mergeCell ref="C34:C36"/>
    <mergeCell ref="C37:D37"/>
    <mergeCell ref="C38:D38"/>
    <mergeCell ref="E38:F38"/>
    <mergeCell ref="G38:H38"/>
    <mergeCell ref="C41:D41"/>
    <mergeCell ref="I38:J38"/>
    <mergeCell ref="L38:M38"/>
    <mergeCell ref="C40:D40"/>
    <mergeCell ref="E40:F40"/>
    <mergeCell ref="G40:H40"/>
    <mergeCell ref="I40:J40"/>
    <mergeCell ref="L40:M40"/>
    <mergeCell ref="N7:O7"/>
    <mergeCell ref="P7:Q7"/>
    <mergeCell ref="R7:S7"/>
    <mergeCell ref="N13:O13"/>
    <mergeCell ref="P13:Q13"/>
    <mergeCell ref="R13:S13"/>
    <mergeCell ref="N15:O15"/>
    <mergeCell ref="P15:Q15"/>
    <mergeCell ref="R15:S15"/>
    <mergeCell ref="N19:O19"/>
    <mergeCell ref="P19:Q19"/>
    <mergeCell ref="R19:S19"/>
    <mergeCell ref="N25:O25"/>
    <mergeCell ref="P25:Q25"/>
    <mergeCell ref="R25:S25"/>
    <mergeCell ref="N27:O27"/>
    <mergeCell ref="P27:Q27"/>
    <mergeCell ref="R27:S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244D-0C81-4D60-B531-85301A460758}">
  <sheetPr>
    <tabColor rgb="FF92D050"/>
  </sheetPr>
  <dimension ref="C4:U42"/>
  <sheetViews>
    <sheetView showGridLines="0" topLeftCell="G7" zoomScale="110" zoomScaleNormal="110" workbookViewId="0">
      <selection activeCell="T7" sqref="T7:U13"/>
    </sheetView>
  </sheetViews>
  <sheetFormatPr defaultRowHeight="15.5" x14ac:dyDescent="0.35"/>
  <cols>
    <col min="1" max="1" width="6.453125" customWidth="1"/>
    <col min="3" max="3" width="14.1796875" bestFit="1" customWidth="1"/>
    <col min="4" max="4" width="13.81640625" bestFit="1" customWidth="1"/>
    <col min="5" max="5" width="8.7265625" bestFit="1" customWidth="1"/>
    <col min="6" max="6" width="12.7265625" style="62" customWidth="1"/>
    <col min="7" max="7" width="8.7265625" bestFit="1" customWidth="1"/>
    <col min="8" max="8" width="12.81640625" style="62" customWidth="1"/>
    <col min="9" max="9" width="10.54296875" bestFit="1" customWidth="1"/>
    <col min="10" max="10" width="12.453125" style="62" customWidth="1"/>
    <col min="11" max="11" width="0.26953125" style="62" customWidth="1"/>
    <col min="12" max="12" width="10.1796875" style="73" customWidth="1"/>
    <col min="13" max="13" width="11.54296875" style="73" bestFit="1" customWidth="1"/>
    <col min="14" max="14" width="8.7265625" bestFit="1" customWidth="1"/>
    <col min="15" max="15" width="12.7265625" style="62" customWidth="1"/>
    <col min="16" max="16" width="8.7265625" bestFit="1" customWidth="1"/>
    <col min="17" max="17" width="12.81640625" style="62" customWidth="1"/>
    <col min="18" max="18" width="10.54296875" bestFit="1" customWidth="1"/>
    <col min="19" max="19" width="12.453125" style="62" customWidth="1"/>
    <col min="21" max="21" width="11.7265625" bestFit="1" customWidth="1"/>
  </cols>
  <sheetData>
    <row r="4" spans="3:21" ht="14.5" x14ac:dyDescent="0.35">
      <c r="C4" s="310" t="s">
        <v>90</v>
      </c>
      <c r="D4" s="310"/>
      <c r="E4" s="310"/>
      <c r="F4" s="310"/>
      <c r="G4" s="310"/>
      <c r="H4" s="310"/>
      <c r="I4" s="310"/>
      <c r="J4" s="310"/>
      <c r="K4" s="310"/>
      <c r="L4" s="310"/>
      <c r="M4" s="310"/>
      <c r="O4"/>
      <c r="Q4"/>
      <c r="S4"/>
    </row>
    <row r="5" spans="3:21" ht="14.5" x14ac:dyDescent="0.35"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  <c r="O5"/>
      <c r="Q5"/>
      <c r="S5"/>
    </row>
    <row r="6" spans="3:21" ht="9" customHeight="1" thickBot="1" x14ac:dyDescent="0.4"/>
    <row r="7" spans="3:21" x14ac:dyDescent="0.35">
      <c r="C7" s="311">
        <v>2025</v>
      </c>
      <c r="D7" s="312"/>
      <c r="E7" s="315" t="s">
        <v>34</v>
      </c>
      <c r="F7" s="316"/>
      <c r="G7" s="315" t="s">
        <v>35</v>
      </c>
      <c r="H7" s="316"/>
      <c r="I7" s="315" t="s">
        <v>36</v>
      </c>
      <c r="J7" s="316"/>
      <c r="K7" s="86"/>
      <c r="L7" s="317" t="s">
        <v>39</v>
      </c>
      <c r="M7" s="318"/>
      <c r="N7" s="315" t="s">
        <v>49</v>
      </c>
      <c r="O7" s="316"/>
      <c r="P7" s="315" t="s">
        <v>50</v>
      </c>
      <c r="Q7" s="316"/>
      <c r="R7" s="315" t="s">
        <v>131</v>
      </c>
      <c r="S7" s="316"/>
      <c r="T7" s="317" t="s">
        <v>133</v>
      </c>
      <c r="U7" s="318"/>
    </row>
    <row r="8" spans="3:21" ht="16" thickBot="1" x14ac:dyDescent="0.4">
      <c r="C8" s="313"/>
      <c r="D8" s="314"/>
      <c r="E8" s="68" t="s">
        <v>32</v>
      </c>
      <c r="F8" s="69" t="s">
        <v>33</v>
      </c>
      <c r="G8" s="68" t="s">
        <v>32</v>
      </c>
      <c r="H8" s="69" t="s">
        <v>33</v>
      </c>
      <c r="I8" s="68" t="s">
        <v>32</v>
      </c>
      <c r="J8" s="69" t="s">
        <v>33</v>
      </c>
      <c r="K8" s="87"/>
      <c r="L8" s="74" t="s">
        <v>32</v>
      </c>
      <c r="M8" s="75" t="s">
        <v>33</v>
      </c>
      <c r="N8" s="245" t="s">
        <v>32</v>
      </c>
      <c r="O8" s="246" t="s">
        <v>33</v>
      </c>
      <c r="P8" s="245" t="s">
        <v>32</v>
      </c>
      <c r="Q8" s="246" t="s">
        <v>33</v>
      </c>
      <c r="R8" s="245" t="s">
        <v>32</v>
      </c>
      <c r="S8" s="246" t="s">
        <v>33</v>
      </c>
      <c r="T8" s="251" t="s">
        <v>32</v>
      </c>
      <c r="U8" s="252" t="s">
        <v>33</v>
      </c>
    </row>
    <row r="9" spans="3:21" ht="16" thickBot="1" x14ac:dyDescent="0.4">
      <c r="C9" s="297" t="s">
        <v>28</v>
      </c>
      <c r="D9" s="61" t="s">
        <v>29</v>
      </c>
      <c r="E9" s="67"/>
      <c r="F9" s="64"/>
      <c r="G9" s="66"/>
      <c r="H9" s="63"/>
      <c r="I9" s="67"/>
      <c r="J9" s="64"/>
      <c r="K9" s="88"/>
      <c r="L9" s="76">
        <f>E9+G9+I9</f>
        <v>0</v>
      </c>
      <c r="M9" s="77">
        <f>F9+H9+J9</f>
        <v>0</v>
      </c>
      <c r="N9" s="155"/>
      <c r="O9" s="154"/>
      <c r="P9" s="155"/>
      <c r="Q9" s="154"/>
      <c r="R9" s="155"/>
      <c r="S9" s="154"/>
      <c r="T9" s="157">
        <f>N9+P9+R9</f>
        <v>0</v>
      </c>
      <c r="U9" s="158">
        <f>O9+Q9+S9</f>
        <v>0</v>
      </c>
    </row>
    <row r="10" spans="3:21" x14ac:dyDescent="0.35">
      <c r="C10" s="298"/>
      <c r="D10" s="60" t="s">
        <v>86</v>
      </c>
      <c r="E10" s="67">
        <v>7</v>
      </c>
      <c r="F10" s="64">
        <v>3150</v>
      </c>
      <c r="G10" s="67">
        <v>5</v>
      </c>
      <c r="H10" s="64">
        <v>2250</v>
      </c>
      <c r="I10" s="67">
        <v>4</v>
      </c>
      <c r="J10" s="64">
        <v>1800</v>
      </c>
      <c r="K10" s="89"/>
      <c r="L10" s="78">
        <v>3</v>
      </c>
      <c r="M10" s="79">
        <f t="shared" ref="M10:M12" si="0">F10+H10+J10</f>
        <v>7200</v>
      </c>
      <c r="N10" s="67">
        <v>3</v>
      </c>
      <c r="O10" s="64">
        <v>1350</v>
      </c>
      <c r="P10" s="67"/>
      <c r="Q10" s="64"/>
      <c r="R10" s="67">
        <v>6</v>
      </c>
      <c r="S10" s="64">
        <f>R10*450</f>
        <v>2700</v>
      </c>
      <c r="T10" s="76">
        <f t="shared" ref="T10:U12" si="1">N10+P10+R10</f>
        <v>9</v>
      </c>
      <c r="U10" s="79">
        <f t="shared" si="1"/>
        <v>4050</v>
      </c>
    </row>
    <row r="11" spans="3:21" x14ac:dyDescent="0.35">
      <c r="C11" s="298"/>
      <c r="D11" s="60" t="s">
        <v>30</v>
      </c>
      <c r="E11" s="67"/>
      <c r="F11" s="64"/>
      <c r="G11" s="67"/>
      <c r="H11" s="64"/>
      <c r="I11" s="67"/>
      <c r="J11" s="64"/>
      <c r="K11" s="89"/>
      <c r="L11" s="78">
        <f>E11+G11+I11</f>
        <v>0</v>
      </c>
      <c r="M11" s="79">
        <f t="shared" si="0"/>
        <v>0</v>
      </c>
      <c r="N11" s="67"/>
      <c r="O11" s="64"/>
      <c r="P11" s="67"/>
      <c r="Q11" s="64"/>
      <c r="R11" s="67"/>
      <c r="S11" s="64"/>
      <c r="T11" s="78">
        <f t="shared" si="1"/>
        <v>0</v>
      </c>
      <c r="U11" s="79">
        <f t="shared" si="1"/>
        <v>0</v>
      </c>
    </row>
    <row r="12" spans="3:21" x14ac:dyDescent="0.35">
      <c r="C12" s="330" t="s">
        <v>87</v>
      </c>
      <c r="D12" s="331"/>
      <c r="E12" s="72">
        <v>17</v>
      </c>
      <c r="F12" s="65">
        <v>2660</v>
      </c>
      <c r="G12" s="72">
        <v>36</v>
      </c>
      <c r="H12" s="65">
        <v>7625</v>
      </c>
      <c r="I12" s="72">
        <v>27</v>
      </c>
      <c r="J12" s="65">
        <v>3580</v>
      </c>
      <c r="K12" s="90"/>
      <c r="L12" s="95">
        <f>E12+G12+I12</f>
        <v>80</v>
      </c>
      <c r="M12" s="79">
        <f t="shared" si="0"/>
        <v>13865</v>
      </c>
      <c r="N12" s="72">
        <v>36</v>
      </c>
      <c r="O12" s="65">
        <v>7605</v>
      </c>
      <c r="P12" s="72"/>
      <c r="Q12" s="65"/>
      <c r="R12" s="72">
        <v>42</v>
      </c>
      <c r="S12" s="65">
        <v>8880</v>
      </c>
      <c r="T12" s="95">
        <f t="shared" si="1"/>
        <v>78</v>
      </c>
      <c r="U12" s="79">
        <f t="shared" si="1"/>
        <v>16485</v>
      </c>
    </row>
    <row r="13" spans="3:21" ht="16" thickBot="1" x14ac:dyDescent="0.4">
      <c r="C13" s="332" t="s">
        <v>31</v>
      </c>
      <c r="D13" s="333"/>
      <c r="E13" s="302">
        <f>SUM(F9:F12)</f>
        <v>5810</v>
      </c>
      <c r="F13" s="303"/>
      <c r="G13" s="302">
        <f>SUM(H9:H12)</f>
        <v>9875</v>
      </c>
      <c r="H13" s="303"/>
      <c r="I13" s="302">
        <f>SUM(J9:J12)</f>
        <v>5380</v>
      </c>
      <c r="J13" s="303"/>
      <c r="K13" s="91"/>
      <c r="L13" s="320">
        <f>SUM(M9:M12)</f>
        <v>21065</v>
      </c>
      <c r="M13" s="321"/>
      <c r="N13" s="302">
        <f>SUM(O9:O12)</f>
        <v>8955</v>
      </c>
      <c r="O13" s="303"/>
      <c r="P13" s="302">
        <f>SUM(Q9:Q12)</f>
        <v>0</v>
      </c>
      <c r="Q13" s="303"/>
      <c r="R13" s="302">
        <f>SUM(S9:S12)</f>
        <v>11580</v>
      </c>
      <c r="S13" s="303"/>
      <c r="T13" s="320">
        <f>SUM(U9:U12)</f>
        <v>20535</v>
      </c>
      <c r="U13" s="321"/>
    </row>
    <row r="14" spans="3:21" ht="9.75" customHeight="1" x14ac:dyDescent="0.35">
      <c r="T14" s="73"/>
      <c r="U14" s="73"/>
    </row>
    <row r="15" spans="3:21" x14ac:dyDescent="0.35">
      <c r="C15" s="286" t="s">
        <v>42</v>
      </c>
      <c r="D15" s="287"/>
      <c r="E15" s="326"/>
      <c r="F15" s="327"/>
      <c r="G15" s="326">
        <v>202532</v>
      </c>
      <c r="H15" s="327"/>
      <c r="I15" s="326">
        <v>154308</v>
      </c>
      <c r="J15" s="327"/>
      <c r="K15" s="98"/>
      <c r="L15" s="328">
        <f>SUM(E15:J15)</f>
        <v>356840</v>
      </c>
      <c r="M15" s="329"/>
      <c r="N15" s="326">
        <v>194062.28</v>
      </c>
      <c r="O15" s="327"/>
      <c r="P15" s="326">
        <v>168263.84</v>
      </c>
      <c r="Q15" s="327"/>
      <c r="R15" s="326">
        <v>294677.48</v>
      </c>
      <c r="S15" s="327"/>
      <c r="T15" s="328">
        <f>N15+P15+R15</f>
        <v>657003.6</v>
      </c>
      <c r="U15" s="329"/>
    </row>
    <row r="16" spans="3:21" x14ac:dyDescent="0.35">
      <c r="C16" s="292" t="s">
        <v>44</v>
      </c>
      <c r="D16" s="292"/>
      <c r="E16" s="62" t="s">
        <v>88</v>
      </c>
      <c r="F16" s="99"/>
      <c r="G16" s="99"/>
      <c r="H16" s="99">
        <f>G13/G15</f>
        <v>4.8757727173977444E-2</v>
      </c>
      <c r="I16" s="99"/>
      <c r="J16" s="99">
        <f>I13/I15</f>
        <v>3.4865334266531871E-2</v>
      </c>
      <c r="K16" s="96"/>
      <c r="L16" s="97"/>
      <c r="M16" s="96">
        <f>L13/L15</f>
        <v>5.9032059186189888E-2</v>
      </c>
      <c r="N16" s="62"/>
      <c r="O16" s="99">
        <f>N13/N15</f>
        <v>4.6144979848737222E-2</v>
      </c>
      <c r="P16" s="99"/>
      <c r="Q16" s="99">
        <f>P13/P15</f>
        <v>0</v>
      </c>
      <c r="R16" s="99"/>
      <c r="S16" s="99">
        <f>R13/R15</f>
        <v>3.9297200451150864E-2</v>
      </c>
      <c r="U16" s="99">
        <f>T13/T15</f>
        <v>3.1255536499343387E-2</v>
      </c>
    </row>
    <row r="18" spans="3:21" ht="16" thickBot="1" x14ac:dyDescent="0.4"/>
    <row r="19" spans="3:21" x14ac:dyDescent="0.35">
      <c r="C19" s="344">
        <v>2025</v>
      </c>
      <c r="D19" s="345"/>
      <c r="E19" s="334" t="s">
        <v>105</v>
      </c>
      <c r="F19" s="335"/>
      <c r="G19" s="334" t="s">
        <v>106</v>
      </c>
      <c r="H19" s="335"/>
      <c r="I19" s="334" t="s">
        <v>107</v>
      </c>
      <c r="J19" s="335"/>
      <c r="K19" s="92"/>
      <c r="L19" s="336" t="s">
        <v>108</v>
      </c>
      <c r="M19" s="337"/>
      <c r="O19"/>
      <c r="Q19"/>
      <c r="S19"/>
    </row>
    <row r="20" spans="3:21" ht="16" thickBot="1" x14ac:dyDescent="0.4">
      <c r="C20" s="346"/>
      <c r="D20" s="347"/>
      <c r="E20" s="218" t="s">
        <v>32</v>
      </c>
      <c r="F20" s="219" t="s">
        <v>33</v>
      </c>
      <c r="G20" s="218" t="s">
        <v>32</v>
      </c>
      <c r="H20" s="219" t="s">
        <v>33</v>
      </c>
      <c r="I20" s="218" t="s">
        <v>32</v>
      </c>
      <c r="J20" s="219" t="s">
        <v>33</v>
      </c>
      <c r="K20" s="93"/>
      <c r="L20" s="211" t="s">
        <v>32</v>
      </c>
      <c r="M20" s="212" t="s">
        <v>33</v>
      </c>
      <c r="O20"/>
      <c r="Q20"/>
      <c r="S20"/>
    </row>
    <row r="21" spans="3:21" x14ac:dyDescent="0.35">
      <c r="C21" s="297" t="s">
        <v>28</v>
      </c>
      <c r="D21" s="61" t="s">
        <v>29</v>
      </c>
      <c r="E21" s="67"/>
      <c r="F21" s="64">
        <v>3150</v>
      </c>
      <c r="G21" s="66"/>
      <c r="H21" s="64">
        <v>3150</v>
      </c>
      <c r="I21" s="66"/>
      <c r="J21" s="64">
        <v>2250</v>
      </c>
      <c r="K21" s="88"/>
      <c r="L21" s="213">
        <f>E21+G21+I21</f>
        <v>0</v>
      </c>
      <c r="M21" s="214">
        <f>F21+H21+J21</f>
        <v>8550</v>
      </c>
      <c r="O21"/>
      <c r="Q21"/>
      <c r="S21"/>
    </row>
    <row r="22" spans="3:21" x14ac:dyDescent="0.35">
      <c r="C22" s="298"/>
      <c r="D22" s="60" t="s">
        <v>86</v>
      </c>
      <c r="E22" s="67"/>
      <c r="F22" s="64"/>
      <c r="G22" s="67"/>
      <c r="H22" s="64"/>
      <c r="I22" s="67"/>
      <c r="J22" s="64"/>
      <c r="K22" s="89"/>
      <c r="L22" s="215">
        <f>(E22+G22+I22)/3</f>
        <v>0</v>
      </c>
      <c r="M22" s="216">
        <f t="shared" ref="M22:M24" si="2">F22+H22+J22</f>
        <v>0</v>
      </c>
      <c r="O22"/>
      <c r="Q22"/>
      <c r="S22"/>
    </row>
    <row r="23" spans="3:21" x14ac:dyDescent="0.35">
      <c r="C23" s="298"/>
      <c r="D23" s="60" t="s">
        <v>30</v>
      </c>
      <c r="E23" s="67"/>
      <c r="F23" s="64"/>
      <c r="G23" s="67"/>
      <c r="H23" s="64"/>
      <c r="I23" s="67"/>
      <c r="J23" s="64"/>
      <c r="K23" s="89"/>
      <c r="L23" s="215">
        <f>E23+G23+I23</f>
        <v>0</v>
      </c>
      <c r="M23" s="216">
        <f t="shared" si="2"/>
        <v>0</v>
      </c>
      <c r="O23"/>
      <c r="Q23"/>
      <c r="S23"/>
    </row>
    <row r="24" spans="3:21" x14ac:dyDescent="0.35">
      <c r="C24" s="330" t="s">
        <v>87</v>
      </c>
      <c r="D24" s="331"/>
      <c r="E24" s="67"/>
      <c r="F24" s="64">
        <v>9145</v>
      </c>
      <c r="G24" s="67"/>
      <c r="H24" s="64">
        <v>9900</v>
      </c>
      <c r="I24" s="67"/>
      <c r="J24" s="64">
        <v>12490</v>
      </c>
      <c r="K24" s="89">
        <v>0</v>
      </c>
      <c r="L24" s="217">
        <f>E24+G24+I24</f>
        <v>0</v>
      </c>
      <c r="M24" s="216">
        <f t="shared" si="2"/>
        <v>31535</v>
      </c>
      <c r="O24"/>
      <c r="Q24"/>
      <c r="S24"/>
    </row>
    <row r="25" spans="3:21" ht="16" thickBot="1" x14ac:dyDescent="0.4">
      <c r="C25" s="338" t="s">
        <v>41</v>
      </c>
      <c r="D25" s="339"/>
      <c r="E25" s="340">
        <f>SUM(F21:F24)</f>
        <v>12295</v>
      </c>
      <c r="F25" s="341"/>
      <c r="G25" s="340">
        <f>SUM(H21:H24)</f>
        <v>13050</v>
      </c>
      <c r="H25" s="341"/>
      <c r="I25" s="340">
        <f>SUM(J21:J24)</f>
        <v>14740</v>
      </c>
      <c r="J25" s="341"/>
      <c r="K25" s="91"/>
      <c r="L25" s="342">
        <f>SUM(M21:M24)</f>
        <v>40085</v>
      </c>
      <c r="M25" s="343"/>
      <c r="O25"/>
      <c r="Q25"/>
      <c r="S25"/>
    </row>
    <row r="26" spans="3:21" x14ac:dyDescent="0.35">
      <c r="O26"/>
      <c r="Q26"/>
      <c r="S26"/>
    </row>
    <row r="27" spans="3:21" x14ac:dyDescent="0.35">
      <c r="C27" s="286" t="s">
        <v>42</v>
      </c>
      <c r="D27" s="287"/>
      <c r="E27" s="324">
        <v>282533</v>
      </c>
      <c r="F27" s="325"/>
      <c r="G27" s="324">
        <v>319986</v>
      </c>
      <c r="H27" s="325"/>
      <c r="I27" s="324">
        <v>257039</v>
      </c>
      <c r="J27" s="325"/>
      <c r="L27" s="328">
        <f>SUM(E27:J27)</f>
        <v>859558</v>
      </c>
      <c r="M27" s="329"/>
      <c r="O27"/>
      <c r="Q27"/>
      <c r="S27"/>
    </row>
    <row r="28" spans="3:21" x14ac:dyDescent="0.35">
      <c r="M28" s="209">
        <f>L25/L27</f>
        <v>4.6634433045821225E-2</v>
      </c>
    </row>
    <row r="29" spans="3:21" ht="16" thickBot="1" x14ac:dyDescent="0.4"/>
    <row r="30" spans="3:21" x14ac:dyDescent="0.35">
      <c r="C30" s="293">
        <v>2026</v>
      </c>
      <c r="D30" s="294"/>
      <c r="E30" s="278" t="s">
        <v>34</v>
      </c>
      <c r="F30" s="279"/>
      <c r="G30" s="278" t="s">
        <v>35</v>
      </c>
      <c r="H30" s="279"/>
      <c r="I30" s="278" t="s">
        <v>36</v>
      </c>
      <c r="J30" s="279"/>
      <c r="K30" s="92"/>
      <c r="L30" s="280" t="s">
        <v>38</v>
      </c>
      <c r="M30" s="281"/>
      <c r="N30" s="278" t="s">
        <v>49</v>
      </c>
      <c r="O30" s="279"/>
      <c r="P30" s="278" t="s">
        <v>50</v>
      </c>
      <c r="Q30" s="279"/>
      <c r="R30" s="278" t="s">
        <v>131</v>
      </c>
      <c r="S30" s="279"/>
      <c r="T30" s="317" t="s">
        <v>133</v>
      </c>
      <c r="U30" s="318"/>
    </row>
    <row r="31" spans="3:21" ht="16" thickBot="1" x14ac:dyDescent="0.4">
      <c r="C31" s="295"/>
      <c r="D31" s="296"/>
      <c r="E31" s="70" t="s">
        <v>32</v>
      </c>
      <c r="F31" s="71" t="s">
        <v>33</v>
      </c>
      <c r="G31" s="70" t="s">
        <v>32</v>
      </c>
      <c r="H31" s="71" t="s">
        <v>33</v>
      </c>
      <c r="I31" s="70" t="s">
        <v>32</v>
      </c>
      <c r="J31" s="71" t="s">
        <v>33</v>
      </c>
      <c r="K31" s="93"/>
      <c r="L31" s="80" t="s">
        <v>32</v>
      </c>
      <c r="M31" s="81" t="s">
        <v>33</v>
      </c>
      <c r="N31" s="70" t="s">
        <v>32</v>
      </c>
      <c r="O31" s="71" t="s">
        <v>33</v>
      </c>
      <c r="P31" s="70" t="s">
        <v>32</v>
      </c>
      <c r="Q31" s="71" t="s">
        <v>33</v>
      </c>
      <c r="R31" s="70" t="s">
        <v>32</v>
      </c>
      <c r="S31" s="71" t="s">
        <v>33</v>
      </c>
      <c r="T31" s="251" t="s">
        <v>32</v>
      </c>
      <c r="U31" s="252" t="s">
        <v>33</v>
      </c>
    </row>
    <row r="32" spans="3:21" ht="16" thickBot="1" x14ac:dyDescent="0.4">
      <c r="C32" s="297" t="s">
        <v>28</v>
      </c>
      <c r="D32" s="61" t="s">
        <v>29</v>
      </c>
      <c r="E32" s="67">
        <v>2</v>
      </c>
      <c r="F32" s="64">
        <v>120</v>
      </c>
      <c r="G32" s="66">
        <v>2</v>
      </c>
      <c r="H32" s="64">
        <v>120</v>
      </c>
      <c r="I32" s="66">
        <v>3</v>
      </c>
      <c r="J32" s="63">
        <v>180</v>
      </c>
      <c r="K32" s="88"/>
      <c r="L32" s="82">
        <f>E32+G32+I32</f>
        <v>7</v>
      </c>
      <c r="M32" s="83">
        <f>F32+H32+J32</f>
        <v>420</v>
      </c>
      <c r="N32" s="67">
        <v>5</v>
      </c>
      <c r="O32" s="64">
        <f>60*N32</f>
        <v>300</v>
      </c>
      <c r="P32" s="66">
        <v>4</v>
      </c>
      <c r="Q32" s="64">
        <f>60*P32</f>
        <v>240</v>
      </c>
      <c r="R32" s="66">
        <v>2</v>
      </c>
      <c r="S32" s="64">
        <f>60*R32</f>
        <v>120</v>
      </c>
      <c r="T32" s="157">
        <f>N32+P32+R32</f>
        <v>11</v>
      </c>
      <c r="U32" s="158">
        <f>O32+Q32+S32</f>
        <v>660</v>
      </c>
    </row>
    <row r="33" spans="3:21" x14ac:dyDescent="0.35">
      <c r="C33" s="298"/>
      <c r="D33" s="60" t="s">
        <v>86</v>
      </c>
      <c r="E33" s="67">
        <v>2</v>
      </c>
      <c r="F33" s="64">
        <v>420</v>
      </c>
      <c r="G33" s="67">
        <v>2</v>
      </c>
      <c r="H33" s="64">
        <v>420</v>
      </c>
      <c r="I33" s="67">
        <v>3</v>
      </c>
      <c r="J33" s="64">
        <v>660</v>
      </c>
      <c r="K33" s="89"/>
      <c r="L33" s="84">
        <f>(E33+G33+I33)/3</f>
        <v>2.3333333333333335</v>
      </c>
      <c r="M33" s="85">
        <f t="shared" ref="M33:M35" si="3">F33+H33+J33</f>
        <v>1500</v>
      </c>
      <c r="N33" s="67">
        <v>5</v>
      </c>
      <c r="O33" s="64">
        <f>210*N33</f>
        <v>1050</v>
      </c>
      <c r="P33" s="67">
        <v>4</v>
      </c>
      <c r="Q33" s="64">
        <f>210*P33</f>
        <v>840</v>
      </c>
      <c r="R33" s="67">
        <v>2</v>
      </c>
      <c r="S33" s="64">
        <f>210*R33</f>
        <v>420</v>
      </c>
      <c r="T33" s="76">
        <f t="shared" ref="T33:U35" si="4">N33+P33+R33</f>
        <v>11</v>
      </c>
      <c r="U33" s="79">
        <f t="shared" si="4"/>
        <v>2310</v>
      </c>
    </row>
    <row r="34" spans="3:21" x14ac:dyDescent="0.35">
      <c r="C34" s="298"/>
      <c r="D34" s="60" t="s">
        <v>30</v>
      </c>
      <c r="E34" s="67">
        <v>2</v>
      </c>
      <c r="F34" s="64">
        <v>120</v>
      </c>
      <c r="G34" s="67">
        <v>2</v>
      </c>
      <c r="H34" s="64">
        <v>120</v>
      </c>
      <c r="I34" s="67">
        <v>3</v>
      </c>
      <c r="J34" s="64">
        <v>180</v>
      </c>
      <c r="K34" s="89"/>
      <c r="L34" s="84">
        <f>E34+G34+I34</f>
        <v>7</v>
      </c>
      <c r="M34" s="85">
        <f t="shared" si="3"/>
        <v>420</v>
      </c>
      <c r="N34" s="67">
        <v>5</v>
      </c>
      <c r="O34" s="64">
        <f>60*N34</f>
        <v>300</v>
      </c>
      <c r="P34" s="67">
        <v>4</v>
      </c>
      <c r="Q34" s="64">
        <f>60*P34</f>
        <v>240</v>
      </c>
      <c r="R34" s="67">
        <v>2</v>
      </c>
      <c r="S34" s="64">
        <f>60*R34</f>
        <v>120</v>
      </c>
      <c r="T34" s="78">
        <f t="shared" si="4"/>
        <v>11</v>
      </c>
      <c r="U34" s="79">
        <f t="shared" si="4"/>
        <v>660</v>
      </c>
    </row>
    <row r="35" spans="3:21" x14ac:dyDescent="0.35">
      <c r="C35" s="330" t="s">
        <v>87</v>
      </c>
      <c r="D35" s="331"/>
      <c r="E35" s="67">
        <v>41</v>
      </c>
      <c r="F35" s="64">
        <f>5000-660</f>
        <v>4340</v>
      </c>
      <c r="G35" s="67">
        <v>34</v>
      </c>
      <c r="H35" s="64">
        <f>4090-660</f>
        <v>3430</v>
      </c>
      <c r="I35" s="67">
        <v>39</v>
      </c>
      <c r="J35" s="64">
        <f>4935-1020</f>
        <v>3915</v>
      </c>
      <c r="K35" s="89">
        <v>0</v>
      </c>
      <c r="L35" s="94">
        <f>E35+G35+I35</f>
        <v>114</v>
      </c>
      <c r="M35" s="85">
        <f t="shared" si="3"/>
        <v>11685</v>
      </c>
      <c r="N35" s="67">
        <v>39</v>
      </c>
      <c r="O35" s="64">
        <f>5665-O32-O33-O34</f>
        <v>4015</v>
      </c>
      <c r="P35" s="67">
        <v>47</v>
      </c>
      <c r="Q35" s="64">
        <f>6890-Q32-Q33-Q34</f>
        <v>5570</v>
      </c>
      <c r="R35" s="67">
        <v>38.166666666666664</v>
      </c>
      <c r="S35" s="64">
        <f>5240-S32-S33-S34</f>
        <v>4580</v>
      </c>
      <c r="T35" s="95">
        <f t="shared" si="4"/>
        <v>124.16666666666666</v>
      </c>
      <c r="U35" s="79">
        <f t="shared" si="4"/>
        <v>14165</v>
      </c>
    </row>
    <row r="36" spans="3:21" ht="16" thickBot="1" x14ac:dyDescent="0.4">
      <c r="C36" s="284" t="s">
        <v>41</v>
      </c>
      <c r="D36" s="285"/>
      <c r="E36" s="322">
        <f>SUM(F32:F35)</f>
        <v>5000</v>
      </c>
      <c r="F36" s="323"/>
      <c r="G36" s="322">
        <f>SUM(H32:H35)</f>
        <v>4090</v>
      </c>
      <c r="H36" s="323"/>
      <c r="I36" s="322">
        <f>SUM(J32:J35)</f>
        <v>4935</v>
      </c>
      <c r="J36" s="323"/>
      <c r="K36" s="91"/>
      <c r="L36" s="306">
        <f>SUM(M32:M35)</f>
        <v>14025</v>
      </c>
      <c r="M36" s="307"/>
      <c r="N36" s="322">
        <f>SUM(O32:O35)</f>
        <v>5665</v>
      </c>
      <c r="O36" s="323"/>
      <c r="P36" s="322">
        <f>SUM(Q32:Q35)</f>
        <v>6890</v>
      </c>
      <c r="Q36" s="323"/>
      <c r="R36" s="322">
        <f>SUM(S32:S35)</f>
        <v>5240</v>
      </c>
      <c r="S36" s="323"/>
      <c r="T36" s="320">
        <f>SUM(U32:U35)</f>
        <v>17795</v>
      </c>
      <c r="U36" s="321"/>
    </row>
    <row r="37" spans="3:21" ht="9.75" customHeight="1" x14ac:dyDescent="0.35">
      <c r="T37" s="73"/>
      <c r="U37" s="73"/>
    </row>
    <row r="38" spans="3:21" x14ac:dyDescent="0.35">
      <c r="C38" s="286" t="s">
        <v>42</v>
      </c>
      <c r="D38" s="287"/>
      <c r="E38" s="324">
        <v>221990</v>
      </c>
      <c r="F38" s="325"/>
      <c r="G38" s="324">
        <v>151430</v>
      </c>
      <c r="H38" s="325"/>
      <c r="I38" s="324">
        <v>185600</v>
      </c>
      <c r="J38" s="325"/>
      <c r="L38" s="328">
        <f>SUM(E38:J38)</f>
        <v>559020</v>
      </c>
      <c r="M38" s="329"/>
      <c r="N38" s="324">
        <v>174221</v>
      </c>
      <c r="O38" s="325"/>
      <c r="P38" s="324">
        <v>175180</v>
      </c>
      <c r="Q38" s="325"/>
      <c r="R38" s="324">
        <v>137256</v>
      </c>
      <c r="S38" s="325"/>
      <c r="T38" s="328">
        <f>N38+P38+R38</f>
        <v>486657</v>
      </c>
      <c r="U38" s="329"/>
    </row>
    <row r="39" spans="3:21" x14ac:dyDescent="0.35">
      <c r="C39" s="292" t="s">
        <v>44</v>
      </c>
      <c r="D39" s="292"/>
      <c r="E39" s="62"/>
      <c r="F39" s="96">
        <f>E36/E38</f>
        <v>2.2523537096265596E-2</v>
      </c>
      <c r="G39" s="96"/>
      <c r="H39" s="96">
        <f>G36/G38</f>
        <v>2.7009179158687183E-2</v>
      </c>
      <c r="I39" s="96"/>
      <c r="J39" s="96">
        <f>I36/I38</f>
        <v>2.6589439655172412E-2</v>
      </c>
      <c r="K39" s="96"/>
      <c r="L39" s="97"/>
      <c r="M39" s="99">
        <f>L36/L38</f>
        <v>2.5088547815820542E-2</v>
      </c>
      <c r="N39" s="62"/>
      <c r="O39" s="96">
        <f>N36/N38</f>
        <v>3.2516171988451449E-2</v>
      </c>
      <c r="P39" s="96"/>
      <c r="Q39" s="96">
        <f>P36/P38</f>
        <v>3.9330973855462956E-2</v>
      </c>
      <c r="R39" s="96"/>
      <c r="S39" s="96">
        <f>R36/R38</f>
        <v>3.8176837442443316E-2</v>
      </c>
      <c r="U39" s="99">
        <f>T36/T38</f>
        <v>3.6565794800033698E-2</v>
      </c>
    </row>
    <row r="40" spans="3:21" x14ac:dyDescent="0.35">
      <c r="I40" s="23"/>
      <c r="R40" s="23"/>
    </row>
    <row r="41" spans="3:21" x14ac:dyDescent="0.35">
      <c r="F41" s="120"/>
      <c r="G41" s="58"/>
      <c r="H41" s="121"/>
      <c r="O41" s="120"/>
      <c r="P41" s="58"/>
      <c r="Q41" s="121"/>
    </row>
    <row r="42" spans="3:21" x14ac:dyDescent="0.35">
      <c r="F42" s="101"/>
      <c r="H42" s="101"/>
      <c r="O42" s="101"/>
      <c r="Q42" s="101"/>
    </row>
  </sheetData>
  <mergeCells count="78">
    <mergeCell ref="T38:U38"/>
    <mergeCell ref="T7:U7"/>
    <mergeCell ref="T13:U13"/>
    <mergeCell ref="T15:U15"/>
    <mergeCell ref="T30:U30"/>
    <mergeCell ref="T36:U36"/>
    <mergeCell ref="C4:M5"/>
    <mergeCell ref="C7:D8"/>
    <mergeCell ref="E7:F7"/>
    <mergeCell ref="G7:H7"/>
    <mergeCell ref="I7:J7"/>
    <mergeCell ref="L7:M7"/>
    <mergeCell ref="C9:C11"/>
    <mergeCell ref="C12:D12"/>
    <mergeCell ref="C13:D13"/>
    <mergeCell ref="E13:F13"/>
    <mergeCell ref="G13:H13"/>
    <mergeCell ref="L30:M30"/>
    <mergeCell ref="L13:M13"/>
    <mergeCell ref="C15:D15"/>
    <mergeCell ref="E15:F15"/>
    <mergeCell ref="G15:H15"/>
    <mergeCell ref="I15:J15"/>
    <mergeCell ref="L15:M15"/>
    <mergeCell ref="I13:J13"/>
    <mergeCell ref="C16:D16"/>
    <mergeCell ref="C30:D31"/>
    <mergeCell ref="E30:F30"/>
    <mergeCell ref="G30:H30"/>
    <mergeCell ref="I30:J30"/>
    <mergeCell ref="C19:D20"/>
    <mergeCell ref="E19:F19"/>
    <mergeCell ref="G19:H19"/>
    <mergeCell ref="C32:C34"/>
    <mergeCell ref="C35:D35"/>
    <mergeCell ref="C36:D36"/>
    <mergeCell ref="E36:F36"/>
    <mergeCell ref="G36:H36"/>
    <mergeCell ref="C39:D39"/>
    <mergeCell ref="L36:M36"/>
    <mergeCell ref="C38:D38"/>
    <mergeCell ref="E38:F38"/>
    <mergeCell ref="G38:H38"/>
    <mergeCell ref="I38:J38"/>
    <mergeCell ref="L38:M38"/>
    <mergeCell ref="I36:J36"/>
    <mergeCell ref="I19:J19"/>
    <mergeCell ref="L19:M19"/>
    <mergeCell ref="C21:C23"/>
    <mergeCell ref="C24:D24"/>
    <mergeCell ref="C25:D25"/>
    <mergeCell ref="E25:F25"/>
    <mergeCell ref="G25:H25"/>
    <mergeCell ref="I25:J25"/>
    <mergeCell ref="L25:M25"/>
    <mergeCell ref="C27:D27"/>
    <mergeCell ref="E27:F27"/>
    <mergeCell ref="G27:H27"/>
    <mergeCell ref="I27:J27"/>
    <mergeCell ref="L27:M27"/>
    <mergeCell ref="N15:O15"/>
    <mergeCell ref="P15:Q15"/>
    <mergeCell ref="R15:S15"/>
    <mergeCell ref="N7:O7"/>
    <mergeCell ref="P7:Q7"/>
    <mergeCell ref="R7:S7"/>
    <mergeCell ref="N13:O13"/>
    <mergeCell ref="P13:Q13"/>
    <mergeCell ref="R13:S13"/>
    <mergeCell ref="N38:O38"/>
    <mergeCell ref="P38:Q38"/>
    <mergeCell ref="R38:S38"/>
    <mergeCell ref="N30:O30"/>
    <mergeCell ref="P30:Q30"/>
    <mergeCell ref="R30:S30"/>
    <mergeCell ref="N36:O36"/>
    <mergeCell ref="P36:Q36"/>
    <mergeCell ref="R36:S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03B7-00C8-4F1A-BDBC-3747CAE21A88}">
  <sheetPr>
    <tabColor rgb="FF92D050"/>
  </sheetPr>
  <dimension ref="C4:U33"/>
  <sheetViews>
    <sheetView showGridLines="0" zoomScale="115" zoomScaleNormal="115" workbookViewId="0"/>
  </sheetViews>
  <sheetFormatPr defaultRowHeight="15.5" x14ac:dyDescent="0.35"/>
  <cols>
    <col min="1" max="1" width="6.453125" customWidth="1"/>
    <col min="3" max="3" width="14.1796875" bestFit="1" customWidth="1"/>
    <col min="4" max="4" width="16.54296875" bestFit="1" customWidth="1"/>
    <col min="5" max="5" width="8.7265625" bestFit="1" customWidth="1"/>
    <col min="6" max="6" width="12.7265625" style="62" customWidth="1"/>
    <col min="7" max="7" width="8.7265625" bestFit="1" customWidth="1"/>
    <col min="8" max="8" width="12.81640625" style="62" customWidth="1"/>
    <col min="9" max="9" width="10.54296875" bestFit="1" customWidth="1"/>
    <col min="10" max="10" width="12.453125" style="62" customWidth="1"/>
    <col min="11" max="11" width="0.26953125" style="62" customWidth="1"/>
    <col min="12" max="12" width="10.1796875" style="73" customWidth="1"/>
    <col min="13" max="13" width="11.54296875" style="73" bestFit="1" customWidth="1"/>
    <col min="14" max="14" width="10.453125" bestFit="1" customWidth="1"/>
    <col min="15" max="15" width="11" bestFit="1" customWidth="1"/>
    <col min="17" max="17" width="11" bestFit="1" customWidth="1"/>
    <col min="19" max="19" width="11" bestFit="1" customWidth="1"/>
    <col min="21" max="21" width="11.26953125" bestFit="1" customWidth="1"/>
  </cols>
  <sheetData>
    <row r="4" spans="3:21" ht="14.5" x14ac:dyDescent="0.35">
      <c r="C4" s="310" t="s">
        <v>103</v>
      </c>
      <c r="D4" s="310"/>
      <c r="E4" s="310"/>
      <c r="F4" s="310"/>
      <c r="G4" s="310"/>
      <c r="H4" s="310"/>
      <c r="I4" s="310"/>
      <c r="J4" s="310"/>
      <c r="K4" s="310"/>
      <c r="L4" s="310"/>
      <c r="M4" s="310"/>
    </row>
    <row r="5" spans="3:21" ht="14.5" x14ac:dyDescent="0.35"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</row>
    <row r="6" spans="3:21" ht="9" customHeight="1" thickBot="1" x14ac:dyDescent="0.4"/>
    <row r="7" spans="3:21" ht="16" thickBot="1" x14ac:dyDescent="0.4">
      <c r="C7" s="311">
        <v>2025</v>
      </c>
      <c r="D7" s="312"/>
      <c r="E7" s="315" t="s">
        <v>34</v>
      </c>
      <c r="F7" s="316"/>
      <c r="G7" s="315" t="s">
        <v>35</v>
      </c>
      <c r="H7" s="316"/>
      <c r="I7" s="315" t="s">
        <v>36</v>
      </c>
      <c r="J7" s="316"/>
      <c r="K7" s="86"/>
      <c r="L7" s="348" t="s">
        <v>39</v>
      </c>
      <c r="M7" s="349"/>
      <c r="N7" s="353" t="s">
        <v>49</v>
      </c>
      <c r="O7" s="354"/>
      <c r="P7" s="353" t="s">
        <v>50</v>
      </c>
      <c r="Q7" s="354"/>
      <c r="R7" s="353" t="s">
        <v>131</v>
      </c>
      <c r="S7" s="354"/>
      <c r="T7" s="348" t="s">
        <v>39</v>
      </c>
      <c r="U7" s="349"/>
    </row>
    <row r="8" spans="3:21" ht="16" thickBot="1" x14ac:dyDescent="0.4">
      <c r="C8" s="313"/>
      <c r="D8" s="314"/>
      <c r="E8" s="159" t="s">
        <v>32</v>
      </c>
      <c r="F8" s="160" t="s">
        <v>33</v>
      </c>
      <c r="G8" s="159" t="s">
        <v>32</v>
      </c>
      <c r="H8" s="160" t="s">
        <v>33</v>
      </c>
      <c r="I8" s="159" t="s">
        <v>32</v>
      </c>
      <c r="J8" s="160" t="s">
        <v>33</v>
      </c>
      <c r="K8" s="87"/>
      <c r="L8" s="260" t="s">
        <v>32</v>
      </c>
      <c r="M8" s="261" t="s">
        <v>33</v>
      </c>
      <c r="N8" s="262" t="s">
        <v>32</v>
      </c>
      <c r="O8" s="263" t="s">
        <v>33</v>
      </c>
      <c r="P8" s="262" t="s">
        <v>32</v>
      </c>
      <c r="Q8" s="263" t="s">
        <v>33</v>
      </c>
      <c r="R8" s="262" t="s">
        <v>32</v>
      </c>
      <c r="S8" s="263" t="s">
        <v>33</v>
      </c>
      <c r="T8" s="260" t="s">
        <v>32</v>
      </c>
      <c r="U8" s="261" t="s">
        <v>33</v>
      </c>
    </row>
    <row r="9" spans="3:21" x14ac:dyDescent="0.35">
      <c r="C9" s="297" t="s">
        <v>28</v>
      </c>
      <c r="D9" s="61" t="s">
        <v>97</v>
      </c>
      <c r="E9" s="155">
        <v>8794</v>
      </c>
      <c r="F9" s="154">
        <v>5100</v>
      </c>
      <c r="G9" s="155">
        <v>816</v>
      </c>
      <c r="H9" s="154">
        <v>474</v>
      </c>
      <c r="I9" s="155">
        <v>1347</v>
      </c>
      <c r="J9" s="154">
        <v>781</v>
      </c>
      <c r="K9" s="88"/>
      <c r="L9" s="76">
        <f>E9+G9+I9</f>
        <v>10957</v>
      </c>
      <c r="M9" s="77">
        <f>F9+H9+J9</f>
        <v>6355</v>
      </c>
      <c r="N9" s="155">
        <v>4205</v>
      </c>
      <c r="O9" s="154">
        <v>2541.3337999999999</v>
      </c>
      <c r="P9" s="155">
        <v>2939</v>
      </c>
      <c r="Q9" s="154">
        <v>1776.21</v>
      </c>
      <c r="R9" s="155">
        <v>63</v>
      </c>
      <c r="S9" s="154">
        <v>38.07</v>
      </c>
      <c r="T9" s="76">
        <f>R9+N9+P9</f>
        <v>7207</v>
      </c>
      <c r="U9" s="77">
        <f>O9+Q9+S9</f>
        <v>4355.6137999999992</v>
      </c>
    </row>
    <row r="10" spans="3:21" x14ac:dyDescent="0.35">
      <c r="C10" s="298"/>
      <c r="D10" s="60" t="s">
        <v>96</v>
      </c>
      <c r="E10" s="67">
        <v>57</v>
      </c>
      <c r="F10" s="64">
        <v>3479</v>
      </c>
      <c r="G10" s="67">
        <v>156</v>
      </c>
      <c r="H10" s="64">
        <v>7647</v>
      </c>
      <c r="I10" s="67">
        <v>204</v>
      </c>
      <c r="J10" s="64">
        <v>9990</v>
      </c>
      <c r="K10" s="89"/>
      <c r="L10" s="78">
        <f>(E10+G10+I10)/3</f>
        <v>139</v>
      </c>
      <c r="M10" s="79">
        <f t="shared" ref="M10:M13" si="0">F10+H10+J10</f>
        <v>21116</v>
      </c>
      <c r="N10" s="67">
        <v>2972</v>
      </c>
      <c r="O10" s="64">
        <v>26578.898499999999</v>
      </c>
      <c r="P10" s="67">
        <v>3323</v>
      </c>
      <c r="Q10" s="64">
        <v>23130.67</v>
      </c>
      <c r="R10" s="67">
        <v>3704</v>
      </c>
      <c r="S10" s="64">
        <v>26498</v>
      </c>
      <c r="T10" s="78">
        <f t="shared" ref="T10:T12" si="1">R10+N10+P10</f>
        <v>9999</v>
      </c>
      <c r="U10" s="79">
        <f t="shared" ref="U10:U12" si="2">O10+Q10+S10</f>
        <v>76207.568499999994</v>
      </c>
    </row>
    <row r="11" spans="3:21" x14ac:dyDescent="0.35">
      <c r="C11" s="298"/>
      <c r="D11" s="60" t="s">
        <v>98</v>
      </c>
      <c r="E11" s="67">
        <v>8082</v>
      </c>
      <c r="F11" s="64">
        <v>811</v>
      </c>
      <c r="G11" s="67">
        <v>1576</v>
      </c>
      <c r="H11" s="154">
        <v>1340</v>
      </c>
      <c r="I11" s="67">
        <v>1612</v>
      </c>
      <c r="J11" s="64">
        <v>1370</v>
      </c>
      <c r="K11" s="89"/>
      <c r="L11" s="78">
        <f>E11+G11+I11</f>
        <v>11270</v>
      </c>
      <c r="M11" s="79">
        <f t="shared" si="0"/>
        <v>3521</v>
      </c>
      <c r="N11" s="155">
        <v>2167</v>
      </c>
      <c r="O11" s="64">
        <v>1919.31</v>
      </c>
      <c r="P11" s="155">
        <v>1157</v>
      </c>
      <c r="Q11" s="154">
        <v>1024.75</v>
      </c>
      <c r="R11" s="155">
        <v>794</v>
      </c>
      <c r="S11" s="64">
        <v>703.25</v>
      </c>
      <c r="T11" s="78">
        <f t="shared" si="1"/>
        <v>4118</v>
      </c>
      <c r="U11" s="79">
        <f t="shared" si="2"/>
        <v>3647.31</v>
      </c>
    </row>
    <row r="12" spans="3:21" x14ac:dyDescent="0.35">
      <c r="C12" s="330" t="s">
        <v>87</v>
      </c>
      <c r="D12" s="331"/>
      <c r="E12" s="72">
        <v>21</v>
      </c>
      <c r="F12" s="65">
        <v>3385</v>
      </c>
      <c r="G12" s="72">
        <v>51</v>
      </c>
      <c r="H12" s="65">
        <v>7030</v>
      </c>
      <c r="I12" s="72">
        <v>6</v>
      </c>
      <c r="J12" s="65">
        <v>860</v>
      </c>
      <c r="K12" s="90"/>
      <c r="L12" s="95">
        <f>E12+G12+I12</f>
        <v>78</v>
      </c>
      <c r="M12" s="79">
        <f t="shared" si="0"/>
        <v>11275</v>
      </c>
      <c r="N12" s="72">
        <v>7</v>
      </c>
      <c r="O12" s="65">
        <v>1000</v>
      </c>
      <c r="P12" s="72">
        <f>18+19</f>
        <v>37</v>
      </c>
      <c r="Q12" s="65">
        <f>794+719</f>
        <v>1513</v>
      </c>
      <c r="R12" s="72">
        <v>18</v>
      </c>
      <c r="S12" s="65">
        <v>712</v>
      </c>
      <c r="T12" s="95">
        <f t="shared" si="1"/>
        <v>62</v>
      </c>
      <c r="U12" s="79">
        <f t="shared" si="2"/>
        <v>3225</v>
      </c>
    </row>
    <row r="13" spans="3:21" s="175" customFormat="1" ht="13" x14ac:dyDescent="0.3">
      <c r="C13" s="185" t="s">
        <v>104</v>
      </c>
      <c r="D13" s="186"/>
      <c r="E13" s="187"/>
      <c r="F13" s="188">
        <v>-7666</v>
      </c>
      <c r="G13" s="187"/>
      <c r="H13" s="188">
        <v>-7666</v>
      </c>
      <c r="I13" s="187"/>
      <c r="J13" s="188">
        <v>-7666</v>
      </c>
      <c r="K13" s="189"/>
      <c r="L13" s="187"/>
      <c r="M13" s="190">
        <f t="shared" si="0"/>
        <v>-22998</v>
      </c>
      <c r="N13" s="187"/>
      <c r="O13" s="188">
        <v>-7666</v>
      </c>
      <c r="P13" s="187"/>
      <c r="Q13" s="188">
        <v>-7666</v>
      </c>
      <c r="R13" s="187"/>
      <c r="S13" s="188">
        <v>-7666</v>
      </c>
      <c r="T13" s="187"/>
      <c r="U13" s="190">
        <f>O13+Q13+S13</f>
        <v>-22998</v>
      </c>
    </row>
    <row r="14" spans="3:21" ht="16" thickBot="1" x14ac:dyDescent="0.4">
      <c r="C14" s="332" t="s">
        <v>31</v>
      </c>
      <c r="D14" s="333"/>
      <c r="E14" s="302">
        <f>SUM(F9:F13)</f>
        <v>5109</v>
      </c>
      <c r="F14" s="303"/>
      <c r="G14" s="302">
        <f>SUM(H9:H13)</f>
        <v>8825</v>
      </c>
      <c r="H14" s="303"/>
      <c r="I14" s="302">
        <f>SUM(J9:J13)</f>
        <v>5335</v>
      </c>
      <c r="J14" s="303"/>
      <c r="K14" s="91"/>
      <c r="L14" s="320">
        <f>SUM(M9:M13)</f>
        <v>19269</v>
      </c>
      <c r="M14" s="352"/>
      <c r="N14" s="302">
        <f>SUM(O9:O12)+O13</f>
        <v>24373.542300000001</v>
      </c>
      <c r="O14" s="303"/>
      <c r="P14" s="302">
        <f>SUM(Q9:Q12)+Q13</f>
        <v>19778.629999999997</v>
      </c>
      <c r="Q14" s="303"/>
      <c r="R14" s="302">
        <f>SUM(S9:S12)+S13</f>
        <v>20285.32</v>
      </c>
      <c r="S14" s="303"/>
      <c r="T14" s="320">
        <f>SUM(U9:U13)</f>
        <v>64437.492299999984</v>
      </c>
      <c r="U14" s="352"/>
    </row>
    <row r="15" spans="3:21" ht="9.75" customHeight="1" x14ac:dyDescent="0.35">
      <c r="O15" s="62"/>
      <c r="Q15" s="62"/>
      <c r="S15" s="62"/>
    </row>
    <row r="16" spans="3:21" x14ac:dyDescent="0.35">
      <c r="C16" s="286" t="s">
        <v>26</v>
      </c>
      <c r="D16" s="287"/>
      <c r="E16" s="326">
        <v>104615</v>
      </c>
      <c r="F16" s="327"/>
      <c r="G16" s="326">
        <v>103037</v>
      </c>
      <c r="H16" s="327"/>
      <c r="I16" s="326">
        <v>68503</v>
      </c>
      <c r="J16" s="327"/>
      <c r="K16" s="98"/>
      <c r="L16" s="328">
        <f>SUM(E16:J16)</f>
        <v>276155</v>
      </c>
      <c r="M16" s="329"/>
      <c r="N16" s="326">
        <v>72846</v>
      </c>
      <c r="O16" s="327"/>
      <c r="P16" s="326">
        <v>69474</v>
      </c>
      <c r="Q16" s="327"/>
      <c r="R16" s="326">
        <v>49336</v>
      </c>
      <c r="S16" s="327"/>
      <c r="T16" s="326">
        <f>SUM(N16:S16)</f>
        <v>191656</v>
      </c>
      <c r="U16" s="327"/>
    </row>
    <row r="17" spans="3:21" x14ac:dyDescent="0.35">
      <c r="C17" s="292" t="s">
        <v>118</v>
      </c>
      <c r="D17" s="292"/>
      <c r="E17" s="62"/>
      <c r="F17" s="99">
        <f>E14/E16</f>
        <v>4.8836208956650577E-2</v>
      </c>
      <c r="G17" s="99"/>
      <c r="H17" s="99">
        <f>G14/G16</f>
        <v>8.5648844589807552E-2</v>
      </c>
      <c r="I17" s="99"/>
      <c r="J17" s="99">
        <f>I14/I16</f>
        <v>7.7879800884632797E-2</v>
      </c>
      <c r="K17" s="96"/>
      <c r="L17" s="97"/>
      <c r="M17" s="99">
        <f>L14/L16</f>
        <v>6.9776031576469735E-2</v>
      </c>
      <c r="N17" s="62"/>
      <c r="O17" s="99">
        <f>N14/N16</f>
        <v>0.33458998846882465</v>
      </c>
      <c r="P17" s="99"/>
      <c r="Q17" s="99">
        <f>P14/P16</f>
        <v>0.28469110746466303</v>
      </c>
      <c r="R17" s="99"/>
      <c r="S17" s="99">
        <f>R14/R16</f>
        <v>0.41116669369223285</v>
      </c>
      <c r="T17" s="99"/>
      <c r="U17" s="99">
        <f>T14/T16</f>
        <v>0.33621432305797877</v>
      </c>
    </row>
    <row r="18" spans="3:21" x14ac:dyDescent="0.35">
      <c r="M18" s="62"/>
      <c r="O18" s="62"/>
      <c r="Q18" s="62"/>
      <c r="S18" s="62"/>
    </row>
    <row r="19" spans="3:21" ht="16" thickBot="1" x14ac:dyDescent="0.4">
      <c r="L19" s="62"/>
      <c r="O19" s="62"/>
      <c r="Q19" s="62"/>
      <c r="S19" s="62"/>
    </row>
    <row r="20" spans="3:21" ht="16" thickBot="1" x14ac:dyDescent="0.4">
      <c r="C20" s="293">
        <v>2026</v>
      </c>
      <c r="D20" s="294"/>
      <c r="E20" s="278" t="s">
        <v>34</v>
      </c>
      <c r="F20" s="279"/>
      <c r="G20" s="278" t="s">
        <v>35</v>
      </c>
      <c r="H20" s="279"/>
      <c r="I20" s="278" t="s">
        <v>36</v>
      </c>
      <c r="J20" s="279"/>
      <c r="K20" s="92"/>
      <c r="L20" s="350" t="s">
        <v>38</v>
      </c>
      <c r="M20" s="351"/>
      <c r="N20" s="355" t="s">
        <v>49</v>
      </c>
      <c r="O20" s="356"/>
      <c r="P20" s="355" t="s">
        <v>50</v>
      </c>
      <c r="Q20" s="356"/>
      <c r="R20" s="355" t="s">
        <v>131</v>
      </c>
      <c r="S20" s="356"/>
      <c r="T20" s="350" t="s">
        <v>38</v>
      </c>
      <c r="U20" s="351"/>
    </row>
    <row r="21" spans="3:21" ht="16" thickBot="1" x14ac:dyDescent="0.4">
      <c r="C21" s="295"/>
      <c r="D21" s="296"/>
      <c r="E21" s="166" t="s">
        <v>32</v>
      </c>
      <c r="F21" s="167" t="s">
        <v>33</v>
      </c>
      <c r="G21" s="166" t="s">
        <v>32</v>
      </c>
      <c r="H21" s="167" t="s">
        <v>33</v>
      </c>
      <c r="I21" s="166" t="s">
        <v>32</v>
      </c>
      <c r="J21" s="167" t="s">
        <v>33</v>
      </c>
      <c r="K21" s="93"/>
      <c r="L21" s="264" t="s">
        <v>32</v>
      </c>
      <c r="M21" s="265" t="s">
        <v>33</v>
      </c>
      <c r="N21" s="266" t="s">
        <v>32</v>
      </c>
      <c r="O21" s="267" t="s">
        <v>33</v>
      </c>
      <c r="P21" s="266" t="s">
        <v>32</v>
      </c>
      <c r="Q21" s="267" t="s">
        <v>33</v>
      </c>
      <c r="R21" s="266" t="s">
        <v>32</v>
      </c>
      <c r="S21" s="267" t="s">
        <v>33</v>
      </c>
      <c r="T21" s="264" t="s">
        <v>32</v>
      </c>
      <c r="U21" s="265" t="s">
        <v>33</v>
      </c>
    </row>
    <row r="22" spans="3:21" x14ac:dyDescent="0.35">
      <c r="C22" s="297" t="s">
        <v>28</v>
      </c>
      <c r="D22" s="61" t="s">
        <v>100</v>
      </c>
      <c r="E22" s="155">
        <v>23</v>
      </c>
      <c r="F22" s="154">
        <v>69</v>
      </c>
      <c r="G22" s="155">
        <v>31</v>
      </c>
      <c r="H22" s="154">
        <v>93</v>
      </c>
      <c r="I22" s="155">
        <v>0</v>
      </c>
      <c r="J22" s="154">
        <v>0</v>
      </c>
      <c r="K22" s="88"/>
      <c r="L22" s="164">
        <f>E22+G22+I22</f>
        <v>54</v>
      </c>
      <c r="M22" s="165">
        <f>F22+H22+J22</f>
        <v>162</v>
      </c>
      <c r="N22" s="155">
        <v>14</v>
      </c>
      <c r="O22" s="154">
        <v>42</v>
      </c>
      <c r="P22" s="155">
        <v>31</v>
      </c>
      <c r="Q22" s="154">
        <v>93</v>
      </c>
      <c r="R22" s="155"/>
      <c r="S22" s="154">
        <v>0</v>
      </c>
      <c r="T22" s="164">
        <f>N22+P22+R22</f>
        <v>45</v>
      </c>
      <c r="U22" s="165">
        <f>O22+Q22+S22</f>
        <v>135</v>
      </c>
    </row>
    <row r="23" spans="3:21" x14ac:dyDescent="0.35">
      <c r="C23" s="298"/>
      <c r="D23" s="60" t="s">
        <v>96</v>
      </c>
      <c r="E23" s="67">
        <f>(105+88+75+63)/4</f>
        <v>82.75</v>
      </c>
      <c r="F23" s="64">
        <v>1489.5</v>
      </c>
      <c r="G23" s="67">
        <f>(82+78+67+57)/4</f>
        <v>71</v>
      </c>
      <c r="H23" s="64">
        <v>1278</v>
      </c>
      <c r="I23" s="67">
        <f>169/4</f>
        <v>42.25</v>
      </c>
      <c r="J23" s="64">
        <v>760.5</v>
      </c>
      <c r="K23" s="89"/>
      <c r="L23" s="84">
        <f>(E23+G23+I23)/3</f>
        <v>65.333333333333329</v>
      </c>
      <c r="M23" s="85">
        <f t="shared" ref="M23:M25" si="3">F23+H23+J23</f>
        <v>3528</v>
      </c>
      <c r="N23" s="67">
        <v>40</v>
      </c>
      <c r="O23" s="64">
        <v>886.5</v>
      </c>
      <c r="P23" s="67">
        <v>60</v>
      </c>
      <c r="Q23" s="64">
        <v>1021.5</v>
      </c>
      <c r="R23" s="67">
        <v>37</v>
      </c>
      <c r="S23" s="64">
        <v>661.5</v>
      </c>
      <c r="T23" s="84">
        <f t="shared" ref="T23:T25" si="4">N23+P23+R23</f>
        <v>137</v>
      </c>
      <c r="U23" s="85">
        <f t="shared" ref="U23:U25" si="5">O23+Q23+S23</f>
        <v>2569.5</v>
      </c>
    </row>
    <row r="24" spans="3:21" x14ac:dyDescent="0.35">
      <c r="C24" s="298"/>
      <c r="D24" s="60" t="s">
        <v>101</v>
      </c>
      <c r="E24" s="67">
        <v>52</v>
      </c>
      <c r="F24" s="64">
        <v>156</v>
      </c>
      <c r="G24" s="67">
        <v>31</v>
      </c>
      <c r="H24" s="64">
        <v>93</v>
      </c>
      <c r="I24" s="67">
        <v>17</v>
      </c>
      <c r="J24" s="64">
        <v>51</v>
      </c>
      <c r="K24" s="89"/>
      <c r="L24" s="84">
        <f>E24+G24+I24</f>
        <v>100</v>
      </c>
      <c r="M24" s="85">
        <f t="shared" si="3"/>
        <v>300</v>
      </c>
      <c r="N24" s="67">
        <v>15</v>
      </c>
      <c r="O24" s="64">
        <v>45</v>
      </c>
      <c r="P24" s="67">
        <v>25</v>
      </c>
      <c r="Q24" s="64">
        <v>75</v>
      </c>
      <c r="R24" s="67">
        <v>7</v>
      </c>
      <c r="S24" s="64">
        <v>21</v>
      </c>
      <c r="T24" s="84">
        <f t="shared" si="4"/>
        <v>47</v>
      </c>
      <c r="U24" s="85">
        <f t="shared" si="5"/>
        <v>141</v>
      </c>
    </row>
    <row r="25" spans="3:21" x14ac:dyDescent="0.35">
      <c r="C25" s="330" t="s">
        <v>99</v>
      </c>
      <c r="D25" s="331"/>
      <c r="E25" s="67">
        <f>18+13+13+16</f>
        <v>60</v>
      </c>
      <c r="F25" s="64">
        <f>717+590+590+684</f>
        <v>2581</v>
      </c>
      <c r="G25" s="67">
        <f>15+4+8</f>
        <v>27</v>
      </c>
      <c r="H25" s="64">
        <f>647+174+323</f>
        <v>1144</v>
      </c>
      <c r="I25" s="67">
        <f>5+5+5+5</f>
        <v>20</v>
      </c>
      <c r="J25" s="64">
        <f>269+248+602.99+285.2</f>
        <v>1405.19</v>
      </c>
      <c r="K25" s="89">
        <v>0</v>
      </c>
      <c r="L25" s="94">
        <f>E25+G25+I25</f>
        <v>107</v>
      </c>
      <c r="M25" s="85">
        <f t="shared" si="3"/>
        <v>5130.1900000000005</v>
      </c>
      <c r="N25" s="67">
        <v>8</v>
      </c>
      <c r="O25" s="64">
        <f>54.1+209.79</f>
        <v>263.89</v>
      </c>
      <c r="P25" s="67">
        <v>22</v>
      </c>
      <c r="Q25" s="64">
        <f>154.49+436.23+396</f>
        <v>986.72</v>
      </c>
      <c r="R25" s="67">
        <v>15</v>
      </c>
      <c r="S25" s="64">
        <f>179.55+144.72+342</f>
        <v>666.27</v>
      </c>
      <c r="T25" s="94">
        <f t="shared" si="4"/>
        <v>45</v>
      </c>
      <c r="U25" s="85">
        <f t="shared" si="5"/>
        <v>1916.88</v>
      </c>
    </row>
    <row r="26" spans="3:21" ht="16" thickBot="1" x14ac:dyDescent="0.4">
      <c r="C26" s="284" t="s">
        <v>41</v>
      </c>
      <c r="D26" s="285"/>
      <c r="E26" s="322">
        <f>SUM(F22:F25)</f>
        <v>4295.5</v>
      </c>
      <c r="F26" s="323"/>
      <c r="G26" s="322">
        <f>SUM(H22:H25)</f>
        <v>2608</v>
      </c>
      <c r="H26" s="323"/>
      <c r="I26" s="322">
        <f>SUM(J22:J25)</f>
        <v>2216.69</v>
      </c>
      <c r="J26" s="323"/>
      <c r="K26" s="91"/>
      <c r="L26" s="306">
        <f>SUM(M22:M25)</f>
        <v>9120.19</v>
      </c>
      <c r="M26" s="307"/>
      <c r="N26" s="322">
        <f>SUM(O22:O25)</f>
        <v>1237.3899999999999</v>
      </c>
      <c r="O26" s="323"/>
      <c r="P26" s="322">
        <f>SUM(Q22:Q25)</f>
        <v>2176.2200000000003</v>
      </c>
      <c r="Q26" s="323"/>
      <c r="R26" s="322">
        <f>SUM(S22:S25)</f>
        <v>1348.77</v>
      </c>
      <c r="S26" s="323"/>
      <c r="T26" s="306">
        <f>SUM(U22:U25)</f>
        <v>4762.38</v>
      </c>
      <c r="U26" s="307"/>
    </row>
    <row r="27" spans="3:21" ht="9.75" customHeight="1" x14ac:dyDescent="0.35">
      <c r="O27" s="62"/>
      <c r="Q27" s="62"/>
      <c r="S27" s="62"/>
    </row>
    <row r="28" spans="3:21" x14ac:dyDescent="0.35">
      <c r="C28" s="286" t="s">
        <v>26</v>
      </c>
      <c r="D28" s="287"/>
      <c r="E28" s="324">
        <v>66484</v>
      </c>
      <c r="F28" s="325"/>
      <c r="G28" s="324">
        <v>61952</v>
      </c>
      <c r="H28" s="325"/>
      <c r="I28" s="324">
        <v>109978</v>
      </c>
      <c r="J28" s="325"/>
      <c r="L28" s="328">
        <f>SUM(E28:J28)</f>
        <v>238414</v>
      </c>
      <c r="M28" s="329"/>
      <c r="N28" s="324">
        <v>19785</v>
      </c>
      <c r="O28" s="325"/>
      <c r="P28" s="324">
        <v>38710</v>
      </c>
      <c r="Q28" s="325"/>
      <c r="R28" s="324">
        <v>28336</v>
      </c>
      <c r="S28" s="325"/>
      <c r="T28" s="326">
        <f>SUM(N28:S28)</f>
        <v>86831</v>
      </c>
      <c r="U28" s="327"/>
    </row>
    <row r="29" spans="3:21" x14ac:dyDescent="0.35">
      <c r="C29" s="292" t="s">
        <v>118</v>
      </c>
      <c r="D29" s="292"/>
      <c r="E29" s="62"/>
      <c r="F29" s="96">
        <f>E26/E28</f>
        <v>6.4609530112508279E-2</v>
      </c>
      <c r="G29" s="96"/>
      <c r="H29" s="96">
        <f>G26/G28</f>
        <v>4.2097107438016527E-2</v>
      </c>
      <c r="I29" s="96"/>
      <c r="J29" s="96">
        <f>I26/I28</f>
        <v>2.0155758424412154E-2</v>
      </c>
      <c r="K29" s="96"/>
      <c r="L29" s="97"/>
      <c r="M29" s="99">
        <f>L26/L28</f>
        <v>3.8253584101604773E-2</v>
      </c>
      <c r="N29" s="62"/>
      <c r="O29" s="99">
        <f>N26/N28</f>
        <v>6.2541824614607014E-2</v>
      </c>
      <c r="P29" s="99"/>
      <c r="Q29" s="99">
        <f>P26/P28</f>
        <v>5.6218548178765183E-2</v>
      </c>
      <c r="R29" s="96"/>
      <c r="S29" s="99">
        <f>R26/R28</f>
        <v>4.7599167137210616E-2</v>
      </c>
      <c r="T29" s="99"/>
      <c r="U29" s="99">
        <f>T26/T28</f>
        <v>5.4846540981907388E-2</v>
      </c>
    </row>
    <row r="30" spans="3:21" x14ac:dyDescent="0.35">
      <c r="I30" s="23"/>
    </row>
    <row r="31" spans="3:21" x14ac:dyDescent="0.35">
      <c r="F31" s="120"/>
      <c r="G31" s="58"/>
      <c r="H31" s="121"/>
    </row>
    <row r="32" spans="3:21" x14ac:dyDescent="0.35">
      <c r="F32" s="101"/>
      <c r="H32" s="101"/>
    </row>
    <row r="33" spans="6:6" x14ac:dyDescent="0.35">
      <c r="F33" s="101"/>
    </row>
  </sheetData>
  <mergeCells count="61">
    <mergeCell ref="T28:U28"/>
    <mergeCell ref="T7:U7"/>
    <mergeCell ref="T14:U14"/>
    <mergeCell ref="T20:U20"/>
    <mergeCell ref="T26:U26"/>
    <mergeCell ref="T16:U16"/>
    <mergeCell ref="N26:O26"/>
    <mergeCell ref="P26:Q26"/>
    <mergeCell ref="R26:S26"/>
    <mergeCell ref="N28:O28"/>
    <mergeCell ref="P28:Q28"/>
    <mergeCell ref="R28:S28"/>
    <mergeCell ref="N16:O16"/>
    <mergeCell ref="P16:Q16"/>
    <mergeCell ref="R16:S16"/>
    <mergeCell ref="N20:O20"/>
    <mergeCell ref="P20:Q20"/>
    <mergeCell ref="R20:S20"/>
    <mergeCell ref="N7:O7"/>
    <mergeCell ref="P7:Q7"/>
    <mergeCell ref="R7:S7"/>
    <mergeCell ref="N14:O14"/>
    <mergeCell ref="P14:Q14"/>
    <mergeCell ref="R14:S14"/>
    <mergeCell ref="C29:D29"/>
    <mergeCell ref="L26:M26"/>
    <mergeCell ref="C28:D28"/>
    <mergeCell ref="E28:F28"/>
    <mergeCell ref="G28:H28"/>
    <mergeCell ref="I28:J28"/>
    <mergeCell ref="L28:M28"/>
    <mergeCell ref="I26:J26"/>
    <mergeCell ref="C22:C24"/>
    <mergeCell ref="C25:D25"/>
    <mergeCell ref="C26:D26"/>
    <mergeCell ref="E26:F26"/>
    <mergeCell ref="G26:H26"/>
    <mergeCell ref="L20:M20"/>
    <mergeCell ref="L14:M14"/>
    <mergeCell ref="C16:D16"/>
    <mergeCell ref="E16:F16"/>
    <mergeCell ref="G16:H16"/>
    <mergeCell ref="I16:J16"/>
    <mergeCell ref="L16:M16"/>
    <mergeCell ref="I14:J14"/>
    <mergeCell ref="C17:D17"/>
    <mergeCell ref="C20:D21"/>
    <mergeCell ref="E20:F20"/>
    <mergeCell ref="G20:H20"/>
    <mergeCell ref="I20:J20"/>
    <mergeCell ref="C9:C11"/>
    <mergeCell ref="C12:D12"/>
    <mergeCell ref="C14:D14"/>
    <mergeCell ref="E14:F14"/>
    <mergeCell ref="G14:H14"/>
    <mergeCell ref="C4:M5"/>
    <mergeCell ref="C7:D8"/>
    <mergeCell ref="E7:F7"/>
    <mergeCell ref="G7:H7"/>
    <mergeCell ref="I7:J7"/>
    <mergeCell ref="L7:M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B5DBC-D373-424A-A953-696AE7ADF65F}">
  <sheetPr>
    <tabColor rgb="FF92D050"/>
  </sheetPr>
  <dimension ref="C3:U32"/>
  <sheetViews>
    <sheetView showGridLines="0" topLeftCell="G2" zoomScale="115" zoomScaleNormal="115" workbookViewId="0">
      <selection activeCell="Q22" sqref="Q22"/>
    </sheetView>
  </sheetViews>
  <sheetFormatPr defaultRowHeight="15.5" x14ac:dyDescent="0.35"/>
  <cols>
    <col min="1" max="1" width="6.453125" customWidth="1"/>
    <col min="3" max="3" width="14.1796875" bestFit="1" customWidth="1"/>
    <col min="4" max="4" width="15.1796875" bestFit="1" customWidth="1"/>
    <col min="5" max="5" width="8.7265625" bestFit="1" customWidth="1"/>
    <col min="6" max="6" width="12.7265625" style="62" customWidth="1"/>
    <col min="7" max="7" width="8.7265625" bestFit="1" customWidth="1"/>
    <col min="8" max="8" width="12.81640625" style="62" customWidth="1"/>
    <col min="9" max="9" width="10.54296875" bestFit="1" customWidth="1"/>
    <col min="10" max="10" width="12.453125" style="62" customWidth="1"/>
    <col min="11" max="11" width="0.26953125" style="62" customWidth="1"/>
    <col min="12" max="12" width="10.1796875" style="73" customWidth="1"/>
    <col min="13" max="13" width="11.54296875" style="73" bestFit="1" customWidth="1"/>
    <col min="14" max="14" width="9.54296875" bestFit="1" customWidth="1"/>
    <col min="15" max="15" width="12.7265625" style="62" customWidth="1"/>
    <col min="16" max="16" width="8.7265625" bestFit="1" customWidth="1"/>
    <col min="17" max="17" width="12.81640625" style="62" customWidth="1"/>
    <col min="18" max="18" width="10.54296875" bestFit="1" customWidth="1"/>
    <col min="19" max="19" width="12.453125" style="62" customWidth="1"/>
    <col min="20" max="20" width="9.7265625" bestFit="1" customWidth="1"/>
    <col min="21" max="21" width="10.1796875" bestFit="1" customWidth="1"/>
  </cols>
  <sheetData>
    <row r="3" spans="3:21" x14ac:dyDescent="0.35">
      <c r="F3" s="62">
        <f>F10/E10/30</f>
        <v>1.8404166666666666</v>
      </c>
      <c r="H3" s="62">
        <f>H10/G10/30</f>
        <v>1.7486666666666666</v>
      </c>
      <c r="J3" s="62">
        <f>J10/I10/30</f>
        <v>1.2562251655629137</v>
      </c>
    </row>
    <row r="4" spans="3:21" ht="14.5" x14ac:dyDescent="0.35">
      <c r="C4" s="310" t="s">
        <v>94</v>
      </c>
      <c r="D4" s="310"/>
      <c r="E4" s="310"/>
      <c r="F4" s="310"/>
      <c r="G4" s="310"/>
      <c r="H4" s="310"/>
      <c r="I4" s="310"/>
      <c r="J4" s="310"/>
      <c r="K4" s="310"/>
      <c r="L4" s="310"/>
      <c r="M4" s="310"/>
      <c r="O4"/>
      <c r="Q4"/>
      <c r="S4"/>
    </row>
    <row r="5" spans="3:21" ht="14.5" x14ac:dyDescent="0.35"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  <c r="O5"/>
      <c r="Q5"/>
      <c r="S5"/>
    </row>
    <row r="6" spans="3:21" ht="9" customHeight="1" thickBot="1" x14ac:dyDescent="0.4"/>
    <row r="7" spans="3:21" x14ac:dyDescent="0.35">
      <c r="C7" s="311">
        <v>2025</v>
      </c>
      <c r="D7" s="312"/>
      <c r="E7" s="315" t="s">
        <v>34</v>
      </c>
      <c r="F7" s="316"/>
      <c r="G7" s="315" t="s">
        <v>35</v>
      </c>
      <c r="H7" s="316"/>
      <c r="I7" s="315" t="s">
        <v>36</v>
      </c>
      <c r="J7" s="316"/>
      <c r="K7" s="86"/>
      <c r="L7" s="317" t="s">
        <v>39</v>
      </c>
      <c r="M7" s="318"/>
      <c r="N7" s="315" t="s">
        <v>49</v>
      </c>
      <c r="O7" s="316"/>
      <c r="P7" s="315" t="s">
        <v>50</v>
      </c>
      <c r="Q7" s="316"/>
      <c r="R7" s="315" t="s">
        <v>131</v>
      </c>
      <c r="S7" s="359"/>
      <c r="T7" s="317" t="s">
        <v>39</v>
      </c>
      <c r="U7" s="318"/>
    </row>
    <row r="8" spans="3:21" ht="16" thickBot="1" x14ac:dyDescent="0.4">
      <c r="C8" s="313"/>
      <c r="D8" s="314"/>
      <c r="E8" s="159" t="s">
        <v>32</v>
      </c>
      <c r="F8" s="160" t="s">
        <v>33</v>
      </c>
      <c r="G8" s="159" t="s">
        <v>32</v>
      </c>
      <c r="H8" s="160" t="s">
        <v>33</v>
      </c>
      <c r="I8" s="159" t="s">
        <v>32</v>
      </c>
      <c r="J8" s="160" t="s">
        <v>33</v>
      </c>
      <c r="K8" s="87"/>
      <c r="L8" s="74" t="s">
        <v>32</v>
      </c>
      <c r="M8" s="75" t="s">
        <v>33</v>
      </c>
      <c r="N8" s="159" t="s">
        <v>32</v>
      </c>
      <c r="O8" s="160" t="s">
        <v>33</v>
      </c>
      <c r="P8" s="159" t="s">
        <v>32</v>
      </c>
      <c r="Q8" s="160" t="s">
        <v>33</v>
      </c>
      <c r="R8" s="159" t="s">
        <v>32</v>
      </c>
      <c r="S8" s="272" t="s">
        <v>33</v>
      </c>
      <c r="T8" s="74" t="s">
        <v>32</v>
      </c>
      <c r="U8" s="75" t="s">
        <v>33</v>
      </c>
    </row>
    <row r="9" spans="3:21" x14ac:dyDescent="0.35">
      <c r="C9" s="297" t="s">
        <v>28</v>
      </c>
      <c r="D9" s="61" t="s">
        <v>29</v>
      </c>
      <c r="E9" s="155">
        <v>203</v>
      </c>
      <c r="F9" s="154">
        <v>1294.3599999999999</v>
      </c>
      <c r="G9" s="155">
        <v>93</v>
      </c>
      <c r="H9" s="154">
        <v>681.61</v>
      </c>
      <c r="I9" s="155">
        <v>72</v>
      </c>
      <c r="J9" s="154">
        <v>454.4</v>
      </c>
      <c r="K9" s="88"/>
      <c r="L9" s="76">
        <f>E9+G9+I9</f>
        <v>368</v>
      </c>
      <c r="M9" s="77">
        <f>F9+H9+J9</f>
        <v>2430.37</v>
      </c>
      <c r="N9" s="155">
        <f>O9/6</f>
        <v>55.080000000000005</v>
      </c>
      <c r="O9" s="154">
        <v>330.48</v>
      </c>
      <c r="P9" s="155">
        <f>Q9/6</f>
        <v>81.045000000000002</v>
      </c>
      <c r="Q9" s="154">
        <v>486.27</v>
      </c>
      <c r="R9" s="155">
        <f>S9/6</f>
        <v>58.4</v>
      </c>
      <c r="S9" s="269">
        <v>350.4</v>
      </c>
      <c r="T9" s="78">
        <f>N9+P9+R9</f>
        <v>194.52500000000001</v>
      </c>
      <c r="U9" s="273">
        <f>O9+Q9+S9</f>
        <v>1167.1500000000001</v>
      </c>
    </row>
    <row r="10" spans="3:21" x14ac:dyDescent="0.35">
      <c r="C10" s="298"/>
      <c r="D10" s="60" t="s">
        <v>95</v>
      </c>
      <c r="E10" s="67">
        <v>160</v>
      </c>
      <c r="F10" s="64">
        <v>8834</v>
      </c>
      <c r="G10" s="67">
        <v>123</v>
      </c>
      <c r="H10" s="64">
        <v>6452.58</v>
      </c>
      <c r="I10" s="67">
        <v>151</v>
      </c>
      <c r="J10" s="64">
        <v>5690.7</v>
      </c>
      <c r="K10" s="89"/>
      <c r="L10" s="78">
        <f>(E10+G10+I10)/3</f>
        <v>144.66666666666666</v>
      </c>
      <c r="M10" s="79">
        <f t="shared" ref="M10:M12" si="0">F10+H10+J10</f>
        <v>20977.279999999999</v>
      </c>
      <c r="N10" s="67">
        <f>O10/1.25/30</f>
        <v>117.76</v>
      </c>
      <c r="O10" s="64">
        <v>4416</v>
      </c>
      <c r="P10" s="67">
        <f>Q10/1.25/30</f>
        <v>125.51013333333334</v>
      </c>
      <c r="Q10" s="64">
        <v>4706.63</v>
      </c>
      <c r="R10" s="67">
        <f>S10/1.25/30</f>
        <v>115.92</v>
      </c>
      <c r="S10" s="270">
        <v>4347</v>
      </c>
      <c r="T10" s="78">
        <f t="shared" ref="T10:T12" si="1">N10+P10+R10</f>
        <v>359.19013333333334</v>
      </c>
      <c r="U10" s="273">
        <f t="shared" ref="U10:U12" si="2">O10+Q10+S10</f>
        <v>13469.630000000001</v>
      </c>
    </row>
    <row r="11" spans="3:21" x14ac:dyDescent="0.35">
      <c r="C11" s="298"/>
      <c r="D11" s="60" t="s">
        <v>30</v>
      </c>
      <c r="E11" s="67">
        <v>178</v>
      </c>
      <c r="F11" s="64">
        <v>1294.3599999999999</v>
      </c>
      <c r="G11" s="67">
        <v>76</v>
      </c>
      <c r="H11" s="154">
        <v>681.61</v>
      </c>
      <c r="I11" s="67">
        <v>40</v>
      </c>
      <c r="J11" s="64">
        <v>454.4</v>
      </c>
      <c r="K11" s="89"/>
      <c r="L11" s="78">
        <f>E11+G11+I11</f>
        <v>294</v>
      </c>
      <c r="M11" s="79">
        <f t="shared" si="0"/>
        <v>2430.37</v>
      </c>
      <c r="N11" s="155">
        <f>O11/6</f>
        <v>55.080000000000005</v>
      </c>
      <c r="O11" s="64">
        <v>330.48</v>
      </c>
      <c r="P11" s="155">
        <f>Q11/6</f>
        <v>63.168333333333329</v>
      </c>
      <c r="Q11" s="154">
        <v>379.01</v>
      </c>
      <c r="R11" s="155">
        <f>S11/6</f>
        <v>40.523333333333333</v>
      </c>
      <c r="S11" s="270">
        <v>243.14</v>
      </c>
      <c r="T11" s="78">
        <f t="shared" si="1"/>
        <v>158.77166666666668</v>
      </c>
      <c r="U11" s="273">
        <f t="shared" si="2"/>
        <v>952.63</v>
      </c>
    </row>
    <row r="12" spans="3:21" x14ac:dyDescent="0.35">
      <c r="C12" s="330" t="s">
        <v>87</v>
      </c>
      <c r="D12" s="331"/>
      <c r="E12" s="72">
        <v>18</v>
      </c>
      <c r="F12" s="65">
        <v>7809</v>
      </c>
      <c r="G12" s="72">
        <v>15</v>
      </c>
      <c r="H12" s="65">
        <v>5619</v>
      </c>
      <c r="I12" s="72">
        <v>18</v>
      </c>
      <c r="J12" s="65">
        <v>5527</v>
      </c>
      <c r="K12" s="90"/>
      <c r="L12" s="95">
        <f>E12+G12+I12</f>
        <v>51</v>
      </c>
      <c r="M12" s="79">
        <f t="shared" si="0"/>
        <v>18955</v>
      </c>
      <c r="N12" s="72">
        <v>21</v>
      </c>
      <c r="O12" s="65">
        <v>5438.51</v>
      </c>
      <c r="P12" s="72">
        <v>12</v>
      </c>
      <c r="Q12" s="65">
        <v>3573.72</v>
      </c>
      <c r="R12" s="72">
        <v>11</v>
      </c>
      <c r="S12" s="271">
        <v>3372</v>
      </c>
      <c r="T12" s="78">
        <f t="shared" si="1"/>
        <v>44</v>
      </c>
      <c r="U12" s="273">
        <f t="shared" si="2"/>
        <v>12384.23</v>
      </c>
    </row>
    <row r="13" spans="3:21" ht="16" thickBot="1" x14ac:dyDescent="0.4">
      <c r="C13" s="332" t="s">
        <v>31</v>
      </c>
      <c r="D13" s="333"/>
      <c r="E13" s="302">
        <f>SUM(F9:F12)</f>
        <v>19231.72</v>
      </c>
      <c r="F13" s="303"/>
      <c r="G13" s="302">
        <f>SUM(H9:H12)</f>
        <v>13434.8</v>
      </c>
      <c r="H13" s="303"/>
      <c r="I13" s="302">
        <f>SUM(J9:J12)</f>
        <v>12126.5</v>
      </c>
      <c r="J13" s="303"/>
      <c r="K13" s="91"/>
      <c r="L13" s="320">
        <f>SUM(M9:M12)</f>
        <v>44793.02</v>
      </c>
      <c r="M13" s="321"/>
      <c r="N13" s="302">
        <f>SUM(O9:O12)</f>
        <v>10515.47</v>
      </c>
      <c r="O13" s="303"/>
      <c r="P13" s="302">
        <f>SUM(Q9:Q12)</f>
        <v>9145.6299999999992</v>
      </c>
      <c r="Q13" s="303"/>
      <c r="R13" s="302">
        <f>SUM(S9:S12)</f>
        <v>8312.5400000000009</v>
      </c>
      <c r="S13" s="360"/>
      <c r="T13" s="357">
        <f>SUM(U9:U12)</f>
        <v>27973.64</v>
      </c>
      <c r="U13" s="358"/>
    </row>
    <row r="14" spans="3:21" ht="9.75" customHeight="1" x14ac:dyDescent="0.35"/>
    <row r="15" spans="3:21" x14ac:dyDescent="0.35">
      <c r="C15" s="286" t="s">
        <v>26</v>
      </c>
      <c r="D15" s="287"/>
      <c r="E15" s="326">
        <v>188162</v>
      </c>
      <c r="F15" s="327"/>
      <c r="G15" s="326">
        <v>126773</v>
      </c>
      <c r="H15" s="327"/>
      <c r="I15" s="326">
        <v>113256</v>
      </c>
      <c r="J15" s="327"/>
      <c r="K15" s="98"/>
      <c r="L15" s="328">
        <f>SUM(E15:J15)</f>
        <v>428191</v>
      </c>
      <c r="M15" s="329"/>
      <c r="N15" s="326">
        <v>112114.77</v>
      </c>
      <c r="O15" s="327"/>
      <c r="P15" s="326">
        <v>117994.63</v>
      </c>
      <c r="Q15" s="327"/>
      <c r="R15" s="326">
        <v>108569.62</v>
      </c>
      <c r="S15" s="327"/>
      <c r="T15" s="326">
        <f>N15+P15+R15</f>
        <v>338679.02</v>
      </c>
      <c r="U15" s="327"/>
    </row>
    <row r="16" spans="3:21" x14ac:dyDescent="0.35">
      <c r="C16" s="292" t="s">
        <v>118</v>
      </c>
      <c r="D16" s="292"/>
      <c r="E16" s="62"/>
      <c r="F16" s="99">
        <f>E13/E15</f>
        <v>0.10220830986065199</v>
      </c>
      <c r="G16" s="99"/>
      <c r="H16" s="99">
        <f>G13/G15</f>
        <v>0.10597524709520166</v>
      </c>
      <c r="I16" s="99"/>
      <c r="J16" s="99">
        <f>I13/I15</f>
        <v>0.10707159002613548</v>
      </c>
      <c r="K16" s="96"/>
      <c r="L16" s="97"/>
      <c r="M16" s="99">
        <f>L13/L15</f>
        <v>0.1046099053926869</v>
      </c>
      <c r="N16" s="62"/>
      <c r="O16" s="99">
        <f>N13/N15</f>
        <v>9.3792013309218755E-2</v>
      </c>
      <c r="P16" s="99"/>
      <c r="Q16" s="99">
        <f>P13/P15</f>
        <v>7.7508866293321987E-2</v>
      </c>
      <c r="R16" s="99"/>
      <c r="S16" s="99">
        <f>R13/R15</f>
        <v>7.656414381850099E-2</v>
      </c>
      <c r="T16" s="99"/>
      <c r="U16" s="99">
        <f>T13/T15</f>
        <v>8.2596317894152393E-2</v>
      </c>
    </row>
    <row r="17" spans="3:21" x14ac:dyDescent="0.35">
      <c r="O17" s="62" t="s">
        <v>251</v>
      </c>
      <c r="P17" t="s">
        <v>251</v>
      </c>
    </row>
    <row r="18" spans="3:21" ht="16" thickBot="1" x14ac:dyDescent="0.4"/>
    <row r="19" spans="3:21" x14ac:dyDescent="0.35">
      <c r="C19" s="293">
        <v>2026</v>
      </c>
      <c r="D19" s="294"/>
      <c r="E19" s="278" t="s">
        <v>34</v>
      </c>
      <c r="F19" s="279"/>
      <c r="G19" s="278" t="s">
        <v>35</v>
      </c>
      <c r="H19" s="279"/>
      <c r="I19" s="278" t="s">
        <v>36</v>
      </c>
      <c r="J19" s="279"/>
      <c r="K19" s="92"/>
      <c r="L19" s="280" t="s">
        <v>38</v>
      </c>
      <c r="M19" s="281"/>
      <c r="N19" s="278" t="s">
        <v>49</v>
      </c>
      <c r="O19" s="279"/>
      <c r="P19" s="278" t="s">
        <v>50</v>
      </c>
      <c r="Q19" s="279"/>
      <c r="R19" s="278" t="s">
        <v>131</v>
      </c>
      <c r="S19" s="279"/>
      <c r="T19" s="317" t="s">
        <v>39</v>
      </c>
      <c r="U19" s="318"/>
    </row>
    <row r="20" spans="3:21" ht="16" thickBot="1" x14ac:dyDescent="0.4">
      <c r="C20" s="295"/>
      <c r="D20" s="296"/>
      <c r="E20" s="166" t="s">
        <v>32</v>
      </c>
      <c r="F20" s="167" t="s">
        <v>33</v>
      </c>
      <c r="G20" s="166" t="s">
        <v>32</v>
      </c>
      <c r="H20" s="167" t="s">
        <v>33</v>
      </c>
      <c r="I20" s="166" t="s">
        <v>32</v>
      </c>
      <c r="J20" s="167" t="s">
        <v>33</v>
      </c>
      <c r="K20" s="93"/>
      <c r="L20" s="80" t="s">
        <v>32</v>
      </c>
      <c r="M20" s="81" t="s">
        <v>33</v>
      </c>
      <c r="N20" s="166" t="s">
        <v>32</v>
      </c>
      <c r="O20" s="167" t="s">
        <v>33</v>
      </c>
      <c r="P20" s="166" t="s">
        <v>32</v>
      </c>
      <c r="Q20" s="167" t="s">
        <v>33</v>
      </c>
      <c r="R20" s="166" t="s">
        <v>32</v>
      </c>
      <c r="S20" s="167" t="s">
        <v>33</v>
      </c>
      <c r="T20" s="74" t="s">
        <v>32</v>
      </c>
      <c r="U20" s="75" t="s">
        <v>33</v>
      </c>
    </row>
    <row r="21" spans="3:21" x14ac:dyDescent="0.35">
      <c r="C21" s="297" t="s">
        <v>28</v>
      </c>
      <c r="D21" s="61" t="s">
        <v>29</v>
      </c>
      <c r="E21" s="155">
        <v>118</v>
      </c>
      <c r="F21" s="154">
        <v>750.7</v>
      </c>
      <c r="G21" s="155">
        <v>58</v>
      </c>
      <c r="H21" s="154">
        <v>774</v>
      </c>
      <c r="I21" s="155"/>
      <c r="J21" s="154"/>
      <c r="K21" s="88"/>
      <c r="L21" s="82">
        <f>E21+G21+I21</f>
        <v>176</v>
      </c>
      <c r="M21" s="83">
        <f>F21+H21+J21</f>
        <v>1524.7</v>
      </c>
      <c r="N21" s="155">
        <f>33</f>
        <v>33</v>
      </c>
      <c r="O21" s="154">
        <f>N21*4.5+25</f>
        <v>173.5</v>
      </c>
      <c r="P21" s="155">
        <f>33</f>
        <v>33</v>
      </c>
      <c r="Q21" s="154">
        <f>P21*4.5+25</f>
        <v>173.5</v>
      </c>
      <c r="R21" s="155">
        <f>33</f>
        <v>33</v>
      </c>
      <c r="S21" s="154">
        <f>R21*4.5+25</f>
        <v>173.5</v>
      </c>
      <c r="T21" s="78">
        <f>N21+P21+R21</f>
        <v>99</v>
      </c>
      <c r="U21" s="273">
        <f>O21+Q21+S21</f>
        <v>520.5</v>
      </c>
    </row>
    <row r="22" spans="3:21" x14ac:dyDescent="0.35">
      <c r="C22" s="298"/>
      <c r="D22" s="60" t="s">
        <v>95</v>
      </c>
      <c r="E22" s="67">
        <v>147</v>
      </c>
      <c r="F22" s="64">
        <v>6363.71</v>
      </c>
      <c r="G22" s="67">
        <v>112</v>
      </c>
      <c r="H22" s="64">
        <v>5601.85</v>
      </c>
      <c r="I22" s="67">
        <f>53+16</f>
        <v>69</v>
      </c>
      <c r="J22" s="64">
        <v>2518.7199999999998</v>
      </c>
      <c r="K22" s="89"/>
      <c r="L22" s="84">
        <f>(E22+G22+I22)/3</f>
        <v>109.33333333333333</v>
      </c>
      <c r="M22" s="85">
        <f t="shared" ref="M22:M24" si="3">F22+H22+J22</f>
        <v>14484.28</v>
      </c>
      <c r="N22" s="67">
        <f>O22/2.25/30*5</f>
        <v>116</v>
      </c>
      <c r="O22" s="64">
        <v>1566</v>
      </c>
      <c r="P22" s="67">
        <f>56+15+58</f>
        <v>129</v>
      </c>
      <c r="Q22" s="64">
        <f>949+207.9+779.18</f>
        <v>1936.08</v>
      </c>
      <c r="R22" s="67">
        <f>S22/2.25/30*5</f>
        <v>96.308148148148149</v>
      </c>
      <c r="S22" s="64">
        <v>1300.1600000000001</v>
      </c>
      <c r="T22" s="78">
        <f t="shared" ref="T22:T24" si="4">N22+P22+R22</f>
        <v>341.30814814814812</v>
      </c>
      <c r="U22" s="273">
        <f t="shared" ref="U22:U24" si="5">O22+Q22+S22</f>
        <v>4802.24</v>
      </c>
    </row>
    <row r="23" spans="3:21" x14ac:dyDescent="0.35">
      <c r="C23" s="298"/>
      <c r="D23" s="60" t="s">
        <v>30</v>
      </c>
      <c r="E23" s="67">
        <v>95</v>
      </c>
      <c r="F23" s="64">
        <v>585</v>
      </c>
      <c r="G23" s="67">
        <v>81</v>
      </c>
      <c r="H23" s="64">
        <v>585</v>
      </c>
      <c r="I23" s="67"/>
      <c r="J23" s="64"/>
      <c r="K23" s="89"/>
      <c r="L23" s="84">
        <f>E23+G23+I23</f>
        <v>176</v>
      </c>
      <c r="M23" s="85">
        <f t="shared" si="3"/>
        <v>1170</v>
      </c>
      <c r="N23" s="155">
        <f>33</f>
        <v>33</v>
      </c>
      <c r="O23" s="154">
        <f>N23*4.5+25</f>
        <v>173.5</v>
      </c>
      <c r="P23" s="67">
        <v>66</v>
      </c>
      <c r="Q23" s="154">
        <f>148.5+25+179.69+45</f>
        <v>398.19</v>
      </c>
      <c r="R23" s="155">
        <f>33</f>
        <v>33</v>
      </c>
      <c r="S23" s="154">
        <f>R23*4.5+25</f>
        <v>173.5</v>
      </c>
      <c r="T23" s="78">
        <f t="shared" si="4"/>
        <v>132</v>
      </c>
      <c r="U23" s="273">
        <f t="shared" si="5"/>
        <v>745.19</v>
      </c>
    </row>
    <row r="24" spans="3:21" x14ac:dyDescent="0.35">
      <c r="C24" s="330" t="s">
        <v>87</v>
      </c>
      <c r="D24" s="331"/>
      <c r="E24" s="67">
        <v>14</v>
      </c>
      <c r="F24" s="64">
        <v>5368.58</v>
      </c>
      <c r="G24" s="67">
        <v>13</v>
      </c>
      <c r="H24" s="64">
        <v>4550.74</v>
      </c>
      <c r="I24" s="67">
        <v>4</v>
      </c>
      <c r="J24" s="64">
        <v>1453.75</v>
      </c>
      <c r="K24" s="89">
        <v>0</v>
      </c>
      <c r="L24" s="94">
        <f>E24+G24+I24</f>
        <v>31</v>
      </c>
      <c r="M24" s="85">
        <f t="shared" si="3"/>
        <v>11373.07</v>
      </c>
      <c r="N24" s="67">
        <v>16</v>
      </c>
      <c r="O24" s="64">
        <f>1967.95+800+120+800</f>
        <v>3687.95</v>
      </c>
      <c r="P24" s="109">
        <v>15</v>
      </c>
      <c r="Q24" s="64">
        <f>1405.97+1936+145.2</f>
        <v>3487.17</v>
      </c>
      <c r="R24" s="67">
        <f>4+9</f>
        <v>13</v>
      </c>
      <c r="S24" s="64">
        <f>811.28+2117.16</f>
        <v>2928.4399999999996</v>
      </c>
      <c r="T24" s="78">
        <f t="shared" si="4"/>
        <v>44</v>
      </c>
      <c r="U24" s="273">
        <f t="shared" si="5"/>
        <v>10103.56</v>
      </c>
    </row>
    <row r="25" spans="3:21" ht="16" thickBot="1" x14ac:dyDescent="0.4">
      <c r="C25" s="284" t="s">
        <v>41</v>
      </c>
      <c r="D25" s="285"/>
      <c r="E25" s="322">
        <f>SUM(F21:F24)</f>
        <v>13067.99</v>
      </c>
      <c r="F25" s="323"/>
      <c r="G25" s="322">
        <f>SUM(H21:H24)</f>
        <v>11511.59</v>
      </c>
      <c r="H25" s="323"/>
      <c r="I25" s="322">
        <f>SUM(J21:J24)</f>
        <v>3972.47</v>
      </c>
      <c r="J25" s="323"/>
      <c r="K25" s="91"/>
      <c r="L25" s="306">
        <f>SUM(M21:M24)</f>
        <v>28552.050000000003</v>
      </c>
      <c r="M25" s="307"/>
      <c r="N25" s="322">
        <f>SUM(O21:O24)</f>
        <v>5600.95</v>
      </c>
      <c r="O25" s="323"/>
      <c r="P25" s="322">
        <f>SUM(Q21:Q24)</f>
        <v>5994.9400000000005</v>
      </c>
      <c r="Q25" s="323"/>
      <c r="R25" s="322">
        <f>SUM(S21:S24)</f>
        <v>4575.5999999999995</v>
      </c>
      <c r="S25" s="323"/>
      <c r="T25" s="357">
        <f>SUM(U21:U24)</f>
        <v>16171.49</v>
      </c>
      <c r="U25" s="358"/>
    </row>
    <row r="26" spans="3:21" ht="9.75" customHeight="1" x14ac:dyDescent="0.35"/>
    <row r="27" spans="3:21" x14ac:dyDescent="0.35">
      <c r="C27" s="286" t="s">
        <v>26</v>
      </c>
      <c r="D27" s="287"/>
      <c r="E27" s="324">
        <v>209846</v>
      </c>
      <c r="F27" s="325"/>
      <c r="G27" s="324">
        <v>94614</v>
      </c>
      <c r="H27" s="325"/>
      <c r="I27" s="324">
        <v>126119</v>
      </c>
      <c r="J27" s="325"/>
      <c r="L27" s="328">
        <f>SUM(E27:J27)</f>
        <v>430579</v>
      </c>
      <c r="M27" s="329"/>
      <c r="N27" s="324">
        <v>101420</v>
      </c>
      <c r="O27" s="325"/>
      <c r="P27" s="324">
        <v>103385</v>
      </c>
      <c r="Q27" s="325"/>
      <c r="R27" s="324">
        <v>87741</v>
      </c>
      <c r="S27" s="325"/>
      <c r="T27" s="326">
        <f>N27+P27+R27</f>
        <v>292546</v>
      </c>
      <c r="U27" s="327"/>
    </row>
    <row r="28" spans="3:21" x14ac:dyDescent="0.35">
      <c r="C28" s="292" t="s">
        <v>118</v>
      </c>
      <c r="D28" s="292"/>
      <c r="E28" s="62"/>
      <c r="F28" s="99">
        <f>E25/E27</f>
        <v>6.2274191549993807E-2</v>
      </c>
      <c r="G28" s="99"/>
      <c r="H28" s="99">
        <f>G25/G27</f>
        <v>0.12166899190394656</v>
      </c>
      <c r="I28" s="96"/>
      <c r="J28" s="99">
        <f>I25/I27</f>
        <v>3.1497791768092039E-2</v>
      </c>
      <c r="K28" s="96"/>
      <c r="L28" s="97"/>
      <c r="M28" s="99">
        <f>L25/L27</f>
        <v>6.6310827978141071E-2</v>
      </c>
      <c r="N28" s="62"/>
      <c r="O28" s="99">
        <f>N25/N27</f>
        <v>5.5225300729639125E-2</v>
      </c>
      <c r="P28" s="99"/>
      <c r="Q28" s="99">
        <f>P25/P27</f>
        <v>5.798655510954201E-2</v>
      </c>
      <c r="R28" s="96"/>
      <c r="S28" s="99">
        <f>R25/R27</f>
        <v>5.2148938352651546E-2</v>
      </c>
      <c r="T28" s="99"/>
      <c r="U28" s="99">
        <f>T25/T27</f>
        <v>5.5278451935763945E-2</v>
      </c>
    </row>
    <row r="29" spans="3:21" x14ac:dyDescent="0.35">
      <c r="I29" s="23"/>
      <c r="R29" s="268"/>
    </row>
    <row r="30" spans="3:21" x14ac:dyDescent="0.35">
      <c r="F30" s="120"/>
      <c r="G30" s="58"/>
      <c r="H30" s="121"/>
      <c r="O30" s="275"/>
      <c r="P30" s="58"/>
      <c r="Q30" s="121"/>
      <c r="R30" s="101"/>
    </row>
    <row r="31" spans="3:21" x14ac:dyDescent="0.35">
      <c r="F31" s="101"/>
      <c r="H31" s="101"/>
      <c r="O31" s="274"/>
      <c r="Q31" s="101"/>
    </row>
    <row r="32" spans="3:21" x14ac:dyDescent="0.35">
      <c r="F32" s="101"/>
      <c r="O32" s="101"/>
    </row>
  </sheetData>
  <mergeCells count="61">
    <mergeCell ref="T7:U7"/>
    <mergeCell ref="T19:U19"/>
    <mergeCell ref="C28:D28"/>
    <mergeCell ref="L25:M25"/>
    <mergeCell ref="C27:D27"/>
    <mergeCell ref="E27:F27"/>
    <mergeCell ref="G27:H27"/>
    <mergeCell ref="I27:J27"/>
    <mergeCell ref="L27:M27"/>
    <mergeCell ref="I25:J25"/>
    <mergeCell ref="C21:C23"/>
    <mergeCell ref="C24:D24"/>
    <mergeCell ref="C25:D25"/>
    <mergeCell ref="E25:F25"/>
    <mergeCell ref="G25:H25"/>
    <mergeCell ref="L19:M19"/>
    <mergeCell ref="L13:M13"/>
    <mergeCell ref="C15:D15"/>
    <mergeCell ref="E15:F15"/>
    <mergeCell ref="G15:H15"/>
    <mergeCell ref="I15:J15"/>
    <mergeCell ref="L15:M15"/>
    <mergeCell ref="I13:J13"/>
    <mergeCell ref="C16:D16"/>
    <mergeCell ref="C19:D20"/>
    <mergeCell ref="E19:F19"/>
    <mergeCell ref="G19:H19"/>
    <mergeCell ref="I19:J19"/>
    <mergeCell ref="C9:C11"/>
    <mergeCell ref="C12:D12"/>
    <mergeCell ref="C13:D13"/>
    <mergeCell ref="E13:F13"/>
    <mergeCell ref="G13:H13"/>
    <mergeCell ref="C4:M5"/>
    <mergeCell ref="C7:D8"/>
    <mergeCell ref="E7:F7"/>
    <mergeCell ref="G7:H7"/>
    <mergeCell ref="I7:J7"/>
    <mergeCell ref="L7:M7"/>
    <mergeCell ref="N7:O7"/>
    <mergeCell ref="P7:Q7"/>
    <mergeCell ref="R7:S7"/>
    <mergeCell ref="N13:O13"/>
    <mergeCell ref="P13:Q13"/>
    <mergeCell ref="R13:S13"/>
    <mergeCell ref="T15:U15"/>
    <mergeCell ref="T13:U13"/>
    <mergeCell ref="T27:U27"/>
    <mergeCell ref="T25:U25"/>
    <mergeCell ref="N25:O25"/>
    <mergeCell ref="P25:Q25"/>
    <mergeCell ref="R25:S25"/>
    <mergeCell ref="N27:O27"/>
    <mergeCell ref="P27:Q27"/>
    <mergeCell ref="R27:S27"/>
    <mergeCell ref="N15:O15"/>
    <mergeCell ref="P15:Q15"/>
    <mergeCell ref="R15:S15"/>
    <mergeCell ref="N19:O19"/>
    <mergeCell ref="P19:Q19"/>
    <mergeCell ref="R19:S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88B2-45F7-4A1A-8414-F9BA108A95A4}">
  <dimension ref="C4:Q43"/>
  <sheetViews>
    <sheetView showGridLines="0" zoomScale="110" zoomScaleNormal="110" workbookViewId="0">
      <selection activeCell="F32" sqref="F32"/>
    </sheetView>
  </sheetViews>
  <sheetFormatPr defaultRowHeight="15.5" outlineLevelRow="1" x14ac:dyDescent="0.35"/>
  <cols>
    <col min="1" max="1" width="6.453125" customWidth="1"/>
    <col min="3" max="3" width="14.1796875" bestFit="1" customWidth="1"/>
    <col min="4" max="4" width="20.7265625" customWidth="1"/>
    <col min="5" max="5" width="23.81640625" customWidth="1"/>
    <col min="6" max="6" width="22" style="62" customWidth="1"/>
    <col min="7" max="7" width="14.26953125" customWidth="1"/>
    <col min="8" max="8" width="12.81640625" style="62" bestFit="1" customWidth="1"/>
    <col min="9" max="9" width="13.7265625" customWidth="1"/>
    <col min="10" max="10" width="12.453125" style="62" customWidth="1"/>
    <col min="11" max="11" width="0.26953125" style="62" customWidth="1"/>
    <col min="12" max="12" width="10.1796875" style="73" customWidth="1"/>
    <col min="13" max="13" width="11.54296875" style="73" bestFit="1" customWidth="1"/>
    <col min="14" max="14" width="3.1796875" customWidth="1"/>
    <col min="15" max="15" width="11.7265625" style="1" bestFit="1" customWidth="1"/>
    <col min="16" max="16" width="12.7265625" style="1" customWidth="1"/>
    <col min="17" max="17" width="5" customWidth="1"/>
    <col min="19" max="19" width="12.54296875" bestFit="1" customWidth="1"/>
  </cols>
  <sheetData>
    <row r="4" spans="3:17" ht="14.5" outlineLevel="1" x14ac:dyDescent="0.35">
      <c r="C4" s="310" t="s">
        <v>46</v>
      </c>
      <c r="D4" s="310"/>
      <c r="E4" s="310"/>
      <c r="F4" s="310"/>
      <c r="G4" s="310"/>
      <c r="H4" s="310"/>
      <c r="I4" s="310"/>
      <c r="J4" s="310"/>
      <c r="K4" s="310"/>
      <c r="L4" s="310"/>
      <c r="M4" s="310"/>
    </row>
    <row r="5" spans="3:17" ht="14.5" outlineLevel="1" x14ac:dyDescent="0.35"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</row>
    <row r="6" spans="3:17" ht="9" customHeight="1" outlineLevel="1" thickBot="1" x14ac:dyDescent="0.4"/>
    <row r="7" spans="3:17" outlineLevel="1" x14ac:dyDescent="0.35">
      <c r="C7" s="311">
        <v>2025</v>
      </c>
      <c r="D7" s="312"/>
      <c r="E7" s="315" t="s">
        <v>34</v>
      </c>
      <c r="F7" s="316"/>
      <c r="G7" s="315" t="s">
        <v>35</v>
      </c>
      <c r="H7" s="316"/>
      <c r="I7" s="315" t="s">
        <v>36</v>
      </c>
      <c r="J7" s="316"/>
      <c r="K7" s="86"/>
      <c r="L7" s="317" t="s">
        <v>39</v>
      </c>
      <c r="M7" s="318"/>
    </row>
    <row r="8" spans="3:17" ht="16" outlineLevel="1" thickBot="1" x14ac:dyDescent="0.4">
      <c r="C8" s="313"/>
      <c r="D8" s="314"/>
      <c r="E8" s="68" t="s">
        <v>32</v>
      </c>
      <c r="F8" s="69" t="s">
        <v>33</v>
      </c>
      <c r="G8" s="68" t="s">
        <v>32</v>
      </c>
      <c r="H8" s="69" t="s">
        <v>33</v>
      </c>
      <c r="I8" s="68" t="s">
        <v>32</v>
      </c>
      <c r="J8" s="69" t="s">
        <v>33</v>
      </c>
      <c r="K8" s="87"/>
      <c r="L8" s="74" t="s">
        <v>32</v>
      </c>
      <c r="M8" s="75" t="s">
        <v>33</v>
      </c>
    </row>
    <row r="9" spans="3:17" hidden="1" outlineLevel="1" x14ac:dyDescent="0.35">
      <c r="C9" s="297" t="s">
        <v>28</v>
      </c>
      <c r="D9" s="61" t="s">
        <v>29</v>
      </c>
      <c r="E9" s="66">
        <v>12933</v>
      </c>
      <c r="F9" s="63">
        <v>1747.5457590000001</v>
      </c>
      <c r="G9" s="66">
        <v>10111</v>
      </c>
      <c r="H9" s="63">
        <v>1372.1334770000001</v>
      </c>
      <c r="I9" s="66">
        <v>10747</v>
      </c>
      <c r="J9" s="63">
        <v>1474.9182799999999</v>
      </c>
      <c r="K9" s="88"/>
      <c r="L9" s="76">
        <f>E9+G9+I9</f>
        <v>33791</v>
      </c>
      <c r="M9" s="77">
        <f>F9+H9+J9</f>
        <v>4594.5975159999998</v>
      </c>
    </row>
    <row r="10" spans="3:17" hidden="1" outlineLevel="1" x14ac:dyDescent="0.35">
      <c r="C10" s="298"/>
      <c r="D10" s="60" t="s">
        <v>37</v>
      </c>
      <c r="E10" s="67">
        <f>390298/30</f>
        <v>13009.933333333332</v>
      </c>
      <c r="F10" s="64">
        <v>11876.939871120001</v>
      </c>
      <c r="G10" s="67">
        <f>364902/30</f>
        <v>12163.4</v>
      </c>
      <c r="H10" s="64">
        <v>11152.120327920002</v>
      </c>
      <c r="I10" s="67">
        <f>381313/30</f>
        <v>12710.433333333332</v>
      </c>
      <c r="J10" s="64">
        <v>11785.317153600001</v>
      </c>
      <c r="K10" s="89"/>
      <c r="L10" s="78">
        <f>(E10+G10+I10)</f>
        <v>37883.766666666663</v>
      </c>
      <c r="M10" s="79">
        <f t="shared" ref="M10:M13" si="0">F10+H10+J10</f>
        <v>34814.377352640004</v>
      </c>
    </row>
    <row r="11" spans="3:17" ht="16" hidden="1" outlineLevel="1" thickBot="1" x14ac:dyDescent="0.4">
      <c r="C11" s="319"/>
      <c r="D11" s="228" t="s">
        <v>30</v>
      </c>
      <c r="E11" s="229">
        <v>11748</v>
      </c>
      <c r="F11" s="230">
        <v>2065.8270600000001</v>
      </c>
      <c r="G11" s="229">
        <v>10156</v>
      </c>
      <c r="H11" s="230">
        <v>1793.6003800000001</v>
      </c>
      <c r="I11" s="229">
        <v>6655</v>
      </c>
      <c r="J11" s="230">
        <v>1188.5829999999999</v>
      </c>
      <c r="K11" s="231"/>
      <c r="L11" s="232">
        <f>E11+G11+I11</f>
        <v>28559</v>
      </c>
      <c r="M11" s="233">
        <f t="shared" si="0"/>
        <v>5048.01044</v>
      </c>
    </row>
    <row r="12" spans="3:17" outlineLevel="1" x14ac:dyDescent="0.35">
      <c r="C12" s="227" t="s">
        <v>120</v>
      </c>
      <c r="D12" s="8" t="s">
        <v>125</v>
      </c>
      <c r="E12" s="67">
        <f>390298/30</f>
        <v>13009.933333333332</v>
      </c>
      <c r="F12" s="154">
        <f>SUM(F9:F11)</f>
        <v>15690.312690120001</v>
      </c>
      <c r="G12" s="67">
        <f>364902/30</f>
        <v>12163.4</v>
      </c>
      <c r="H12" s="154">
        <f>SUM(H9:H11)</f>
        <v>14317.854184920001</v>
      </c>
      <c r="I12" s="67">
        <f>381313/30</f>
        <v>12710.433333333332</v>
      </c>
      <c r="J12" s="154">
        <f>SUM(J9:J11)</f>
        <v>14448.818433600001</v>
      </c>
      <c r="K12" s="156"/>
      <c r="L12" s="78">
        <f>(E12+G12+I12)</f>
        <v>37883.766666666663</v>
      </c>
      <c r="M12" s="158">
        <f>SUM(M9:M11)</f>
        <v>44456.985308640003</v>
      </c>
    </row>
    <row r="13" spans="3:17" outlineLevel="1" x14ac:dyDescent="0.35">
      <c r="C13" s="282" t="s">
        <v>22</v>
      </c>
      <c r="D13" s="283"/>
      <c r="E13" s="67">
        <v>587.4</v>
      </c>
      <c r="F13" s="65">
        <v>38712</v>
      </c>
      <c r="G13" s="72">
        <f>G11/20</f>
        <v>507.8</v>
      </c>
      <c r="H13" s="65">
        <v>31124</v>
      </c>
      <c r="I13" s="72">
        <f>I11/20</f>
        <v>332.75</v>
      </c>
      <c r="J13" s="65">
        <v>16090</v>
      </c>
      <c r="K13" s="90"/>
      <c r="L13" s="95">
        <f>E13+G13+I13</f>
        <v>1427.95</v>
      </c>
      <c r="M13" s="79">
        <f t="shared" si="0"/>
        <v>85926</v>
      </c>
    </row>
    <row r="14" spans="3:17" ht="16" outlineLevel="1" thickBot="1" x14ac:dyDescent="0.4">
      <c r="C14" s="284" t="s">
        <v>41</v>
      </c>
      <c r="D14" s="285"/>
      <c r="E14" s="302">
        <f>SUM(F12:F13)</f>
        <v>54402.312690120001</v>
      </c>
      <c r="F14" s="303"/>
      <c r="G14" s="302">
        <f>SUM(H12:H13)</f>
        <v>45441.854184919997</v>
      </c>
      <c r="H14" s="303"/>
      <c r="I14" s="302">
        <f>SUM(J12:J13)</f>
        <v>30538.818433600001</v>
      </c>
      <c r="J14" s="303"/>
      <c r="K14" s="91"/>
      <c r="L14" s="320">
        <f>SUM(M12:M13)</f>
        <v>130382.98530864</v>
      </c>
      <c r="M14" s="321"/>
    </row>
    <row r="15" spans="3:17" ht="9.75" customHeight="1" outlineLevel="1" x14ac:dyDescent="0.35"/>
    <row r="16" spans="3:17" outlineLevel="1" x14ac:dyDescent="0.35">
      <c r="C16" s="286" t="s">
        <v>26</v>
      </c>
      <c r="D16" s="287"/>
      <c r="E16" s="299">
        <v>453383</v>
      </c>
      <c r="F16" s="300"/>
      <c r="G16" s="299">
        <v>499262</v>
      </c>
      <c r="H16" s="300"/>
      <c r="I16" s="299">
        <v>634269</v>
      </c>
      <c r="J16" s="300"/>
      <c r="K16" s="107"/>
      <c r="L16" s="301">
        <f>SUM(E16:J16)</f>
        <v>1586914</v>
      </c>
      <c r="M16" s="301"/>
      <c r="O16" s="15"/>
      <c r="P16" s="113"/>
      <c r="Q16" s="100"/>
    </row>
    <row r="17" spans="3:16" outlineLevel="1" x14ac:dyDescent="0.35">
      <c r="C17" s="292" t="s">
        <v>118</v>
      </c>
      <c r="D17" s="292"/>
      <c r="E17" s="62"/>
      <c r="F17" s="96">
        <f>E14/E16</f>
        <v>0.11999195534486296</v>
      </c>
      <c r="G17" s="96"/>
      <c r="H17" s="96">
        <f>G14/G16</f>
        <v>9.1018051013135384E-2</v>
      </c>
      <c r="I17" s="96"/>
      <c r="J17" s="96">
        <f>I14/I16</f>
        <v>4.8148054585041997E-2</v>
      </c>
      <c r="K17" s="96"/>
      <c r="L17" s="97"/>
      <c r="M17" s="99">
        <f>L14/L16</f>
        <v>8.2161342901152803E-2</v>
      </c>
    </row>
    <row r="18" spans="3:16" outlineLevel="1" x14ac:dyDescent="0.35"/>
    <row r="19" spans="3:16" ht="16" outlineLevel="1" thickBot="1" x14ac:dyDescent="0.4">
      <c r="E19" s="106"/>
    </row>
    <row r="20" spans="3:16" outlineLevel="1" x14ac:dyDescent="0.35">
      <c r="C20" s="293">
        <v>2026</v>
      </c>
      <c r="D20" s="294"/>
      <c r="E20" s="278" t="s">
        <v>34</v>
      </c>
      <c r="F20" s="279"/>
      <c r="G20" s="278" t="s">
        <v>35</v>
      </c>
      <c r="H20" s="279"/>
      <c r="I20" s="278" t="s">
        <v>36</v>
      </c>
      <c r="J20" s="279"/>
      <c r="K20" s="92"/>
      <c r="L20" s="280" t="s">
        <v>38</v>
      </c>
      <c r="M20" s="281"/>
      <c r="O20" s="276" t="s">
        <v>109</v>
      </c>
      <c r="P20" s="276" t="s">
        <v>45</v>
      </c>
    </row>
    <row r="21" spans="3:16" ht="16" outlineLevel="1" thickBot="1" x14ac:dyDescent="0.4">
      <c r="C21" s="295"/>
      <c r="D21" s="296"/>
      <c r="E21" s="70" t="s">
        <v>32</v>
      </c>
      <c r="F21" s="71" t="s">
        <v>33</v>
      </c>
      <c r="G21" s="70" t="s">
        <v>32</v>
      </c>
      <c r="H21" s="71" t="s">
        <v>33</v>
      </c>
      <c r="I21" s="70" t="s">
        <v>32</v>
      </c>
      <c r="J21" s="71" t="s">
        <v>33</v>
      </c>
      <c r="K21" s="93"/>
      <c r="L21" s="80" t="s">
        <v>32</v>
      </c>
      <c r="M21" s="81" t="s">
        <v>33</v>
      </c>
      <c r="O21" s="277"/>
      <c r="P21" s="277"/>
    </row>
    <row r="22" spans="3:16" hidden="1" outlineLevel="1" x14ac:dyDescent="0.35">
      <c r="C22" s="297" t="s">
        <v>28</v>
      </c>
      <c r="D22" s="61" t="s">
        <v>29</v>
      </c>
      <c r="E22" s="66">
        <v>28329</v>
      </c>
      <c r="F22" s="63">
        <v>5200.9211099999993</v>
      </c>
      <c r="G22" s="66">
        <v>6338</v>
      </c>
      <c r="H22" s="63">
        <v>1181.0229199999999</v>
      </c>
      <c r="I22" s="66">
        <v>9426</v>
      </c>
      <c r="J22" s="63">
        <v>1830.0579</v>
      </c>
      <c r="K22" s="88"/>
      <c r="L22" s="82">
        <f>E22+G22+I22</f>
        <v>44093</v>
      </c>
      <c r="M22" s="83">
        <f>F22+H22+J22</f>
        <v>8212.0019299999985</v>
      </c>
      <c r="O22" s="15"/>
      <c r="P22" s="115"/>
    </row>
    <row r="23" spans="3:16" hidden="1" outlineLevel="1" x14ac:dyDescent="0.35">
      <c r="C23" s="298"/>
      <c r="D23" s="60" t="s">
        <v>37</v>
      </c>
      <c r="E23" s="67">
        <v>22067</v>
      </c>
      <c r="F23" s="64">
        <v>25035</v>
      </c>
      <c r="G23" s="67">
        <v>16960</v>
      </c>
      <c r="H23" s="64">
        <v>24937.953347999999</v>
      </c>
      <c r="I23" s="67">
        <v>16302</v>
      </c>
      <c r="J23" s="64">
        <v>27650.936545</v>
      </c>
      <c r="K23" s="89"/>
      <c r="L23" s="84">
        <f>(E23+G23+I23)</f>
        <v>55329</v>
      </c>
      <c r="M23" s="85">
        <f t="shared" ref="M23:M26" si="1">F23+H23+J23</f>
        <v>77623.889893</v>
      </c>
      <c r="O23" s="15"/>
      <c r="P23" s="115"/>
    </row>
    <row r="24" spans="3:16" hidden="1" outlineLevel="1" x14ac:dyDescent="0.35">
      <c r="C24" s="298"/>
      <c r="D24" s="60" t="s">
        <v>30</v>
      </c>
      <c r="E24" s="67">
        <v>11921</v>
      </c>
      <c r="F24" s="64">
        <v>2188.5763899999997</v>
      </c>
      <c r="G24" s="67">
        <v>6326</v>
      </c>
      <c r="H24" s="64">
        <v>1178.78684</v>
      </c>
      <c r="I24" s="67">
        <v>11274</v>
      </c>
      <c r="J24" s="64">
        <v>2188.8471</v>
      </c>
      <c r="K24" s="89"/>
      <c r="L24" s="84">
        <f>E24+G24+I24</f>
        <v>29521</v>
      </c>
      <c r="M24" s="85">
        <f t="shared" si="1"/>
        <v>5556.2103299999999</v>
      </c>
      <c r="O24" s="15"/>
      <c r="P24" s="115"/>
    </row>
    <row r="25" spans="3:16" outlineLevel="1" x14ac:dyDescent="0.35">
      <c r="C25" s="227" t="s">
        <v>120</v>
      </c>
      <c r="D25" s="8" t="s">
        <v>125</v>
      </c>
      <c r="E25" s="67">
        <v>22067</v>
      </c>
      <c r="F25" s="154">
        <f>SUM(F22:F24)</f>
        <v>32424.497499999998</v>
      </c>
      <c r="G25" s="67">
        <v>16960</v>
      </c>
      <c r="H25" s="154">
        <f>SUM(H22:H24)</f>
        <v>27297.763107999999</v>
      </c>
      <c r="I25" s="67">
        <v>16302</v>
      </c>
      <c r="J25" s="154">
        <f>SUM(J22:J24)</f>
        <v>31669.841544999999</v>
      </c>
      <c r="K25" s="89"/>
      <c r="L25" s="94">
        <f>(E25+G25+I25)</f>
        <v>55329</v>
      </c>
      <c r="M25" s="85">
        <f t="shared" si="1"/>
        <v>91392.102153</v>
      </c>
      <c r="O25" s="15"/>
      <c r="P25" s="115"/>
    </row>
    <row r="26" spans="3:16" outlineLevel="1" x14ac:dyDescent="0.35">
      <c r="C26" s="282" t="s">
        <v>22</v>
      </c>
      <c r="D26" s="283"/>
      <c r="E26" s="67">
        <f>E24/20</f>
        <v>596.04999999999995</v>
      </c>
      <c r="F26" s="64">
        <v>32945.650761199999</v>
      </c>
      <c r="G26" s="67">
        <f>G24/20</f>
        <v>316.3</v>
      </c>
      <c r="H26" s="64">
        <v>16896.612594399998</v>
      </c>
      <c r="I26" s="109">
        <f>I24/20</f>
        <v>563.70000000000005</v>
      </c>
      <c r="J26" s="64">
        <v>27286.887292000003</v>
      </c>
      <c r="K26" s="89"/>
      <c r="L26" s="94">
        <f>E26+G26+I26</f>
        <v>1476.05</v>
      </c>
      <c r="M26" s="85">
        <f t="shared" si="1"/>
        <v>77129.150647599992</v>
      </c>
      <c r="O26" s="117"/>
      <c r="P26" s="118"/>
    </row>
    <row r="27" spans="3:16" ht="16" outlineLevel="1" thickBot="1" x14ac:dyDescent="0.4">
      <c r="C27" s="284" t="s">
        <v>41</v>
      </c>
      <c r="D27" s="285"/>
      <c r="E27" s="110"/>
      <c r="F27" s="111">
        <f>SUM(F25:F26)</f>
        <v>65370.148261199996</v>
      </c>
      <c r="G27" s="110"/>
      <c r="H27" s="111">
        <f>SUM(H25:H26)</f>
        <v>44194.375702399993</v>
      </c>
      <c r="I27" s="110"/>
      <c r="J27" s="111">
        <f>SUM(J25:J26)</f>
        <v>58956.728837000002</v>
      </c>
      <c r="K27" s="112"/>
      <c r="L27" s="306">
        <f>SUM(M25:M26)</f>
        <v>168521.25280059999</v>
      </c>
      <c r="M27" s="307"/>
      <c r="O27" s="114">
        <f>L25/L12-1</f>
        <v>0.46049363271691579</v>
      </c>
      <c r="P27" s="116">
        <f>L27/L14-1</f>
        <v>0.29250954334018231</v>
      </c>
    </row>
    <row r="28" spans="3:16" ht="9.75" customHeight="1" outlineLevel="1" x14ac:dyDescent="0.35"/>
    <row r="29" spans="3:16" outlineLevel="1" x14ac:dyDescent="0.35">
      <c r="C29" s="286" t="s">
        <v>26</v>
      </c>
      <c r="D29" s="287"/>
      <c r="E29" s="288">
        <v>588375</v>
      </c>
      <c r="F29" s="289"/>
      <c r="G29" s="304">
        <v>476123</v>
      </c>
      <c r="H29" s="305"/>
      <c r="I29" s="290">
        <v>689040</v>
      </c>
      <c r="J29" s="291"/>
      <c r="L29" s="301">
        <f>SUM(E29:J29)</f>
        <v>1753538</v>
      </c>
      <c r="M29" s="301"/>
      <c r="O29" s="210"/>
    </row>
    <row r="30" spans="3:16" outlineLevel="1" x14ac:dyDescent="0.35">
      <c r="C30" s="292" t="s">
        <v>118</v>
      </c>
      <c r="D30" s="292"/>
      <c r="E30" s="1"/>
      <c r="F30" s="96">
        <f>F27/E29</f>
        <v>0.11110286511357552</v>
      </c>
      <c r="G30" s="96"/>
      <c r="H30" s="96">
        <f>H27/G29</f>
        <v>9.2821341759167258E-2</v>
      </c>
      <c r="I30" s="96"/>
      <c r="J30" s="96">
        <f>J27/I29</f>
        <v>8.5563579526587719E-2</v>
      </c>
      <c r="K30" s="96"/>
      <c r="L30" s="97"/>
      <c r="M30" s="99">
        <f>L27/L29</f>
        <v>9.6103564793349208E-2</v>
      </c>
    </row>
    <row r="31" spans="3:16" outlineLevel="1" x14ac:dyDescent="0.35">
      <c r="H31" s="108"/>
      <c r="O31" s="16"/>
    </row>
    <row r="34" spans="3:9" ht="15.75" customHeight="1" x14ac:dyDescent="0.35">
      <c r="C34" s="308" t="s">
        <v>123</v>
      </c>
      <c r="D34" s="308"/>
      <c r="E34" s="308"/>
      <c r="F34" s="308"/>
    </row>
    <row r="35" spans="3:9" x14ac:dyDescent="0.35">
      <c r="C35" s="309"/>
      <c r="D35" s="309"/>
      <c r="E35" s="309"/>
      <c r="F35" s="309"/>
    </row>
    <row r="36" spans="3:9" x14ac:dyDescent="0.35">
      <c r="C36" s="238"/>
      <c r="D36" s="239" t="s">
        <v>116</v>
      </c>
      <c r="E36" s="240" t="s">
        <v>113</v>
      </c>
      <c r="F36" s="240" t="s">
        <v>112</v>
      </c>
    </row>
    <row r="37" spans="3:9" x14ac:dyDescent="0.35">
      <c r="C37" s="13" t="s">
        <v>110</v>
      </c>
      <c r="D37" s="220" t="s">
        <v>117</v>
      </c>
      <c r="E37" s="225">
        <f>550000*18*0.0018</f>
        <v>17820</v>
      </c>
      <c r="F37" s="225">
        <f>240000*18*0.0018</f>
        <v>7776</v>
      </c>
      <c r="G37" s="14" t="s">
        <v>122</v>
      </c>
    </row>
    <row r="38" spans="3:9" x14ac:dyDescent="0.35">
      <c r="C38" s="237"/>
      <c r="D38" s="221"/>
      <c r="E38" s="223"/>
      <c r="F38" s="223"/>
      <c r="G38" s="14"/>
    </row>
    <row r="39" spans="3:9" x14ac:dyDescent="0.35">
      <c r="C39" s="13" t="s">
        <v>21</v>
      </c>
      <c r="D39" s="220" t="s">
        <v>114</v>
      </c>
      <c r="E39" s="222">
        <f>(55329*19*1.1*30*0.0018)+(82*44093*0.0018*1.1)+(107*29521*0.0018*1.1)</f>
        <v>75857.567939999994</v>
      </c>
      <c r="F39" s="222">
        <f>M22+M23+M24</f>
        <v>91392.102153</v>
      </c>
      <c r="G39" s="14"/>
    </row>
    <row r="40" spans="3:9" x14ac:dyDescent="0.35">
      <c r="C40" s="237" t="s">
        <v>111</v>
      </c>
      <c r="D40" s="221" t="s">
        <v>115</v>
      </c>
      <c r="E40" s="223">
        <f>F40*1.22</f>
        <v>94097.563790071988</v>
      </c>
      <c r="F40" s="224">
        <f>M26</f>
        <v>77129.150647599992</v>
      </c>
      <c r="G40" s="236" t="s">
        <v>124</v>
      </c>
      <c r="H40" s="25" t="s">
        <v>118</v>
      </c>
    </row>
    <row r="41" spans="3:9" x14ac:dyDescent="0.35">
      <c r="C41" s="13"/>
      <c r="D41" s="7" t="s">
        <v>119</v>
      </c>
      <c r="E41" s="225">
        <f>SUM(E39:E40)</f>
        <v>169955.13173007197</v>
      </c>
      <c r="F41" s="226">
        <f>SUM(F39:F40)</f>
        <v>168521.25280059999</v>
      </c>
      <c r="G41" s="234">
        <v>1753538</v>
      </c>
      <c r="H41" s="235">
        <f>F41/G41</f>
        <v>9.6103564793349208E-2</v>
      </c>
    </row>
    <row r="42" spans="3:9" x14ac:dyDescent="0.35">
      <c r="C42" s="237"/>
      <c r="D42" s="221"/>
      <c r="E42" s="223"/>
      <c r="F42" s="224"/>
      <c r="G42" s="8"/>
      <c r="H42" s="242"/>
      <c r="I42" s="28"/>
    </row>
    <row r="43" spans="3:9" x14ac:dyDescent="0.35">
      <c r="D43" s="221" t="s">
        <v>121</v>
      </c>
      <c r="E43" s="241">
        <f>SUM(E37:E40)</f>
        <v>187775.13173007197</v>
      </c>
      <c r="F43" s="241">
        <f>SUM(F37:F40)</f>
        <v>176297.25280059999</v>
      </c>
    </row>
  </sheetData>
  <mergeCells count="37">
    <mergeCell ref="C34:F35"/>
    <mergeCell ref="C30:D30"/>
    <mergeCell ref="C4:M5"/>
    <mergeCell ref="C7:D8"/>
    <mergeCell ref="E7:F7"/>
    <mergeCell ref="G7:H7"/>
    <mergeCell ref="I7:J7"/>
    <mergeCell ref="L7:M7"/>
    <mergeCell ref="C9:C11"/>
    <mergeCell ref="C13:D13"/>
    <mergeCell ref="C14:D14"/>
    <mergeCell ref="E14:F14"/>
    <mergeCell ref="G14:H14"/>
    <mergeCell ref="L14:M14"/>
    <mergeCell ref="C16:D16"/>
    <mergeCell ref="E16:F16"/>
    <mergeCell ref="G16:H16"/>
    <mergeCell ref="I16:J16"/>
    <mergeCell ref="L16:M16"/>
    <mergeCell ref="I14:J14"/>
    <mergeCell ref="G29:H29"/>
    <mergeCell ref="L29:M29"/>
    <mergeCell ref="L27:M27"/>
    <mergeCell ref="C27:D27"/>
    <mergeCell ref="C29:D29"/>
    <mergeCell ref="E29:F29"/>
    <mergeCell ref="I29:J29"/>
    <mergeCell ref="C17:D17"/>
    <mergeCell ref="C20:D21"/>
    <mergeCell ref="E20:F20"/>
    <mergeCell ref="G20:H20"/>
    <mergeCell ref="C22:C24"/>
    <mergeCell ref="P20:P21"/>
    <mergeCell ref="O20:O21"/>
    <mergeCell ref="I20:J20"/>
    <mergeCell ref="L20:M20"/>
    <mergeCell ref="C26:D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D530-4E2D-442A-8259-515E36C889F1}">
  <dimension ref="C4:N32"/>
  <sheetViews>
    <sheetView showGridLines="0" zoomScale="120" zoomScaleNormal="120" workbookViewId="0">
      <selection activeCell="I2" sqref="I2"/>
    </sheetView>
  </sheetViews>
  <sheetFormatPr defaultRowHeight="15.5" x14ac:dyDescent="0.35"/>
  <cols>
    <col min="1" max="1" width="6.453125" customWidth="1"/>
    <col min="3" max="3" width="14.1796875" bestFit="1" customWidth="1"/>
    <col min="4" max="4" width="16.54296875" bestFit="1" customWidth="1"/>
    <col min="5" max="5" width="8.7265625" bestFit="1" customWidth="1"/>
    <col min="6" max="6" width="12.7265625" style="62" customWidth="1"/>
    <col min="7" max="7" width="8.7265625" bestFit="1" customWidth="1"/>
    <col min="8" max="8" width="12.81640625" style="62" customWidth="1"/>
    <col min="9" max="9" width="10.54296875" bestFit="1" customWidth="1"/>
    <col min="10" max="10" width="12.453125" style="62" customWidth="1"/>
    <col min="11" max="11" width="0.26953125" style="62" customWidth="1"/>
    <col min="12" max="12" width="10.1796875" style="73" customWidth="1"/>
    <col min="13" max="13" width="11.54296875" style="73" bestFit="1" customWidth="1"/>
    <col min="14" max="14" width="10.453125" bestFit="1" customWidth="1"/>
  </cols>
  <sheetData>
    <row r="4" spans="3:13" ht="14.5" x14ac:dyDescent="0.35">
      <c r="C4" s="310" t="s">
        <v>102</v>
      </c>
      <c r="D4" s="310"/>
      <c r="E4" s="310"/>
      <c r="F4" s="310"/>
      <c r="G4" s="310"/>
      <c r="H4" s="310"/>
      <c r="I4" s="310"/>
      <c r="J4" s="310"/>
      <c r="K4" s="310"/>
      <c r="L4" s="310"/>
      <c r="M4" s="310"/>
    </row>
    <row r="5" spans="3:13" ht="14.5" x14ac:dyDescent="0.35"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</row>
    <row r="6" spans="3:13" ht="9" customHeight="1" thickBot="1" x14ac:dyDescent="0.4"/>
    <row r="7" spans="3:13" x14ac:dyDescent="0.35">
      <c r="C7" s="311">
        <v>2025</v>
      </c>
      <c r="D7" s="312"/>
      <c r="E7" s="315" t="s">
        <v>34</v>
      </c>
      <c r="F7" s="316"/>
      <c r="G7" s="315" t="s">
        <v>35</v>
      </c>
      <c r="H7" s="316"/>
      <c r="I7" s="315" t="s">
        <v>36</v>
      </c>
      <c r="J7" s="316"/>
      <c r="K7" s="86"/>
      <c r="L7" s="317" t="s">
        <v>39</v>
      </c>
      <c r="M7" s="318"/>
    </row>
    <row r="8" spans="3:13" ht="16" thickBot="1" x14ac:dyDescent="0.4">
      <c r="C8" s="313"/>
      <c r="D8" s="314"/>
      <c r="E8" s="159" t="s">
        <v>32</v>
      </c>
      <c r="F8" s="160" t="s">
        <v>33</v>
      </c>
      <c r="G8" s="159" t="s">
        <v>32</v>
      </c>
      <c r="H8" s="160" t="s">
        <v>33</v>
      </c>
      <c r="I8" s="159" t="s">
        <v>32</v>
      </c>
      <c r="J8" s="160" t="s">
        <v>33</v>
      </c>
      <c r="K8" s="87"/>
      <c r="L8" s="74" t="s">
        <v>32</v>
      </c>
      <c r="M8" s="75" t="s">
        <v>33</v>
      </c>
    </row>
    <row r="9" spans="3:13" x14ac:dyDescent="0.35">
      <c r="C9" s="297" t="s">
        <v>28</v>
      </c>
      <c r="D9" s="61" t="s">
        <v>97</v>
      </c>
      <c r="E9" s="155">
        <v>251</v>
      </c>
      <c r="F9" s="154">
        <v>1030.5983699999999</v>
      </c>
      <c r="G9" s="155">
        <v>262</v>
      </c>
      <c r="H9" s="154">
        <v>1103.525136</v>
      </c>
      <c r="I9" s="155">
        <v>132</v>
      </c>
      <c r="J9" s="154">
        <v>539.21</v>
      </c>
      <c r="K9" s="88"/>
      <c r="L9" s="76">
        <f>E9+G9+I9</f>
        <v>645</v>
      </c>
      <c r="M9" s="77">
        <f>F9+H9+J9</f>
        <v>2673.3335059999999</v>
      </c>
    </row>
    <row r="10" spans="3:13" x14ac:dyDescent="0.35">
      <c r="C10" s="298"/>
      <c r="D10" s="60" t="s">
        <v>96</v>
      </c>
      <c r="E10" s="67">
        <v>132</v>
      </c>
      <c r="F10" s="64">
        <v>1907.70039</v>
      </c>
      <c r="G10" s="67">
        <v>155</v>
      </c>
      <c r="H10" s="64">
        <v>2087.1759999999999</v>
      </c>
      <c r="I10" s="67">
        <v>390</v>
      </c>
      <c r="J10" s="64">
        <v>5743.4</v>
      </c>
      <c r="K10" s="89"/>
      <c r="L10" s="78">
        <f>(E10+G10+I10)/3</f>
        <v>225.66666666666666</v>
      </c>
      <c r="M10" s="79">
        <f t="shared" ref="M10:M12" si="0">F10+H10+J10</f>
        <v>9738.2763899999991</v>
      </c>
    </row>
    <row r="11" spans="3:13" x14ac:dyDescent="0.35">
      <c r="C11" s="298"/>
      <c r="D11" s="60" t="s">
        <v>98</v>
      </c>
      <c r="E11" s="67">
        <v>250</v>
      </c>
      <c r="F11" s="64">
        <v>1307.0250000000001</v>
      </c>
      <c r="G11" s="67">
        <v>175</v>
      </c>
      <c r="H11" s="154">
        <v>938.54600000000005</v>
      </c>
      <c r="I11" s="67">
        <v>169</v>
      </c>
      <c r="J11" s="64">
        <v>1120.25</v>
      </c>
      <c r="K11" s="89"/>
      <c r="L11" s="78">
        <f>E11+G11+I11</f>
        <v>594</v>
      </c>
      <c r="M11" s="79">
        <f t="shared" si="0"/>
        <v>3365.8209999999999</v>
      </c>
    </row>
    <row r="12" spans="3:13" x14ac:dyDescent="0.35">
      <c r="C12" s="330" t="s">
        <v>87</v>
      </c>
      <c r="D12" s="331"/>
      <c r="E12" s="72">
        <v>250</v>
      </c>
      <c r="F12" s="65">
        <v>12031</v>
      </c>
      <c r="G12" s="72">
        <v>177</v>
      </c>
      <c r="H12" s="65">
        <v>9238.81</v>
      </c>
      <c r="I12" s="72">
        <v>169</v>
      </c>
      <c r="J12" s="65">
        <v>8708.8830999999991</v>
      </c>
      <c r="K12" s="90"/>
      <c r="L12" s="95">
        <f>E12+G12+I12</f>
        <v>596</v>
      </c>
      <c r="M12" s="79">
        <f t="shared" si="0"/>
        <v>29978.693099999997</v>
      </c>
    </row>
    <row r="13" spans="3:13" ht="16" thickBot="1" x14ac:dyDescent="0.4">
      <c r="C13" s="332" t="s">
        <v>31</v>
      </c>
      <c r="D13" s="333"/>
      <c r="E13" s="302">
        <f>SUM(F9:F12)</f>
        <v>16276.323759999999</v>
      </c>
      <c r="F13" s="303"/>
      <c r="G13" s="302">
        <f>SUM(H9:H12)</f>
        <v>13368.057135999999</v>
      </c>
      <c r="H13" s="303"/>
      <c r="I13" s="302">
        <f>SUM(J9:J12)</f>
        <v>16111.7431</v>
      </c>
      <c r="J13" s="303"/>
      <c r="K13" s="91"/>
      <c r="L13" s="320">
        <f>SUM(M9:M12)</f>
        <v>45756.123995999995</v>
      </c>
      <c r="M13" s="352"/>
    </row>
    <row r="14" spans="3:13" ht="9.75" customHeight="1" x14ac:dyDescent="0.35"/>
    <row r="15" spans="3:13" x14ac:dyDescent="0.35">
      <c r="C15" s="286" t="s">
        <v>26</v>
      </c>
      <c r="D15" s="287"/>
      <c r="E15" s="326">
        <v>286742</v>
      </c>
      <c r="F15" s="327"/>
      <c r="G15" s="326">
        <v>251237</v>
      </c>
      <c r="H15" s="327"/>
      <c r="I15" s="326">
        <v>282314</v>
      </c>
      <c r="J15" s="327"/>
      <c r="K15" s="98"/>
      <c r="L15" s="328">
        <f>SUM(E15:J15)</f>
        <v>820293</v>
      </c>
      <c r="M15" s="329"/>
    </row>
    <row r="16" spans="3:13" x14ac:dyDescent="0.35">
      <c r="C16" s="292" t="s">
        <v>118</v>
      </c>
      <c r="D16" s="292"/>
      <c r="E16" s="62"/>
      <c r="F16" s="99">
        <f>E13/E15</f>
        <v>5.676295680437466E-2</v>
      </c>
      <c r="G16" s="99"/>
      <c r="H16" s="99">
        <f>G13/G15</f>
        <v>5.3208950656153352E-2</v>
      </c>
      <c r="I16" s="99"/>
      <c r="J16" s="99">
        <f>I13/I15</f>
        <v>5.7070294423939301E-2</v>
      </c>
      <c r="K16" s="96"/>
      <c r="L16" s="97"/>
      <c r="M16" s="99">
        <f>L13/L15</f>
        <v>5.5780219989686602E-2</v>
      </c>
    </row>
    <row r="18" spans="3:14" ht="16" thickBot="1" x14ac:dyDescent="0.4"/>
    <row r="19" spans="3:14" x14ac:dyDescent="0.35">
      <c r="C19" s="293">
        <v>2026</v>
      </c>
      <c r="D19" s="294"/>
      <c r="E19" s="278" t="s">
        <v>34</v>
      </c>
      <c r="F19" s="279"/>
      <c r="G19" s="278" t="s">
        <v>35</v>
      </c>
      <c r="H19" s="279"/>
      <c r="I19" s="278" t="s">
        <v>36</v>
      </c>
      <c r="J19" s="279"/>
      <c r="K19" s="92"/>
      <c r="L19" s="280" t="s">
        <v>38</v>
      </c>
      <c r="M19" s="281"/>
    </row>
    <row r="20" spans="3:14" ht="16" thickBot="1" x14ac:dyDescent="0.4">
      <c r="C20" s="295"/>
      <c r="D20" s="296"/>
      <c r="E20" s="166" t="s">
        <v>32</v>
      </c>
      <c r="F20" s="167" t="s">
        <v>33</v>
      </c>
      <c r="G20" s="166" t="s">
        <v>32</v>
      </c>
      <c r="H20" s="167" t="s">
        <v>33</v>
      </c>
      <c r="I20" s="166" t="s">
        <v>32</v>
      </c>
      <c r="J20" s="167" t="s">
        <v>33</v>
      </c>
      <c r="K20" s="93"/>
      <c r="L20" s="80" t="s">
        <v>32</v>
      </c>
      <c r="M20" s="81" t="s">
        <v>33</v>
      </c>
    </row>
    <row r="21" spans="3:14" x14ac:dyDescent="0.35">
      <c r="C21" s="297" t="s">
        <v>28</v>
      </c>
      <c r="D21" s="61" t="s">
        <v>100</v>
      </c>
      <c r="E21" s="155">
        <v>225</v>
      </c>
      <c r="F21" s="154">
        <v>856.6884</v>
      </c>
      <c r="G21" s="155">
        <v>130</v>
      </c>
      <c r="H21" s="154">
        <v>500.42538000000002</v>
      </c>
      <c r="I21" s="155">
        <v>254</v>
      </c>
      <c r="J21" s="154">
        <v>996.54512399999999</v>
      </c>
      <c r="K21" s="88"/>
      <c r="L21" s="82">
        <f>E21+G21+I21</f>
        <v>609</v>
      </c>
      <c r="M21" s="83">
        <f>F21+H21+J21</f>
        <v>2353.6589039999999</v>
      </c>
    </row>
    <row r="22" spans="3:14" x14ac:dyDescent="0.35">
      <c r="C22" s="298"/>
      <c r="D22" s="60" t="s">
        <v>96</v>
      </c>
      <c r="E22" s="67">
        <v>130</v>
      </c>
      <c r="F22" s="64">
        <v>1762.5315840000003</v>
      </c>
      <c r="G22" s="67">
        <v>99</v>
      </c>
      <c r="H22" s="64">
        <v>1215.7067999999999</v>
      </c>
      <c r="I22" s="67">
        <v>91</v>
      </c>
      <c r="J22" s="64">
        <v>1266.1178</v>
      </c>
      <c r="K22" s="89"/>
      <c r="L22" s="84">
        <f>(E22+G22+I22)/3</f>
        <v>106.66666666666667</v>
      </c>
      <c r="M22" s="85">
        <f t="shared" ref="M22:M24" si="1">F22+H22+J22</f>
        <v>4244.3561840000002</v>
      </c>
      <c r="N22" s="119"/>
    </row>
    <row r="23" spans="3:14" x14ac:dyDescent="0.35">
      <c r="C23" s="298"/>
      <c r="D23" s="60" t="s">
        <v>101</v>
      </c>
      <c r="E23" s="67">
        <v>233</v>
      </c>
      <c r="F23" s="64">
        <v>1129.6212800000001</v>
      </c>
      <c r="G23" s="67">
        <v>206</v>
      </c>
      <c r="H23" s="64">
        <v>945.96599999999989</v>
      </c>
      <c r="I23" s="67">
        <v>222</v>
      </c>
      <c r="J23" s="64">
        <v>1109.0542800000001</v>
      </c>
      <c r="K23" s="89"/>
      <c r="L23" s="84">
        <f>E23+G23+I23</f>
        <v>661</v>
      </c>
      <c r="M23" s="85">
        <f t="shared" si="1"/>
        <v>3184.64156</v>
      </c>
    </row>
    <row r="24" spans="3:14" x14ac:dyDescent="0.35">
      <c r="C24" s="330" t="s">
        <v>99</v>
      </c>
      <c r="D24" s="331"/>
      <c r="E24" s="67">
        <v>233</v>
      </c>
      <c r="F24" s="64">
        <v>11168.98</v>
      </c>
      <c r="G24" s="67">
        <v>206</v>
      </c>
      <c r="H24" s="64">
        <v>8915.8076000000001</v>
      </c>
      <c r="I24" s="67">
        <v>234</v>
      </c>
      <c r="J24" s="64">
        <v>11366.422199999999</v>
      </c>
      <c r="K24" s="89">
        <v>0</v>
      </c>
      <c r="L24" s="94">
        <f>E24+G24+I24</f>
        <v>673</v>
      </c>
      <c r="M24" s="85">
        <f t="shared" si="1"/>
        <v>31451.209799999997</v>
      </c>
    </row>
    <row r="25" spans="3:14" ht="16" thickBot="1" x14ac:dyDescent="0.4">
      <c r="C25" s="284" t="s">
        <v>41</v>
      </c>
      <c r="D25" s="285"/>
      <c r="E25" s="322">
        <f>SUM(F21:F24)</f>
        <v>14917.821264</v>
      </c>
      <c r="F25" s="323"/>
      <c r="G25" s="322">
        <f>SUM(H21:H24)</f>
        <v>11577.905780000001</v>
      </c>
      <c r="H25" s="323"/>
      <c r="I25" s="322">
        <f>SUM(J21:J24)</f>
        <v>14738.139404</v>
      </c>
      <c r="J25" s="323"/>
      <c r="K25" s="91"/>
      <c r="L25" s="306">
        <f>SUM(M21:M24)</f>
        <v>41233.866448000001</v>
      </c>
      <c r="M25" s="307"/>
    </row>
    <row r="26" spans="3:14" ht="9.75" customHeight="1" x14ac:dyDescent="0.35"/>
    <row r="27" spans="3:14" x14ac:dyDescent="0.35">
      <c r="C27" s="286" t="s">
        <v>26</v>
      </c>
      <c r="D27" s="287"/>
      <c r="E27" s="324">
        <v>343072</v>
      </c>
      <c r="F27" s="325"/>
      <c r="G27" s="324">
        <v>279887</v>
      </c>
      <c r="H27" s="325"/>
      <c r="I27" s="324">
        <v>359654</v>
      </c>
      <c r="J27" s="325"/>
      <c r="L27" s="328">
        <f>SUM(E27:J27)</f>
        <v>982613</v>
      </c>
      <c r="M27" s="329"/>
    </row>
    <row r="28" spans="3:14" x14ac:dyDescent="0.35">
      <c r="C28" s="292" t="s">
        <v>118</v>
      </c>
      <c r="D28" s="292"/>
      <c r="E28" s="62"/>
      <c r="F28" s="96">
        <f>E25/E27</f>
        <v>4.3483062634082643E-2</v>
      </c>
      <c r="G28" s="96"/>
      <c r="H28" s="96">
        <f>G25/G27</f>
        <v>4.136635778010412E-2</v>
      </c>
      <c r="I28" s="96"/>
      <c r="J28" s="96">
        <f>I25/I27</f>
        <v>4.0978661168790002E-2</v>
      </c>
      <c r="K28" s="96"/>
      <c r="L28" s="97"/>
      <c r="M28" s="99">
        <f>L25/L27</f>
        <v>4.1963485571633999E-2</v>
      </c>
    </row>
    <row r="29" spans="3:14" x14ac:dyDescent="0.35">
      <c r="I29" s="23"/>
    </row>
    <row r="30" spans="3:14" x14ac:dyDescent="0.35">
      <c r="F30" s="120"/>
      <c r="G30" s="58"/>
      <c r="H30" s="121"/>
    </row>
    <row r="31" spans="3:14" x14ac:dyDescent="0.35">
      <c r="F31" s="101"/>
      <c r="H31" s="101"/>
    </row>
    <row r="32" spans="3:14" x14ac:dyDescent="0.35">
      <c r="F32" s="101"/>
    </row>
  </sheetData>
  <mergeCells count="37">
    <mergeCell ref="C28:D28"/>
    <mergeCell ref="L25:M25"/>
    <mergeCell ref="C27:D27"/>
    <mergeCell ref="E27:F27"/>
    <mergeCell ref="G27:H27"/>
    <mergeCell ref="I27:J27"/>
    <mergeCell ref="L27:M27"/>
    <mergeCell ref="I25:J25"/>
    <mergeCell ref="C21:C23"/>
    <mergeCell ref="C24:D24"/>
    <mergeCell ref="C25:D25"/>
    <mergeCell ref="E25:F25"/>
    <mergeCell ref="G25:H25"/>
    <mergeCell ref="L19:M19"/>
    <mergeCell ref="L13:M13"/>
    <mergeCell ref="C15:D15"/>
    <mergeCell ref="E15:F15"/>
    <mergeCell ref="G15:H15"/>
    <mergeCell ref="I15:J15"/>
    <mergeCell ref="L15:M15"/>
    <mergeCell ref="I13:J13"/>
    <mergeCell ref="C16:D16"/>
    <mergeCell ref="C19:D20"/>
    <mergeCell ref="E19:F19"/>
    <mergeCell ref="G19:H19"/>
    <mergeCell ref="I19:J19"/>
    <mergeCell ref="C9:C11"/>
    <mergeCell ref="C12:D12"/>
    <mergeCell ref="C13:D13"/>
    <mergeCell ref="E13:F13"/>
    <mergeCell ref="G13:H13"/>
    <mergeCell ref="C4:M5"/>
    <mergeCell ref="C7:D8"/>
    <mergeCell ref="E7:F7"/>
    <mergeCell ref="G7:H7"/>
    <mergeCell ref="I7:J7"/>
    <mergeCell ref="L7:M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00D6-3C9B-4E8B-B0D2-6CF41618E5B9}">
  <dimension ref="C4:N32"/>
  <sheetViews>
    <sheetView showGridLines="0" tabSelected="1" topLeftCell="A13" workbookViewId="0">
      <selection activeCell="C31" sqref="C31"/>
    </sheetView>
  </sheetViews>
  <sheetFormatPr defaultRowHeight="15.5" x14ac:dyDescent="0.35"/>
  <cols>
    <col min="1" max="1" width="6.453125" customWidth="1"/>
    <col min="3" max="3" width="14.1796875" bestFit="1" customWidth="1"/>
    <col min="4" max="4" width="13.81640625" bestFit="1" customWidth="1"/>
    <col min="5" max="5" width="8.7265625" bestFit="1" customWidth="1"/>
    <col min="6" max="6" width="12.7265625" style="62" customWidth="1"/>
    <col min="7" max="7" width="8.7265625" bestFit="1" customWidth="1"/>
    <col min="8" max="8" width="12.81640625" style="62" customWidth="1"/>
    <col min="9" max="9" width="10.54296875" bestFit="1" customWidth="1"/>
    <col min="10" max="10" width="12.453125" style="62" customWidth="1"/>
    <col min="11" max="11" width="0.26953125" style="62" customWidth="1"/>
    <col min="12" max="12" width="10.1796875" style="73" customWidth="1"/>
    <col min="13" max="13" width="11.54296875" style="73" bestFit="1" customWidth="1"/>
    <col min="14" max="14" width="10.453125" bestFit="1" customWidth="1"/>
  </cols>
  <sheetData>
    <row r="4" spans="3:13" ht="14.5" x14ac:dyDescent="0.35">
      <c r="C4" s="310" t="s">
        <v>91</v>
      </c>
      <c r="D4" s="310"/>
      <c r="E4" s="310"/>
      <c r="F4" s="310"/>
      <c r="G4" s="310"/>
      <c r="H4" s="310"/>
      <c r="I4" s="310"/>
      <c r="J4" s="310"/>
      <c r="K4" s="310"/>
      <c r="L4" s="310"/>
      <c r="M4" s="310"/>
    </row>
    <row r="5" spans="3:13" ht="14.5" x14ac:dyDescent="0.35"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</row>
    <row r="6" spans="3:13" ht="9" customHeight="1" thickBot="1" x14ac:dyDescent="0.4"/>
    <row r="7" spans="3:13" x14ac:dyDescent="0.35">
      <c r="C7" s="368">
        <v>2025</v>
      </c>
      <c r="D7" s="369"/>
      <c r="E7" s="315" t="s">
        <v>34</v>
      </c>
      <c r="F7" s="316"/>
      <c r="G7" s="315" t="s">
        <v>35</v>
      </c>
      <c r="H7" s="316"/>
      <c r="I7" s="315" t="s">
        <v>36</v>
      </c>
      <c r="J7" s="316"/>
      <c r="K7" s="86"/>
      <c r="L7" s="317" t="s">
        <v>39</v>
      </c>
      <c r="M7" s="318"/>
    </row>
    <row r="8" spans="3:13" ht="16" thickBot="1" x14ac:dyDescent="0.4">
      <c r="C8" s="370"/>
      <c r="D8" s="371"/>
      <c r="E8" s="159" t="s">
        <v>32</v>
      </c>
      <c r="F8" s="160" t="s">
        <v>33</v>
      </c>
      <c r="G8" s="159" t="s">
        <v>32</v>
      </c>
      <c r="H8" s="160" t="s">
        <v>33</v>
      </c>
      <c r="I8" s="159" t="s">
        <v>32</v>
      </c>
      <c r="J8" s="160" t="s">
        <v>33</v>
      </c>
      <c r="K8" s="161"/>
      <c r="L8" s="162" t="s">
        <v>32</v>
      </c>
      <c r="M8" s="163" t="s">
        <v>33</v>
      </c>
    </row>
    <row r="9" spans="3:13" x14ac:dyDescent="0.35">
      <c r="C9" s="297" t="s">
        <v>28</v>
      </c>
      <c r="D9" s="61" t="s">
        <v>29</v>
      </c>
      <c r="E9" s="155">
        <v>136</v>
      </c>
      <c r="F9" s="154">
        <f>E9*1.4</f>
        <v>190.39999999999998</v>
      </c>
      <c r="G9" s="155">
        <v>195</v>
      </c>
      <c r="H9" s="154">
        <f>G9*1.4</f>
        <v>273</v>
      </c>
      <c r="I9" s="155">
        <v>111</v>
      </c>
      <c r="J9" s="154">
        <f>I9*1.4</f>
        <v>155.39999999999998</v>
      </c>
      <c r="K9" s="156"/>
      <c r="L9" s="157">
        <f>E9+G9+I9</f>
        <v>442</v>
      </c>
      <c r="M9" s="158">
        <f>F9+H9+J9</f>
        <v>618.79999999999995</v>
      </c>
    </row>
    <row r="10" spans="3:13" x14ac:dyDescent="0.35">
      <c r="C10" s="298"/>
      <c r="D10" s="60" t="s">
        <v>92</v>
      </c>
      <c r="E10" s="67">
        <v>25</v>
      </c>
      <c r="F10" s="64">
        <f>25*0.23*30</f>
        <v>172.5</v>
      </c>
      <c r="G10" s="67">
        <f>2161/28</f>
        <v>77.178571428571431</v>
      </c>
      <c r="H10" s="64">
        <f>2161*0.23</f>
        <v>497.03000000000003</v>
      </c>
      <c r="I10" s="67">
        <f>720/30</f>
        <v>24</v>
      </c>
      <c r="J10" s="64">
        <f>720*0.23</f>
        <v>165.6</v>
      </c>
      <c r="K10" s="89"/>
      <c r="L10" s="95">
        <f>E10+G10+I10</f>
        <v>126.17857142857143</v>
      </c>
      <c r="M10" s="79">
        <f t="shared" ref="M10:M12" si="0">F10+H10+J10</f>
        <v>835.13</v>
      </c>
    </row>
    <row r="11" spans="3:13" x14ac:dyDescent="0.35">
      <c r="C11" s="298"/>
      <c r="D11" s="60" t="s">
        <v>30</v>
      </c>
      <c r="E11" s="67">
        <v>136</v>
      </c>
      <c r="F11" s="64">
        <f>E11*1.4</f>
        <v>190.39999999999998</v>
      </c>
      <c r="G11" s="67">
        <v>193</v>
      </c>
      <c r="H11" s="154">
        <f>G11*1.4</f>
        <v>270.2</v>
      </c>
      <c r="I11" s="67">
        <v>116</v>
      </c>
      <c r="J11" s="154">
        <f>I11*1.4</f>
        <v>162.39999999999998</v>
      </c>
      <c r="K11" s="89"/>
      <c r="L11" s="78">
        <f>E11+G11+I11</f>
        <v>445</v>
      </c>
      <c r="M11" s="79">
        <f t="shared" si="0"/>
        <v>623</v>
      </c>
    </row>
    <row r="12" spans="3:13" x14ac:dyDescent="0.35">
      <c r="C12" s="330" t="s">
        <v>93</v>
      </c>
      <c r="D12" s="331"/>
      <c r="E12" s="72">
        <v>14</v>
      </c>
      <c r="F12" s="65">
        <v>5734.75</v>
      </c>
      <c r="G12" s="72">
        <v>23</v>
      </c>
      <c r="H12" s="65">
        <v>19733.8</v>
      </c>
      <c r="I12" s="72">
        <v>12</v>
      </c>
      <c r="J12" s="65">
        <v>5082.24</v>
      </c>
      <c r="K12" s="90"/>
      <c r="L12" s="95">
        <f>E12+G12+I12</f>
        <v>49</v>
      </c>
      <c r="M12" s="79">
        <f t="shared" si="0"/>
        <v>30550.79</v>
      </c>
    </row>
    <row r="13" spans="3:13" ht="16" thickBot="1" x14ac:dyDescent="0.4">
      <c r="C13" s="332" t="s">
        <v>41</v>
      </c>
      <c r="D13" s="333"/>
      <c r="E13" s="302">
        <f>SUM(F9:F12)</f>
        <v>6288.05</v>
      </c>
      <c r="F13" s="303"/>
      <c r="G13" s="302">
        <f>SUM(H9:H12)</f>
        <v>20774.03</v>
      </c>
      <c r="H13" s="303"/>
      <c r="I13" s="302">
        <f>SUM(J9:J12)</f>
        <v>5565.6399999999994</v>
      </c>
      <c r="J13" s="303"/>
      <c r="K13" s="91"/>
      <c r="L13" s="320">
        <f>SUM(M9:M12)</f>
        <v>32627.72</v>
      </c>
      <c r="M13" s="321"/>
    </row>
    <row r="14" spans="3:13" ht="9.75" customHeight="1" x14ac:dyDescent="0.35"/>
    <row r="15" spans="3:13" x14ac:dyDescent="0.35">
      <c r="C15" s="286" t="s">
        <v>26</v>
      </c>
      <c r="D15" s="287"/>
      <c r="E15" s="326">
        <v>211835</v>
      </c>
      <c r="F15" s="327"/>
      <c r="G15" s="326">
        <v>165115</v>
      </c>
      <c r="H15" s="327"/>
      <c r="I15" s="326">
        <v>175007</v>
      </c>
      <c r="J15" s="327"/>
      <c r="K15" s="172"/>
      <c r="L15" s="363">
        <f>SUM(E15:J15)</f>
        <v>551957</v>
      </c>
      <c r="M15" s="363"/>
    </row>
    <row r="16" spans="3:13" x14ac:dyDescent="0.35">
      <c r="C16" s="292" t="s">
        <v>118</v>
      </c>
      <c r="D16" s="292"/>
      <c r="E16" s="62"/>
      <c r="F16" s="114">
        <f>E13/E15</f>
        <v>2.9683716099794654E-2</v>
      </c>
      <c r="G16" s="114"/>
      <c r="H16" s="114">
        <f>G13/G15</f>
        <v>0.12581552251461103</v>
      </c>
      <c r="I16" s="114"/>
      <c r="J16" s="114">
        <f>I13/I15</f>
        <v>3.1802385047455244E-2</v>
      </c>
      <c r="K16" s="114"/>
      <c r="L16" s="173"/>
      <c r="M16" s="28">
        <f>L13/L15</f>
        <v>5.9112793206717189E-2</v>
      </c>
    </row>
    <row r="17" spans="3:14" ht="6" customHeight="1" x14ac:dyDescent="0.35"/>
    <row r="18" spans="3:14" ht="16" thickBot="1" x14ac:dyDescent="0.4"/>
    <row r="19" spans="3:14" x14ac:dyDescent="0.35">
      <c r="C19" s="364">
        <v>2026</v>
      </c>
      <c r="D19" s="365"/>
      <c r="E19" s="278" t="s">
        <v>34</v>
      </c>
      <c r="F19" s="279"/>
      <c r="G19" s="278" t="s">
        <v>35</v>
      </c>
      <c r="H19" s="279"/>
      <c r="I19" s="278" t="s">
        <v>36</v>
      </c>
      <c r="J19" s="279"/>
      <c r="K19" s="92"/>
      <c r="L19" s="280" t="s">
        <v>38</v>
      </c>
      <c r="M19" s="281"/>
    </row>
    <row r="20" spans="3:14" ht="16" thickBot="1" x14ac:dyDescent="0.4">
      <c r="C20" s="366"/>
      <c r="D20" s="367"/>
      <c r="E20" s="166" t="s">
        <v>32</v>
      </c>
      <c r="F20" s="167" t="s">
        <v>33</v>
      </c>
      <c r="G20" s="166" t="s">
        <v>32</v>
      </c>
      <c r="H20" s="167" t="s">
        <v>33</v>
      </c>
      <c r="I20" s="166" t="s">
        <v>32</v>
      </c>
      <c r="J20" s="167" t="s">
        <v>33</v>
      </c>
      <c r="K20" s="168"/>
      <c r="L20" s="169" t="s">
        <v>32</v>
      </c>
      <c r="M20" s="170" t="s">
        <v>33</v>
      </c>
    </row>
    <row r="21" spans="3:14" x14ac:dyDescent="0.35">
      <c r="C21" s="297" t="s">
        <v>28</v>
      </c>
      <c r="D21" s="61" t="s">
        <v>29</v>
      </c>
      <c r="E21" s="155">
        <v>114</v>
      </c>
      <c r="F21" s="154">
        <v>159.6</v>
      </c>
      <c r="G21" s="155">
        <v>142</v>
      </c>
      <c r="H21" s="154">
        <v>159.6</v>
      </c>
      <c r="I21" s="155">
        <v>141</v>
      </c>
      <c r="J21" s="154">
        <v>159.6</v>
      </c>
      <c r="K21" s="156"/>
      <c r="L21" s="164">
        <f>E21+G21+I21</f>
        <v>397</v>
      </c>
      <c r="M21" s="165">
        <f>F21+H21+J21</f>
        <v>478.79999999999995</v>
      </c>
    </row>
    <row r="22" spans="3:14" x14ac:dyDescent="0.35">
      <c r="C22" s="298"/>
      <c r="D22" s="60" t="s">
        <v>92</v>
      </c>
      <c r="E22" s="67">
        <v>33</v>
      </c>
      <c r="F22" s="64">
        <f>E22*30*0.23</f>
        <v>227.70000000000002</v>
      </c>
      <c r="G22" s="67">
        <v>44</v>
      </c>
      <c r="H22" s="64">
        <f>G22*30*0.23</f>
        <v>303.60000000000002</v>
      </c>
      <c r="I22" s="67">
        <v>22</v>
      </c>
      <c r="J22" s="64">
        <f>I22*30*0.23</f>
        <v>151.80000000000001</v>
      </c>
      <c r="K22" s="89"/>
      <c r="L22" s="84">
        <f>E22+G22+I22</f>
        <v>99</v>
      </c>
      <c r="M22" s="85">
        <f t="shared" ref="M22:M24" si="1">F22+H22+J22</f>
        <v>683.10000000000014</v>
      </c>
      <c r="N22" s="119"/>
    </row>
    <row r="23" spans="3:14" x14ac:dyDescent="0.35">
      <c r="C23" s="298"/>
      <c r="D23" s="60" t="s">
        <v>30</v>
      </c>
      <c r="E23" s="67">
        <v>114</v>
      </c>
      <c r="F23" s="64">
        <v>159.6</v>
      </c>
      <c r="G23" s="67">
        <v>142</v>
      </c>
      <c r="H23" s="64">
        <v>159.6</v>
      </c>
      <c r="I23" s="67">
        <v>141</v>
      </c>
      <c r="J23" s="64">
        <v>159.6</v>
      </c>
      <c r="K23" s="89"/>
      <c r="L23" s="84">
        <f>E23+G23+I23</f>
        <v>397</v>
      </c>
      <c r="M23" s="85">
        <f t="shared" si="1"/>
        <v>478.79999999999995</v>
      </c>
    </row>
    <row r="24" spans="3:14" x14ac:dyDescent="0.35">
      <c r="C24" s="330" t="s">
        <v>93</v>
      </c>
      <c r="D24" s="331"/>
      <c r="E24" s="67">
        <v>12</v>
      </c>
      <c r="F24" s="64">
        <f>10648.77*0.5113</f>
        <v>5444.716101</v>
      </c>
      <c r="G24" s="67">
        <v>4</v>
      </c>
      <c r="H24" s="64">
        <f>8379.57*0.5113</f>
        <v>4284.4741409999997</v>
      </c>
      <c r="I24" s="67">
        <v>15</v>
      </c>
      <c r="J24" s="64">
        <f>15658.91*0.5113</f>
        <v>8006.4006829999998</v>
      </c>
      <c r="K24" s="89">
        <v>0</v>
      </c>
      <c r="L24" s="94">
        <f>E24+G24+I24</f>
        <v>31</v>
      </c>
      <c r="M24" s="85">
        <f t="shared" si="1"/>
        <v>17735.590925</v>
      </c>
    </row>
    <row r="25" spans="3:14" ht="16" thickBot="1" x14ac:dyDescent="0.4">
      <c r="C25" s="284" t="s">
        <v>41</v>
      </c>
      <c r="D25" s="285"/>
      <c r="E25" s="322">
        <f>SUM(F21:F24)</f>
        <v>5991.6161009999996</v>
      </c>
      <c r="F25" s="323"/>
      <c r="G25" s="322">
        <f>SUM(H21:H24)</f>
        <v>4907.2741409999999</v>
      </c>
      <c r="H25" s="323"/>
      <c r="I25" s="322">
        <f>SUM(J21:J24)</f>
        <v>8477.4006829999998</v>
      </c>
      <c r="J25" s="323"/>
      <c r="K25" s="91"/>
      <c r="L25" s="306">
        <f>SUM(M21:M24)</f>
        <v>19376.290925000001</v>
      </c>
      <c r="M25" s="307"/>
    </row>
    <row r="26" spans="3:14" ht="9.75" customHeight="1" x14ac:dyDescent="0.35"/>
    <row r="27" spans="3:14" x14ac:dyDescent="0.35">
      <c r="C27" s="286" t="s">
        <v>26</v>
      </c>
      <c r="D27" s="287"/>
      <c r="E27" s="361">
        <v>184075</v>
      </c>
      <c r="F27" s="362"/>
      <c r="G27" s="361">
        <v>138115</v>
      </c>
      <c r="H27" s="362"/>
      <c r="I27" s="361">
        <v>197059</v>
      </c>
      <c r="J27" s="362"/>
      <c r="K27" s="171"/>
      <c r="L27" s="363">
        <f>SUM(E27:J27)</f>
        <v>519249</v>
      </c>
      <c r="M27" s="363"/>
    </row>
    <row r="28" spans="3:14" x14ac:dyDescent="0.35">
      <c r="C28" s="292" t="s">
        <v>118</v>
      </c>
      <c r="D28" s="292"/>
      <c r="E28" s="62"/>
      <c r="F28" s="114">
        <f>E25/E27</f>
        <v>3.2549863376341165E-2</v>
      </c>
      <c r="G28" s="114"/>
      <c r="H28" s="114">
        <f>G25/G27</f>
        <v>3.5530348919378778E-2</v>
      </c>
      <c r="I28" s="114"/>
      <c r="J28" s="114">
        <f>I25/I27</f>
        <v>4.3019606731993967E-2</v>
      </c>
      <c r="K28" s="114"/>
      <c r="L28" s="173"/>
      <c r="M28" s="28">
        <f>L25/L27</f>
        <v>3.7315990834840322E-2</v>
      </c>
    </row>
    <row r="29" spans="3:14" x14ac:dyDescent="0.35">
      <c r="I29" s="23"/>
    </row>
    <row r="30" spans="3:14" x14ac:dyDescent="0.35">
      <c r="F30" s="120"/>
      <c r="G30" s="58"/>
      <c r="H30" s="121"/>
    </row>
    <row r="31" spans="3:14" x14ac:dyDescent="0.35">
      <c r="F31" s="101"/>
      <c r="H31" s="101"/>
    </row>
    <row r="32" spans="3:14" x14ac:dyDescent="0.35">
      <c r="F32" s="101"/>
    </row>
  </sheetData>
  <mergeCells count="37">
    <mergeCell ref="C4:M5"/>
    <mergeCell ref="C7:D8"/>
    <mergeCell ref="E7:F7"/>
    <mergeCell ref="G7:H7"/>
    <mergeCell ref="I7:J7"/>
    <mergeCell ref="L7:M7"/>
    <mergeCell ref="C9:C11"/>
    <mergeCell ref="C12:D12"/>
    <mergeCell ref="C13:D13"/>
    <mergeCell ref="E13:F13"/>
    <mergeCell ref="G13:H13"/>
    <mergeCell ref="L19:M19"/>
    <mergeCell ref="L13:M13"/>
    <mergeCell ref="C15:D15"/>
    <mergeCell ref="E15:F15"/>
    <mergeCell ref="G15:H15"/>
    <mergeCell ref="I15:J15"/>
    <mergeCell ref="L15:M15"/>
    <mergeCell ref="I13:J13"/>
    <mergeCell ref="C16:D16"/>
    <mergeCell ref="C19:D20"/>
    <mergeCell ref="E19:F19"/>
    <mergeCell ref="G19:H19"/>
    <mergeCell ref="I19:J19"/>
    <mergeCell ref="C21:C23"/>
    <mergeCell ref="C24:D24"/>
    <mergeCell ref="C25:D25"/>
    <mergeCell ref="E25:F25"/>
    <mergeCell ref="G25:H25"/>
    <mergeCell ref="C28:D28"/>
    <mergeCell ref="L25:M25"/>
    <mergeCell ref="C27:D27"/>
    <mergeCell ref="E27:F27"/>
    <mergeCell ref="G27:H27"/>
    <mergeCell ref="I27:J27"/>
    <mergeCell ref="L27:M27"/>
    <mergeCell ref="I25:J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4D71-8A32-4BC9-BB3D-834412D05388}">
  <dimension ref="C4:O30"/>
  <sheetViews>
    <sheetView showGridLines="0" zoomScale="110" zoomScaleNormal="110" workbookViewId="0">
      <selection activeCell="C35" sqref="C35"/>
    </sheetView>
  </sheetViews>
  <sheetFormatPr defaultRowHeight="15.5" x14ac:dyDescent="0.35"/>
  <cols>
    <col min="1" max="1" width="6.453125" customWidth="1"/>
    <col min="3" max="3" width="14.1796875" bestFit="1" customWidth="1"/>
    <col min="4" max="4" width="13.81640625" bestFit="1" customWidth="1"/>
    <col min="5" max="5" width="8.7265625" bestFit="1" customWidth="1"/>
    <col min="6" max="6" width="12.7265625" style="62" customWidth="1"/>
    <col min="7" max="7" width="8.7265625" bestFit="1" customWidth="1"/>
    <col min="8" max="8" width="12.81640625" style="62" customWidth="1"/>
    <col min="9" max="9" width="10.54296875" bestFit="1" customWidth="1"/>
    <col min="10" max="12" width="14" style="62" customWidth="1"/>
    <col min="13" max="13" width="14" style="73" customWidth="1"/>
    <col min="14" max="14" width="11.54296875" style="73" bestFit="1" customWidth="1"/>
    <col min="15" max="15" width="10.453125" bestFit="1" customWidth="1"/>
  </cols>
  <sheetData>
    <row r="4" spans="3:15" ht="14.5" x14ac:dyDescent="0.35">
      <c r="C4" s="310" t="s">
        <v>43</v>
      </c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</row>
    <row r="5" spans="3:15" ht="14.5" x14ac:dyDescent="0.35"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</row>
    <row r="6" spans="3:15" ht="9" customHeight="1" thickBot="1" x14ac:dyDescent="0.4"/>
    <row r="7" spans="3:15" x14ac:dyDescent="0.35">
      <c r="C7" s="311">
        <v>2025</v>
      </c>
      <c r="D7" s="312"/>
      <c r="E7" s="315" t="s">
        <v>34</v>
      </c>
      <c r="F7" s="316"/>
      <c r="G7" s="315" t="s">
        <v>35</v>
      </c>
      <c r="H7" s="316"/>
      <c r="I7" s="315" t="s">
        <v>36</v>
      </c>
      <c r="J7" s="316"/>
      <c r="K7" s="317" t="s">
        <v>39</v>
      </c>
      <c r="L7" s="318"/>
      <c r="M7" s="372" t="s">
        <v>49</v>
      </c>
      <c r="N7" s="373"/>
    </row>
    <row r="8" spans="3:15" ht="16" thickBot="1" x14ac:dyDescent="0.4">
      <c r="C8" s="313"/>
      <c r="D8" s="314"/>
      <c r="E8" s="68" t="s">
        <v>32</v>
      </c>
      <c r="F8" s="69" t="s">
        <v>33</v>
      </c>
      <c r="G8" s="68" t="s">
        <v>32</v>
      </c>
      <c r="H8" s="69" t="s">
        <v>33</v>
      </c>
      <c r="I8" s="68" t="s">
        <v>32</v>
      </c>
      <c r="J8" s="69" t="s">
        <v>33</v>
      </c>
      <c r="K8" s="74" t="s">
        <v>32</v>
      </c>
      <c r="L8" s="75" t="s">
        <v>33</v>
      </c>
      <c r="M8" s="243" t="s">
        <v>32</v>
      </c>
      <c r="N8" s="244" t="s">
        <v>33</v>
      </c>
    </row>
    <row r="9" spans="3:15" x14ac:dyDescent="0.35">
      <c r="C9" s="297" t="s">
        <v>28</v>
      </c>
      <c r="D9" s="61" t="s">
        <v>29</v>
      </c>
      <c r="E9" s="66">
        <v>32866</v>
      </c>
      <c r="F9" s="63">
        <v>10988.46</v>
      </c>
      <c r="G9" s="66">
        <v>16210</v>
      </c>
      <c r="H9" s="63">
        <v>5025.1000000000004</v>
      </c>
      <c r="I9" s="66">
        <v>10213</v>
      </c>
      <c r="J9" s="63">
        <v>3166.03</v>
      </c>
      <c r="K9" s="76">
        <f>E9+G9+I9+M9</f>
        <v>69084</v>
      </c>
      <c r="L9" s="77">
        <f>F9+H9+J9</f>
        <v>19179.59</v>
      </c>
      <c r="M9" s="66">
        <v>9795</v>
      </c>
      <c r="N9" s="63">
        <v>3036.45</v>
      </c>
      <c r="O9" s="195"/>
    </row>
    <row r="10" spans="3:15" x14ac:dyDescent="0.35">
      <c r="C10" s="298"/>
      <c r="D10" s="60" t="s">
        <v>37</v>
      </c>
      <c r="E10" s="67">
        <v>26676</v>
      </c>
      <c r="F10" s="64">
        <v>18193.34</v>
      </c>
      <c r="G10" s="67">
        <v>41579</v>
      </c>
      <c r="H10" s="64">
        <v>25612.53</v>
      </c>
      <c r="I10" s="67">
        <v>42256</v>
      </c>
      <c r="J10" s="64">
        <v>28818.83</v>
      </c>
      <c r="K10" s="78">
        <f>(E10+G10+I10+M10)/4</f>
        <v>36596.25</v>
      </c>
      <c r="L10" s="79">
        <f>F10+H10+J10</f>
        <v>72624.7</v>
      </c>
      <c r="M10" s="67">
        <v>35874</v>
      </c>
      <c r="N10" s="64">
        <v>23676.972000000009</v>
      </c>
      <c r="O10" s="195"/>
    </row>
    <row r="11" spans="3:15" x14ac:dyDescent="0.35">
      <c r="C11" s="298"/>
      <c r="D11" s="60" t="s">
        <v>30</v>
      </c>
      <c r="E11" s="67">
        <v>18972</v>
      </c>
      <c r="F11" s="64">
        <v>4373.84</v>
      </c>
      <c r="G11" s="67">
        <v>11238</v>
      </c>
      <c r="H11" s="64">
        <v>2472.36</v>
      </c>
      <c r="I11" s="67">
        <v>16944</v>
      </c>
      <c r="J11" s="64">
        <v>3727.68</v>
      </c>
      <c r="K11" s="78">
        <f>E11+G11+I11+M11</f>
        <v>56454</v>
      </c>
      <c r="L11" s="79">
        <f>F11+H11+J11</f>
        <v>10573.880000000001</v>
      </c>
      <c r="M11" s="67">
        <v>9300</v>
      </c>
      <c r="N11" s="64">
        <v>2046</v>
      </c>
      <c r="O11" s="195"/>
    </row>
    <row r="12" spans="3:15" x14ac:dyDescent="0.35">
      <c r="C12" s="330" t="s">
        <v>40</v>
      </c>
      <c r="D12" s="331"/>
      <c r="E12" s="72">
        <v>838</v>
      </c>
      <c r="F12" s="65">
        <v>20220</v>
      </c>
      <c r="G12" s="72">
        <v>397</v>
      </c>
      <c r="H12" s="65">
        <v>12420</v>
      </c>
      <c r="I12" s="72">
        <v>595</v>
      </c>
      <c r="J12" s="65">
        <v>14985</v>
      </c>
      <c r="K12" s="95">
        <f>E12+G12+I12+M12</f>
        <v>2178</v>
      </c>
      <c r="L12" s="79">
        <f>F12+H12+J12</f>
        <v>47625</v>
      </c>
      <c r="M12" s="72">
        <v>348</v>
      </c>
      <c r="N12" s="65">
        <v>8750</v>
      </c>
      <c r="O12" s="195"/>
    </row>
    <row r="13" spans="3:15" ht="16" thickBot="1" x14ac:dyDescent="0.4">
      <c r="C13" s="332" t="s">
        <v>31</v>
      </c>
      <c r="D13" s="333"/>
      <c r="E13" s="302">
        <f>SUM(F9:F12)</f>
        <v>53775.64</v>
      </c>
      <c r="F13" s="303"/>
      <c r="G13" s="302">
        <f>SUM(H9:H12)</f>
        <v>45529.99</v>
      </c>
      <c r="H13" s="303"/>
      <c r="I13" s="302">
        <f>SUM(J9:J12)</f>
        <v>50697.54</v>
      </c>
      <c r="J13" s="303"/>
      <c r="K13" s="320">
        <f>SUM(L9:L12)</f>
        <v>150003.16999999998</v>
      </c>
      <c r="L13" s="321"/>
      <c r="M13" s="302">
        <f>SUM(N9:N12)</f>
        <v>37509.422000000006</v>
      </c>
      <c r="N13" s="303"/>
      <c r="O13" s="195"/>
    </row>
    <row r="14" spans="3:15" ht="9.75" customHeight="1" x14ac:dyDescent="0.35">
      <c r="K14" s="73"/>
      <c r="L14" s="73"/>
      <c r="M14" s="62"/>
      <c r="N14" s="62"/>
    </row>
    <row r="15" spans="3:15" x14ac:dyDescent="0.35">
      <c r="C15" s="286" t="s">
        <v>26</v>
      </c>
      <c r="D15" s="287"/>
      <c r="E15" s="326">
        <v>619667</v>
      </c>
      <c r="F15" s="327"/>
      <c r="G15" s="326">
        <v>503173</v>
      </c>
      <c r="H15" s="327"/>
      <c r="I15" s="326">
        <v>525840</v>
      </c>
      <c r="J15" s="327"/>
      <c r="K15" s="328">
        <f>SUM(E15:J15)</f>
        <v>1648680</v>
      </c>
      <c r="L15" s="329"/>
      <c r="M15" s="326">
        <v>569516</v>
      </c>
      <c r="N15" s="327"/>
    </row>
    <row r="16" spans="3:15" x14ac:dyDescent="0.35">
      <c r="C16" s="292" t="s">
        <v>118</v>
      </c>
      <c r="D16" s="292"/>
      <c r="E16" s="62"/>
      <c r="F16" s="99">
        <f>E13/E15</f>
        <v>8.6781513296657717E-2</v>
      </c>
      <c r="G16" s="99"/>
      <c r="H16" s="99">
        <f>G13/G15</f>
        <v>9.0485757383643395E-2</v>
      </c>
      <c r="I16" s="99"/>
      <c r="J16" s="99">
        <f>I13/I15</f>
        <v>9.6412482884527612E-2</v>
      </c>
      <c r="K16" s="97"/>
      <c r="L16" s="99">
        <f>K13/K15</f>
        <v>9.0983799160540543E-2</v>
      </c>
      <c r="M16" s="99"/>
      <c r="N16" s="99">
        <f>M13/M15</f>
        <v>6.5861928374268686E-2</v>
      </c>
    </row>
    <row r="17" spans="3:15" ht="8.25" customHeight="1" x14ac:dyDescent="0.35"/>
    <row r="18" spans="3:15" ht="16" thickBot="1" x14ac:dyDescent="0.4"/>
    <row r="19" spans="3:15" x14ac:dyDescent="0.35">
      <c r="C19" s="293">
        <v>2026</v>
      </c>
      <c r="D19" s="294"/>
      <c r="E19" s="278" t="s">
        <v>34</v>
      </c>
      <c r="F19" s="279"/>
      <c r="G19" s="278" t="s">
        <v>35</v>
      </c>
      <c r="H19" s="279"/>
      <c r="I19" s="278" t="s">
        <v>36</v>
      </c>
      <c r="J19" s="279"/>
      <c r="K19" s="280" t="s">
        <v>38</v>
      </c>
      <c r="L19" s="281"/>
      <c r="M19" s="372" t="s">
        <v>49</v>
      </c>
      <c r="N19" s="373"/>
    </row>
    <row r="20" spans="3:15" ht="16" thickBot="1" x14ac:dyDescent="0.4">
      <c r="C20" s="295"/>
      <c r="D20" s="296"/>
      <c r="E20" s="70" t="s">
        <v>32</v>
      </c>
      <c r="F20" s="71" t="s">
        <v>33</v>
      </c>
      <c r="G20" s="70" t="s">
        <v>32</v>
      </c>
      <c r="H20" s="71" t="s">
        <v>33</v>
      </c>
      <c r="I20" s="70" t="s">
        <v>32</v>
      </c>
      <c r="J20" s="71" t="s">
        <v>33</v>
      </c>
      <c r="K20" s="80" t="s">
        <v>32</v>
      </c>
      <c r="L20" s="81" t="s">
        <v>33</v>
      </c>
      <c r="M20" s="243" t="s">
        <v>32</v>
      </c>
      <c r="N20" s="244" t="s">
        <v>33</v>
      </c>
    </row>
    <row r="21" spans="3:15" x14ac:dyDescent="0.35">
      <c r="C21" s="297" t="s">
        <v>28</v>
      </c>
      <c r="D21" s="61" t="s">
        <v>29</v>
      </c>
      <c r="E21" s="66">
        <v>7756</v>
      </c>
      <c r="F21" s="63">
        <v>2404.36</v>
      </c>
      <c r="G21" s="66">
        <v>12</v>
      </c>
      <c r="H21" s="63">
        <v>3.72</v>
      </c>
      <c r="I21" s="66">
        <v>10772</v>
      </c>
      <c r="J21" s="63">
        <v>3383.87</v>
      </c>
      <c r="K21" s="82">
        <f>E21+G21+I21+M21</f>
        <v>29491</v>
      </c>
      <c r="L21" s="83">
        <f>F21+H21+J21</f>
        <v>5791.95</v>
      </c>
      <c r="M21" s="66">
        <v>10951</v>
      </c>
      <c r="N21" s="63">
        <v>3394.81</v>
      </c>
      <c r="O21" s="196"/>
    </row>
    <row r="22" spans="3:15" x14ac:dyDescent="0.35">
      <c r="C22" s="298"/>
      <c r="D22" s="60" t="s">
        <v>37</v>
      </c>
      <c r="E22" s="67">
        <v>38256</v>
      </c>
      <c r="F22" s="64">
        <v>26090.283999999996</v>
      </c>
      <c r="G22" s="67">
        <v>33902</v>
      </c>
      <c r="H22" s="64">
        <v>20883.919999999998</v>
      </c>
      <c r="I22" s="67">
        <v>25373</v>
      </c>
      <c r="J22" s="64">
        <v>17304.78</v>
      </c>
      <c r="K22" s="84">
        <f>(E22+G22+I22+M22)/4</f>
        <v>29675.25</v>
      </c>
      <c r="L22" s="85">
        <f>F22+H22+J22</f>
        <v>64278.983999999997</v>
      </c>
      <c r="M22" s="67">
        <v>21170</v>
      </c>
      <c r="N22" s="64">
        <v>13972.244000000001</v>
      </c>
      <c r="O22" s="196"/>
    </row>
    <row r="23" spans="3:15" x14ac:dyDescent="0.35">
      <c r="C23" s="298"/>
      <c r="D23" s="60" t="s">
        <v>30</v>
      </c>
      <c r="E23" s="67">
        <v>5582</v>
      </c>
      <c r="F23" s="64">
        <v>1228.04</v>
      </c>
      <c r="G23" s="67">
        <v>11979</v>
      </c>
      <c r="H23" s="64">
        <v>2635.38</v>
      </c>
      <c r="I23" s="67">
        <v>12888</v>
      </c>
      <c r="J23" s="64">
        <v>2879.91</v>
      </c>
      <c r="K23" s="84">
        <f>E23+G23+I23+M23</f>
        <v>47201</v>
      </c>
      <c r="L23" s="85">
        <f>F23+H23+J23</f>
        <v>6743.33</v>
      </c>
      <c r="M23" s="67">
        <v>16752</v>
      </c>
      <c r="N23" s="64">
        <v>3685.44</v>
      </c>
      <c r="O23" s="196"/>
    </row>
    <row r="24" spans="3:15" x14ac:dyDescent="0.35">
      <c r="C24" s="330" t="s">
        <v>40</v>
      </c>
      <c r="D24" s="331"/>
      <c r="E24" s="67">
        <v>313</v>
      </c>
      <c r="F24" s="64">
        <v>5800</v>
      </c>
      <c r="G24" s="67">
        <v>501</v>
      </c>
      <c r="H24" s="64">
        <v>12765</v>
      </c>
      <c r="I24" s="67">
        <v>722</v>
      </c>
      <c r="J24" s="64">
        <v>18670</v>
      </c>
      <c r="K24" s="94">
        <f>E24+G24+I24+M24</f>
        <v>2252</v>
      </c>
      <c r="L24" s="85">
        <f>F24+H24+J24</f>
        <v>37235</v>
      </c>
      <c r="M24" s="67">
        <v>716</v>
      </c>
      <c r="N24" s="64">
        <v>17090</v>
      </c>
      <c r="O24" s="196"/>
    </row>
    <row r="25" spans="3:15" ht="16" thickBot="1" x14ac:dyDescent="0.4">
      <c r="C25" s="284" t="s">
        <v>41</v>
      </c>
      <c r="D25" s="285"/>
      <c r="E25" s="322">
        <f>SUM(F21:F24)</f>
        <v>35522.683999999994</v>
      </c>
      <c r="F25" s="323"/>
      <c r="G25" s="322">
        <f>SUM(H21:H24)</f>
        <v>36288.020000000004</v>
      </c>
      <c r="H25" s="323"/>
      <c r="I25" s="322">
        <f>SUM(J21:J24)</f>
        <v>42238.559999999998</v>
      </c>
      <c r="J25" s="323"/>
      <c r="K25" s="306">
        <f>SUM(L21:L24)</f>
        <v>114049.264</v>
      </c>
      <c r="L25" s="307"/>
      <c r="M25" s="322">
        <f>SUM(N21:N24)</f>
        <v>38142.493999999999</v>
      </c>
      <c r="N25" s="323"/>
      <c r="O25" s="195"/>
    </row>
    <row r="26" spans="3:15" ht="9.75" customHeight="1" x14ac:dyDescent="0.35">
      <c r="K26" s="73"/>
      <c r="L26" s="73"/>
      <c r="M26" s="62"/>
      <c r="N26" s="62"/>
    </row>
    <row r="27" spans="3:15" x14ac:dyDescent="0.35">
      <c r="C27" s="286" t="s">
        <v>26</v>
      </c>
      <c r="D27" s="287"/>
      <c r="E27" s="324">
        <v>848681</v>
      </c>
      <c r="F27" s="325"/>
      <c r="G27" s="324">
        <v>519678</v>
      </c>
      <c r="H27" s="325"/>
      <c r="I27" s="324">
        <v>682777</v>
      </c>
      <c r="J27" s="325"/>
      <c r="K27" s="328">
        <f>SUM(E27:J27)</f>
        <v>2051136</v>
      </c>
      <c r="L27" s="329"/>
      <c r="M27" s="326">
        <v>612037.61</v>
      </c>
      <c r="N27" s="327"/>
    </row>
    <row r="28" spans="3:15" x14ac:dyDescent="0.35">
      <c r="C28" s="292" t="s">
        <v>118</v>
      </c>
      <c r="D28" s="292"/>
      <c r="E28" s="62"/>
      <c r="F28" s="96">
        <f>E25/E27</f>
        <v>4.1856344138728206E-2</v>
      </c>
      <c r="G28" s="96"/>
      <c r="H28" s="96">
        <f>G25/G27</f>
        <v>6.9827893426314E-2</v>
      </c>
      <c r="I28" s="96"/>
      <c r="J28" s="96">
        <f>I25/I27</f>
        <v>6.1862892276687703E-2</v>
      </c>
      <c r="K28" s="97"/>
      <c r="L28" s="99">
        <f>K25/K27</f>
        <v>5.5602975131829387E-2</v>
      </c>
      <c r="M28" s="96"/>
      <c r="N28" s="99">
        <f>M25/M27</f>
        <v>6.2320506741407607E-2</v>
      </c>
    </row>
    <row r="30" spans="3:15" x14ac:dyDescent="0.35">
      <c r="F30" s="120"/>
      <c r="G30" s="58"/>
      <c r="H30" s="121"/>
    </row>
  </sheetData>
  <mergeCells count="43">
    <mergeCell ref="K13:L13"/>
    <mergeCell ref="C27:D27"/>
    <mergeCell ref="E27:F27"/>
    <mergeCell ref="G27:H27"/>
    <mergeCell ref="I27:J27"/>
    <mergeCell ref="K27:L27"/>
    <mergeCell ref="C16:D16"/>
    <mergeCell ref="C21:C23"/>
    <mergeCell ref="C24:D24"/>
    <mergeCell ref="C25:D25"/>
    <mergeCell ref="K25:L25"/>
    <mergeCell ref="M27:N27"/>
    <mergeCell ref="K7:L7"/>
    <mergeCell ref="K19:L19"/>
    <mergeCell ref="C4:N5"/>
    <mergeCell ref="C15:D15"/>
    <mergeCell ref="E15:F15"/>
    <mergeCell ref="G15:H15"/>
    <mergeCell ref="I15:J15"/>
    <mergeCell ref="K15:L15"/>
    <mergeCell ref="E13:F13"/>
    <mergeCell ref="G13:H13"/>
    <mergeCell ref="E19:F19"/>
    <mergeCell ref="G19:H19"/>
    <mergeCell ref="I19:J19"/>
    <mergeCell ref="C19:D20"/>
    <mergeCell ref="C9:C11"/>
    <mergeCell ref="E7:F7"/>
    <mergeCell ref="C28:D28"/>
    <mergeCell ref="I25:J25"/>
    <mergeCell ref="G25:H25"/>
    <mergeCell ref="E25:F25"/>
    <mergeCell ref="G7:H7"/>
    <mergeCell ref="I7:J7"/>
    <mergeCell ref="C12:D12"/>
    <mergeCell ref="C13:D13"/>
    <mergeCell ref="C7:D8"/>
    <mergeCell ref="I13:J13"/>
    <mergeCell ref="M7:N7"/>
    <mergeCell ref="M19:N19"/>
    <mergeCell ref="M25:N25"/>
    <mergeCell ref="M13:N13"/>
    <mergeCell ref="M15:N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FE65-7CA8-48BC-8DF7-CC435D76F462}">
  <sheetPr>
    <tabColor rgb="FF00B050"/>
  </sheetPr>
  <dimension ref="C1:L33"/>
  <sheetViews>
    <sheetView showGridLines="0" zoomScale="140" zoomScaleNormal="140" workbookViewId="0">
      <selection activeCell="D9" sqref="D9"/>
    </sheetView>
  </sheetViews>
  <sheetFormatPr defaultRowHeight="14.5" x14ac:dyDescent="0.35"/>
  <cols>
    <col min="1" max="1" width="0.453125" customWidth="1"/>
    <col min="2" max="2" width="1.54296875" customWidth="1"/>
    <col min="3" max="3" width="47" customWidth="1"/>
    <col min="4" max="10" width="15.1796875" customWidth="1"/>
    <col min="11" max="11" width="22.1796875" bestFit="1" customWidth="1"/>
    <col min="12" max="12" width="10.54296875" bestFit="1" customWidth="1"/>
  </cols>
  <sheetData>
    <row r="1" spans="3:12" ht="37.5" customHeight="1" x14ac:dyDescent="0.35"/>
    <row r="3" spans="3:12" s="49" customFormat="1" ht="21.75" customHeight="1" thickBot="1" x14ac:dyDescent="0.4">
      <c r="C3" s="59" t="s">
        <v>27</v>
      </c>
      <c r="D3" s="152" t="s">
        <v>6</v>
      </c>
      <c r="E3" s="153" t="s">
        <v>7</v>
      </c>
      <c r="F3" s="174" t="s">
        <v>8</v>
      </c>
      <c r="G3" s="152" t="s">
        <v>24</v>
      </c>
      <c r="H3" s="153" t="s">
        <v>20</v>
      </c>
      <c r="I3" s="153" t="s">
        <v>5</v>
      </c>
      <c r="J3" s="153" t="s">
        <v>126</v>
      </c>
      <c r="K3" s="153" t="s">
        <v>127</v>
      </c>
    </row>
    <row r="4" spans="3:12" s="49" customFormat="1" ht="24" customHeight="1" x14ac:dyDescent="0.35">
      <c r="C4" s="54" t="s">
        <v>28</v>
      </c>
      <c r="D4" s="176">
        <f t="shared" ref="D4:K4" si="0">D6-D5</f>
        <v>300</v>
      </c>
      <c r="E4" s="177">
        <f t="shared" si="0"/>
        <v>2340</v>
      </c>
      <c r="F4" s="178">
        <f t="shared" si="0"/>
        <v>17178.980000000003</v>
      </c>
      <c r="G4" s="176">
        <f t="shared" si="0"/>
        <v>3990</v>
      </c>
      <c r="H4" s="177">
        <f t="shared" si="0"/>
        <v>91392.102153</v>
      </c>
      <c r="I4" s="178">
        <f t="shared" si="0"/>
        <v>9782.6566480000038</v>
      </c>
      <c r="J4" s="177">
        <f t="shared" si="0"/>
        <v>76814.263999999996</v>
      </c>
      <c r="K4" s="178">
        <f t="shared" si="0"/>
        <v>1640.7000000000007</v>
      </c>
    </row>
    <row r="5" spans="3:12" s="49" customFormat="1" ht="24" customHeight="1" x14ac:dyDescent="0.35">
      <c r="C5" s="55" t="s">
        <v>128</v>
      </c>
      <c r="D5" s="179">
        <f>Macedonia!M24</f>
        <v>1080</v>
      </c>
      <c r="E5" s="180">
        <f>Kosovo!M35</f>
        <v>11685</v>
      </c>
      <c r="F5" s="181">
        <f>Belgium!M24</f>
        <v>11373.07</v>
      </c>
      <c r="G5" s="179">
        <f>Netherland!M25</f>
        <v>5130.1900000000005</v>
      </c>
      <c r="H5" s="180">
        <f>Kazakhstan!M26</f>
        <v>77129.150647599992</v>
      </c>
      <c r="I5" s="181">
        <f>Georgia!M24</f>
        <v>31451.209799999997</v>
      </c>
      <c r="J5" s="180">
        <f>Serbia!L24</f>
        <v>37235</v>
      </c>
      <c r="K5" s="181">
        <f>Bosnia!M24</f>
        <v>17735.590925</v>
      </c>
    </row>
    <row r="6" spans="3:12" s="49" customFormat="1" ht="19.5" customHeight="1" x14ac:dyDescent="0.35">
      <c r="C6" s="56" t="s">
        <v>41</v>
      </c>
      <c r="D6" s="182">
        <f>Macedonia!L25</f>
        <v>1380</v>
      </c>
      <c r="E6" s="183">
        <f>Kosovo!L36</f>
        <v>14025</v>
      </c>
      <c r="F6" s="184">
        <f>Belgium!L25</f>
        <v>28552.050000000003</v>
      </c>
      <c r="G6" s="182">
        <f>Netherland!L26</f>
        <v>9120.19</v>
      </c>
      <c r="H6" s="183">
        <f>Kazakhstan!L27</f>
        <v>168521.25280059999</v>
      </c>
      <c r="I6" s="184">
        <f>Georgia!L25</f>
        <v>41233.866448000001</v>
      </c>
      <c r="J6" s="183">
        <f>Serbia!K25</f>
        <v>114049.264</v>
      </c>
      <c r="K6" s="184">
        <f>Bosnia!L25</f>
        <v>19376.290925000001</v>
      </c>
    </row>
    <row r="7" spans="3:12" s="49" customFormat="1" ht="19.5" customHeight="1" x14ac:dyDescent="0.35">
      <c r="C7" s="57" t="s">
        <v>42</v>
      </c>
      <c r="D7" s="179">
        <f>Macedonia!L27</f>
        <v>137733</v>
      </c>
      <c r="E7" s="180">
        <f>Kosovo!L38</f>
        <v>559020</v>
      </c>
      <c r="F7" s="181">
        <f>Belgium!L27</f>
        <v>430579</v>
      </c>
      <c r="G7" s="179">
        <f>Netherland!L28</f>
        <v>238414</v>
      </c>
      <c r="H7" s="180">
        <f>Kazakhstan!L29</f>
        <v>1753538</v>
      </c>
      <c r="I7" s="181">
        <f>Georgia!L27</f>
        <v>982613</v>
      </c>
      <c r="J7" s="180">
        <f>Serbia!K27</f>
        <v>2051136</v>
      </c>
      <c r="K7" s="181">
        <f>Bosnia!L27</f>
        <v>519249</v>
      </c>
    </row>
    <row r="8" spans="3:12" s="49" customFormat="1" ht="4.5" customHeight="1" x14ac:dyDescent="0.35">
      <c r="C8" s="57"/>
      <c r="D8" s="179"/>
      <c r="E8" s="52"/>
      <c r="F8" s="53"/>
      <c r="G8" s="51"/>
      <c r="H8" s="52"/>
      <c r="I8" s="53"/>
      <c r="J8" s="52"/>
      <c r="K8" s="53"/>
    </row>
    <row r="9" spans="3:12" ht="18.5" x14ac:dyDescent="0.45">
      <c r="C9" s="208" t="s">
        <v>129</v>
      </c>
      <c r="D9" s="204">
        <f t="shared" ref="D9:K9" si="1">D6/D7</f>
        <v>1.0019385332491124E-2</v>
      </c>
      <c r="E9" s="205">
        <f t="shared" si="1"/>
        <v>2.5088547815820542E-2</v>
      </c>
      <c r="F9" s="206">
        <f t="shared" si="1"/>
        <v>6.6310827978141071E-2</v>
      </c>
      <c r="G9" s="207">
        <f t="shared" si="1"/>
        <v>3.8253584101604773E-2</v>
      </c>
      <c r="H9" s="205">
        <f t="shared" si="1"/>
        <v>9.6103564793349208E-2</v>
      </c>
      <c r="I9" s="206">
        <f t="shared" si="1"/>
        <v>4.1963485571633999E-2</v>
      </c>
      <c r="J9" s="205">
        <f t="shared" si="1"/>
        <v>5.5602975131829387E-2</v>
      </c>
      <c r="K9" s="206">
        <f t="shared" si="1"/>
        <v>3.7315990834840322E-2</v>
      </c>
    </row>
    <row r="10" spans="3:12" ht="2.25" customHeight="1" x14ac:dyDescent="0.35">
      <c r="C10" s="198"/>
      <c r="D10" s="199"/>
      <c r="E10" s="200"/>
      <c r="F10" s="201"/>
      <c r="G10" s="202"/>
      <c r="H10" s="203"/>
      <c r="I10" s="201"/>
      <c r="J10" s="200"/>
      <c r="K10" s="201"/>
    </row>
    <row r="11" spans="3:12" ht="15.5" x14ac:dyDescent="0.35">
      <c r="C11" s="197" t="s">
        <v>130</v>
      </c>
      <c r="D11" s="192">
        <f>Macedonia!M16</f>
        <v>4.423133629918332E-2</v>
      </c>
      <c r="E11" s="191">
        <f>Kosovo!M16</f>
        <v>5.9032059186189888E-2</v>
      </c>
      <c r="F11" s="193">
        <f>Belgium!M16</f>
        <v>0.1046099053926869</v>
      </c>
      <c r="G11" s="194">
        <f>Netherland!M17</f>
        <v>6.9776031576469735E-2</v>
      </c>
      <c r="H11" s="191">
        <f>Kazakhstan!M17</f>
        <v>8.2161342901152803E-2</v>
      </c>
      <c r="I11" s="193">
        <f>Georgia!M16</f>
        <v>5.5780219989686602E-2</v>
      </c>
      <c r="J11" s="191">
        <f>Serbia!L16</f>
        <v>9.0983799160540543E-2</v>
      </c>
      <c r="K11" s="193">
        <f>Bosnia!M16</f>
        <v>5.9112793206717189E-2</v>
      </c>
    </row>
    <row r="12" spans="3:12" x14ac:dyDescent="0.35">
      <c r="H12" s="24"/>
      <c r="J12" s="16"/>
    </row>
    <row r="13" spans="3:12" x14ac:dyDescent="0.35">
      <c r="D13" s="101"/>
      <c r="E13" s="101"/>
      <c r="F13" s="101"/>
      <c r="G13" s="101"/>
      <c r="H13" s="101"/>
      <c r="I13" s="102"/>
      <c r="J13" s="103"/>
      <c r="K13" s="101"/>
    </row>
    <row r="14" spans="3:12" x14ac:dyDescent="0.35">
      <c r="D14" s="101"/>
      <c r="E14" s="101"/>
      <c r="F14" s="101"/>
      <c r="G14" s="101"/>
      <c r="H14" s="101"/>
      <c r="I14" s="104"/>
      <c r="J14" s="105"/>
      <c r="K14" s="105"/>
      <c r="L14" s="50"/>
    </row>
    <row r="15" spans="3:12" x14ac:dyDescent="0.35">
      <c r="D15" s="101"/>
      <c r="E15" s="101"/>
      <c r="F15" s="101"/>
      <c r="G15" s="101"/>
      <c r="H15" s="101"/>
      <c r="I15" s="105"/>
      <c r="J15" s="105"/>
      <c r="K15" s="105"/>
      <c r="L15" s="50"/>
    </row>
    <row r="16" spans="3:12" x14ac:dyDescent="0.35">
      <c r="D16" s="101"/>
      <c r="E16" s="101"/>
      <c r="F16" s="101"/>
      <c r="G16" s="101"/>
      <c r="H16" s="101"/>
      <c r="I16" s="101"/>
      <c r="J16" s="101"/>
      <c r="K16" s="101"/>
    </row>
    <row r="17" spans="4:11" x14ac:dyDescent="0.35">
      <c r="D17" s="101"/>
      <c r="E17" s="101"/>
      <c r="F17" s="101"/>
      <c r="G17" s="101"/>
      <c r="H17" s="101"/>
      <c r="I17" s="101"/>
      <c r="J17" s="101"/>
      <c r="K17" s="101"/>
    </row>
    <row r="18" spans="4:11" x14ac:dyDescent="0.35">
      <c r="D18" s="101"/>
      <c r="E18" s="101"/>
      <c r="F18" s="101"/>
      <c r="G18" s="101"/>
      <c r="H18" s="101"/>
      <c r="I18" s="101"/>
      <c r="J18" s="101"/>
      <c r="K18" s="101"/>
    </row>
    <row r="19" spans="4:11" x14ac:dyDescent="0.35">
      <c r="D19" s="101"/>
      <c r="E19" s="101"/>
      <c r="F19" s="101"/>
      <c r="G19" s="101"/>
      <c r="H19" s="101"/>
      <c r="I19" s="101"/>
      <c r="J19" s="101"/>
      <c r="K19" s="101"/>
    </row>
    <row r="20" spans="4:11" x14ac:dyDescent="0.35">
      <c r="D20" s="58"/>
      <c r="E20" s="58"/>
      <c r="F20" s="58"/>
      <c r="G20" s="58"/>
    </row>
    <row r="21" spans="4:11" x14ac:dyDescent="0.35">
      <c r="D21" s="58"/>
      <c r="E21" s="58"/>
      <c r="F21" s="58"/>
      <c r="G21" s="58"/>
      <c r="K21" s="101"/>
    </row>
    <row r="22" spans="4:11" x14ac:dyDescent="0.35">
      <c r="D22" s="58"/>
      <c r="E22" s="58"/>
      <c r="F22" s="58"/>
      <c r="G22" s="58"/>
      <c r="K22" s="101"/>
    </row>
    <row r="23" spans="4:11" x14ac:dyDescent="0.35">
      <c r="D23" s="58"/>
      <c r="E23" s="58"/>
      <c r="F23" s="58"/>
      <c r="G23" s="58"/>
      <c r="K23" s="101"/>
    </row>
    <row r="24" spans="4:11" x14ac:dyDescent="0.35">
      <c r="D24" s="58"/>
      <c r="E24" s="58"/>
      <c r="F24" s="58"/>
      <c r="G24" s="58"/>
    </row>
    <row r="25" spans="4:11" x14ac:dyDescent="0.35">
      <c r="D25" s="58"/>
      <c r="E25" s="58"/>
      <c r="F25" s="58"/>
      <c r="G25" s="58"/>
    </row>
    <row r="26" spans="4:11" x14ac:dyDescent="0.35">
      <c r="G26" s="58"/>
    </row>
    <row r="28" spans="4:11" x14ac:dyDescent="0.35">
      <c r="G28" s="58"/>
      <c r="K28" s="101">
        <v>7887</v>
      </c>
    </row>
    <row r="29" spans="4:11" x14ac:dyDescent="0.35">
      <c r="G29" s="58"/>
      <c r="K29" s="101">
        <v>5982</v>
      </c>
    </row>
    <row r="30" spans="4:11" x14ac:dyDescent="0.35">
      <c r="G30" s="58"/>
      <c r="K30" s="101">
        <v>5602</v>
      </c>
    </row>
    <row r="31" spans="4:11" x14ac:dyDescent="0.35">
      <c r="G31" s="58"/>
    </row>
    <row r="32" spans="4:11" x14ac:dyDescent="0.35">
      <c r="G32" s="58"/>
    </row>
    <row r="33" spans="7:7" x14ac:dyDescent="0.35">
      <c r="G33" s="5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A8FA-9CCA-4AED-AC4F-4206B0800081}">
  <dimension ref="C3:O29"/>
  <sheetViews>
    <sheetView workbookViewId="0">
      <selection activeCell="D8" sqref="D8:F8"/>
    </sheetView>
  </sheetViews>
  <sheetFormatPr defaultRowHeight="14.5" x14ac:dyDescent="0.35"/>
  <cols>
    <col min="4" max="6" width="10.7265625" bestFit="1" customWidth="1"/>
    <col min="7" max="14" width="9.26953125" bestFit="1" customWidth="1"/>
    <col min="15" max="15" width="10" bestFit="1" customWidth="1"/>
  </cols>
  <sheetData>
    <row r="3" spans="3:6" x14ac:dyDescent="0.35">
      <c r="C3" t="s">
        <v>249</v>
      </c>
    </row>
    <row r="4" spans="3:6" x14ac:dyDescent="0.35">
      <c r="C4" s="49" t="s">
        <v>134</v>
      </c>
      <c r="D4" s="49" t="s">
        <v>135</v>
      </c>
      <c r="E4" s="49" t="s">
        <v>136</v>
      </c>
      <c r="F4" s="49" t="s">
        <v>137</v>
      </c>
    </row>
    <row r="5" spans="3:6" x14ac:dyDescent="0.35">
      <c r="C5" s="49" t="s">
        <v>138</v>
      </c>
      <c r="D5" s="49" t="s">
        <v>139</v>
      </c>
      <c r="E5" s="49" t="s">
        <v>140</v>
      </c>
      <c r="F5" s="253">
        <v>137256</v>
      </c>
    </row>
    <row r="6" spans="3:6" x14ac:dyDescent="0.35">
      <c r="C6" s="49" t="s">
        <v>141</v>
      </c>
      <c r="D6" s="49" t="s">
        <v>142</v>
      </c>
      <c r="E6" s="49" t="s">
        <v>143</v>
      </c>
      <c r="F6" s="253">
        <v>29854.91</v>
      </c>
    </row>
    <row r="7" spans="3:6" x14ac:dyDescent="0.35">
      <c r="C7" s="49" t="s">
        <v>15</v>
      </c>
      <c r="D7" s="259">
        <v>19785</v>
      </c>
      <c r="E7" s="49" t="s">
        <v>144</v>
      </c>
      <c r="F7" s="253">
        <v>28336</v>
      </c>
    </row>
    <row r="8" spans="3:6" x14ac:dyDescent="0.35">
      <c r="C8" s="49" t="s">
        <v>145</v>
      </c>
      <c r="D8" s="49" t="s">
        <v>146</v>
      </c>
      <c r="E8" s="49" t="s">
        <v>147</v>
      </c>
      <c r="F8" s="253">
        <v>87741</v>
      </c>
    </row>
    <row r="9" spans="3:6" x14ac:dyDescent="0.35">
      <c r="C9" s="49" t="s">
        <v>148</v>
      </c>
      <c r="D9" s="49" t="s">
        <v>149</v>
      </c>
      <c r="E9" s="49" t="s">
        <v>150</v>
      </c>
      <c r="F9" s="253">
        <v>469414.57</v>
      </c>
    </row>
    <row r="10" spans="3:6" x14ac:dyDescent="0.35">
      <c r="C10" s="49" t="s">
        <v>151</v>
      </c>
      <c r="D10" s="49" t="s">
        <v>152</v>
      </c>
      <c r="E10" s="49" t="s">
        <v>153</v>
      </c>
      <c r="F10" s="253">
        <v>145865.24</v>
      </c>
    </row>
    <row r="11" spans="3:6" x14ac:dyDescent="0.35">
      <c r="C11" s="49" t="s">
        <v>154</v>
      </c>
      <c r="D11" s="49" t="s">
        <v>155</v>
      </c>
      <c r="E11" s="49" t="s">
        <v>156</v>
      </c>
      <c r="F11" s="253">
        <v>443321.11</v>
      </c>
    </row>
    <row r="12" spans="3:6" x14ac:dyDescent="0.35">
      <c r="C12" s="49" t="s">
        <v>157</v>
      </c>
      <c r="D12" s="49" t="s">
        <v>158</v>
      </c>
      <c r="E12" s="49" t="s">
        <v>159</v>
      </c>
      <c r="F12" s="49" t="s">
        <v>160</v>
      </c>
    </row>
    <row r="17" spans="3:15" x14ac:dyDescent="0.35">
      <c r="O17" s="254"/>
    </row>
    <row r="19" spans="3:15" x14ac:dyDescent="0.35">
      <c r="C19" t="s">
        <v>250</v>
      </c>
    </row>
    <row r="20" spans="3:15" ht="15" customHeight="1" x14ac:dyDescent="0.35">
      <c r="C20" s="374" t="s">
        <v>134</v>
      </c>
      <c r="D20" s="375">
        <v>2025</v>
      </c>
      <c r="E20" s="375"/>
      <c r="F20" s="375"/>
      <c r="G20" s="375"/>
      <c r="H20" s="375"/>
      <c r="I20" s="375"/>
      <c r="J20" s="375"/>
      <c r="K20" s="375"/>
      <c r="L20" s="375"/>
      <c r="M20" s="375"/>
      <c r="N20" s="375"/>
      <c r="O20" s="375"/>
    </row>
    <row r="21" spans="3:15" x14ac:dyDescent="0.35">
      <c r="C21" s="374"/>
      <c r="D21" s="255" t="s">
        <v>161</v>
      </c>
      <c r="E21" s="255" t="s">
        <v>162</v>
      </c>
      <c r="F21" s="255" t="s">
        <v>163</v>
      </c>
      <c r="G21" s="255" t="s">
        <v>164</v>
      </c>
      <c r="H21" s="255" t="s">
        <v>165</v>
      </c>
      <c r="I21" s="255" t="s">
        <v>166</v>
      </c>
      <c r="J21" s="255" t="s">
        <v>167</v>
      </c>
      <c r="K21" s="255" t="s">
        <v>168</v>
      </c>
      <c r="L21" s="255" t="s">
        <v>169</v>
      </c>
      <c r="M21" s="255" t="s">
        <v>170</v>
      </c>
      <c r="N21" s="255" t="s">
        <v>171</v>
      </c>
      <c r="O21" s="255" t="s">
        <v>172</v>
      </c>
    </row>
    <row r="22" spans="3:15" x14ac:dyDescent="0.35">
      <c r="C22" s="255" t="s">
        <v>148</v>
      </c>
      <c r="D22" s="256" t="s">
        <v>173</v>
      </c>
      <c r="E22" s="256" t="s">
        <v>174</v>
      </c>
      <c r="F22" s="256" t="s">
        <v>175</v>
      </c>
      <c r="G22" s="256" t="s">
        <v>176</v>
      </c>
      <c r="H22" s="256" t="s">
        <v>177</v>
      </c>
      <c r="I22" s="256" t="s">
        <v>178</v>
      </c>
      <c r="J22" s="256" t="s">
        <v>179</v>
      </c>
      <c r="K22" s="256" t="s">
        <v>180</v>
      </c>
      <c r="L22" s="256" t="s">
        <v>181</v>
      </c>
      <c r="M22" s="256" t="s">
        <v>182</v>
      </c>
      <c r="N22" s="256" t="s">
        <v>183</v>
      </c>
      <c r="O22" s="257">
        <v>1127646.32</v>
      </c>
    </row>
    <row r="23" spans="3:15" x14ac:dyDescent="0.35">
      <c r="C23" s="255" t="s">
        <v>151</v>
      </c>
      <c r="D23" s="256" t="s">
        <v>184</v>
      </c>
      <c r="E23" s="256" t="s">
        <v>185</v>
      </c>
      <c r="F23" s="256" t="s">
        <v>186</v>
      </c>
      <c r="G23" s="256" t="s">
        <v>187</v>
      </c>
      <c r="H23" s="256" t="s">
        <v>188</v>
      </c>
      <c r="I23" s="256" t="s">
        <v>189</v>
      </c>
      <c r="J23" s="256" t="s">
        <v>190</v>
      </c>
      <c r="K23" s="256" t="s">
        <v>191</v>
      </c>
      <c r="L23" s="256" t="s">
        <v>192</v>
      </c>
      <c r="M23" s="256" t="s">
        <v>193</v>
      </c>
      <c r="N23" s="256" t="s">
        <v>194</v>
      </c>
      <c r="O23" s="257">
        <v>250136.94</v>
      </c>
    </row>
    <row r="24" spans="3:15" x14ac:dyDescent="0.35">
      <c r="C24" s="255" t="s">
        <v>145</v>
      </c>
      <c r="D24" s="256" t="s">
        <v>195</v>
      </c>
      <c r="E24" s="256" t="s">
        <v>196</v>
      </c>
      <c r="F24" s="256" t="s">
        <v>197</v>
      </c>
      <c r="G24" s="256" t="s">
        <v>198</v>
      </c>
      <c r="H24" s="256" t="s">
        <v>199</v>
      </c>
      <c r="I24" s="256" t="s">
        <v>200</v>
      </c>
      <c r="J24" s="256" t="s">
        <v>201</v>
      </c>
      <c r="K24" s="256" t="s">
        <v>202</v>
      </c>
      <c r="L24" s="256" t="s">
        <v>203</v>
      </c>
      <c r="M24" s="256" t="s">
        <v>204</v>
      </c>
      <c r="N24" s="256" t="s">
        <v>205</v>
      </c>
      <c r="O24" s="257">
        <v>248871.6</v>
      </c>
    </row>
    <row r="25" spans="3:15" x14ac:dyDescent="0.35">
      <c r="C25" s="255" t="s">
        <v>15</v>
      </c>
      <c r="D25" s="258">
        <v>104615</v>
      </c>
      <c r="E25" s="258">
        <v>103037</v>
      </c>
      <c r="F25" s="258">
        <v>68503</v>
      </c>
      <c r="G25" s="258">
        <v>72846</v>
      </c>
      <c r="H25" s="258">
        <v>69474</v>
      </c>
      <c r="I25" s="258">
        <v>49336</v>
      </c>
      <c r="J25" s="258">
        <v>77606</v>
      </c>
      <c r="K25" s="258">
        <v>80199</v>
      </c>
      <c r="L25" s="258">
        <v>55883</v>
      </c>
      <c r="M25" s="258">
        <v>73890</v>
      </c>
      <c r="N25" s="258">
        <v>101379</v>
      </c>
      <c r="O25" s="258">
        <v>92757</v>
      </c>
    </row>
    <row r="26" spans="3:15" x14ac:dyDescent="0.35">
      <c r="C26" s="255" t="s">
        <v>154</v>
      </c>
      <c r="D26" s="256" t="s">
        <v>206</v>
      </c>
      <c r="E26" s="256" t="s">
        <v>207</v>
      </c>
      <c r="F26" s="256" t="s">
        <v>208</v>
      </c>
      <c r="G26" s="256" t="s">
        <v>209</v>
      </c>
      <c r="H26" s="256" t="s">
        <v>210</v>
      </c>
      <c r="I26" s="256" t="s">
        <v>211</v>
      </c>
      <c r="J26" s="256" t="s">
        <v>212</v>
      </c>
      <c r="K26" s="256" t="s">
        <v>213</v>
      </c>
      <c r="L26" s="256" t="s">
        <v>214</v>
      </c>
      <c r="M26" s="256" t="s">
        <v>215</v>
      </c>
      <c r="N26" s="256" t="s">
        <v>216</v>
      </c>
      <c r="O26" s="257">
        <v>1179012.04</v>
      </c>
    </row>
    <row r="27" spans="3:15" x14ac:dyDescent="0.35">
      <c r="C27" s="255" t="s">
        <v>157</v>
      </c>
      <c r="D27" s="256" t="s">
        <v>217</v>
      </c>
      <c r="E27" s="256" t="s">
        <v>218</v>
      </c>
      <c r="F27" s="256" t="s">
        <v>219</v>
      </c>
      <c r="G27" s="256" t="s">
        <v>220</v>
      </c>
      <c r="H27" s="256" t="s">
        <v>221</v>
      </c>
      <c r="I27" s="256" t="s">
        <v>222</v>
      </c>
      <c r="J27" s="256" t="s">
        <v>223</v>
      </c>
      <c r="K27" s="256" t="s">
        <v>224</v>
      </c>
      <c r="L27" s="256" t="s">
        <v>225</v>
      </c>
      <c r="M27" s="256" t="s">
        <v>226</v>
      </c>
      <c r="N27" s="256" t="s">
        <v>227</v>
      </c>
      <c r="O27" s="257">
        <v>577110.31000000006</v>
      </c>
    </row>
    <row r="28" spans="3:15" x14ac:dyDescent="0.35">
      <c r="C28" s="255" t="s">
        <v>141</v>
      </c>
      <c r="D28" s="256"/>
      <c r="E28" s="256" t="s">
        <v>228</v>
      </c>
      <c r="F28" s="256" t="s">
        <v>229</v>
      </c>
      <c r="G28" s="256" t="s">
        <v>230</v>
      </c>
      <c r="H28" s="256" t="s">
        <v>231</v>
      </c>
      <c r="I28" s="256" t="s">
        <v>232</v>
      </c>
      <c r="J28" s="256" t="s">
        <v>233</v>
      </c>
      <c r="K28" s="256" t="s">
        <v>234</v>
      </c>
      <c r="L28" s="256" t="s">
        <v>235</v>
      </c>
      <c r="M28" s="256" t="s">
        <v>236</v>
      </c>
      <c r="N28" s="256" t="s">
        <v>237</v>
      </c>
      <c r="O28" s="257">
        <v>60549.93</v>
      </c>
    </row>
    <row r="29" spans="3:15" x14ac:dyDescent="0.35">
      <c r="C29" s="255" t="s">
        <v>138</v>
      </c>
      <c r="D29" s="256"/>
      <c r="E29" s="256" t="s">
        <v>238</v>
      </c>
      <c r="F29" s="256" t="s">
        <v>239</v>
      </c>
      <c r="G29" s="256" t="s">
        <v>240</v>
      </c>
      <c r="H29" s="256" t="s">
        <v>241</v>
      </c>
      <c r="I29" s="256" t="s">
        <v>242</v>
      </c>
      <c r="J29" s="256" t="s">
        <v>243</v>
      </c>
      <c r="K29" s="256" t="s">
        <v>244</v>
      </c>
      <c r="L29" s="256" t="s">
        <v>245</v>
      </c>
      <c r="M29" s="256" t="s">
        <v>246</v>
      </c>
      <c r="N29" s="256" t="s">
        <v>247</v>
      </c>
      <c r="O29" s="256" t="s">
        <v>248</v>
      </c>
    </row>
  </sheetData>
  <mergeCells count="2">
    <mergeCell ref="C20:C21"/>
    <mergeCell ref="D20:O2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E8E5C-C668-448E-8862-A1CFA8FE80E7}">
  <dimension ref="E3:Q30"/>
  <sheetViews>
    <sheetView showGridLines="0" workbookViewId="0">
      <selection activeCell="M19" sqref="M19:R33"/>
    </sheetView>
  </sheetViews>
  <sheetFormatPr defaultRowHeight="14.5" x14ac:dyDescent="0.35"/>
  <cols>
    <col min="5" max="5" width="18.54296875" customWidth="1"/>
    <col min="6" max="11" width="13" customWidth="1"/>
    <col min="15" max="16" width="11.54296875" bestFit="1" customWidth="1"/>
  </cols>
  <sheetData>
    <row r="3" spans="5:14" x14ac:dyDescent="0.35">
      <c r="E3" s="3" t="s">
        <v>10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2"/>
      <c r="M3" s="2"/>
      <c r="N3" s="2"/>
    </row>
    <row r="4" spans="5:14" x14ac:dyDescent="0.35">
      <c r="E4" t="s">
        <v>0</v>
      </c>
      <c r="F4" s="1">
        <v>1.41</v>
      </c>
      <c r="G4" s="1">
        <v>4</v>
      </c>
      <c r="H4" s="6">
        <v>1.6</v>
      </c>
      <c r="I4" s="6">
        <v>1.7</v>
      </c>
      <c r="J4" s="1">
        <v>5.91</v>
      </c>
      <c r="K4" s="1">
        <v>3</v>
      </c>
    </row>
    <row r="5" spans="5:14" x14ac:dyDescent="0.35">
      <c r="E5" t="s">
        <v>1</v>
      </c>
      <c r="F5" s="1">
        <v>1.41</v>
      </c>
      <c r="G5" s="1">
        <v>5</v>
      </c>
      <c r="H5" s="6">
        <v>1.6</v>
      </c>
      <c r="I5" s="6">
        <v>1.7</v>
      </c>
      <c r="J5" s="1">
        <v>5.91</v>
      </c>
      <c r="K5" s="1">
        <v>3</v>
      </c>
    </row>
    <row r="6" spans="5:14" x14ac:dyDescent="0.35">
      <c r="E6" t="s">
        <v>2</v>
      </c>
      <c r="F6" s="1">
        <v>0.26</v>
      </c>
      <c r="G6" s="1">
        <v>0.45</v>
      </c>
      <c r="H6" s="1">
        <v>0.2</v>
      </c>
      <c r="I6" s="1">
        <v>0.22</v>
      </c>
      <c r="J6" s="1">
        <v>0.4</v>
      </c>
      <c r="K6" s="1">
        <v>0.65</v>
      </c>
    </row>
    <row r="7" spans="5:14" x14ac:dyDescent="0.35">
      <c r="E7" t="s">
        <v>3</v>
      </c>
      <c r="F7" s="1">
        <v>15</v>
      </c>
      <c r="G7" s="1">
        <v>26</v>
      </c>
      <c r="H7" s="1">
        <v>15</v>
      </c>
      <c r="I7" s="1">
        <v>15</v>
      </c>
      <c r="J7" s="1">
        <f>192.48/4</f>
        <v>48.12</v>
      </c>
      <c r="K7" s="1">
        <v>38</v>
      </c>
    </row>
    <row r="9" spans="5:14" x14ac:dyDescent="0.35">
      <c r="E9" s="2" t="s">
        <v>11</v>
      </c>
      <c r="F9" s="2">
        <v>33</v>
      </c>
      <c r="G9" s="2">
        <v>33</v>
      </c>
      <c r="H9" s="2">
        <v>33</v>
      </c>
      <c r="I9" s="2">
        <v>33</v>
      </c>
      <c r="J9" s="2">
        <v>33</v>
      </c>
      <c r="K9" s="2">
        <v>33</v>
      </c>
    </row>
    <row r="12" spans="5:14" x14ac:dyDescent="0.35">
      <c r="E12" s="3" t="s">
        <v>12</v>
      </c>
      <c r="F12" s="4" t="s">
        <v>4</v>
      </c>
      <c r="G12" s="4" t="s">
        <v>5</v>
      </c>
      <c r="H12" s="4" t="s">
        <v>6</v>
      </c>
      <c r="I12" s="4" t="s">
        <v>7</v>
      </c>
      <c r="J12" s="4" t="s">
        <v>8</v>
      </c>
      <c r="K12" s="4" t="s">
        <v>9</v>
      </c>
    </row>
    <row r="13" spans="5:14" x14ac:dyDescent="0.35">
      <c r="E13" t="s">
        <v>0</v>
      </c>
      <c r="F13" s="9">
        <f>F4*$G$9</f>
        <v>46.529999999999994</v>
      </c>
      <c r="G13" s="9">
        <f>G4*$G$9</f>
        <v>132</v>
      </c>
      <c r="H13" s="9">
        <f t="shared" ref="H13:K14" si="0">H4*$G$9</f>
        <v>52.800000000000004</v>
      </c>
      <c r="I13" s="9">
        <f t="shared" si="0"/>
        <v>56.1</v>
      </c>
      <c r="J13" s="9">
        <f t="shared" si="0"/>
        <v>195.03</v>
      </c>
      <c r="K13" s="9">
        <f t="shared" si="0"/>
        <v>99</v>
      </c>
      <c r="L13" s="1"/>
    </row>
    <row r="14" spans="5:14" x14ac:dyDescent="0.35">
      <c r="E14" t="s">
        <v>1</v>
      </c>
      <c r="F14" s="9">
        <f t="shared" ref="F14:G14" si="1">F5*$G$9</f>
        <v>46.529999999999994</v>
      </c>
      <c r="G14" s="9">
        <f t="shared" si="1"/>
        <v>165</v>
      </c>
      <c r="H14" s="9">
        <f t="shared" si="0"/>
        <v>52.800000000000004</v>
      </c>
      <c r="I14" s="9">
        <f t="shared" si="0"/>
        <v>56.1</v>
      </c>
      <c r="J14" s="9">
        <f t="shared" si="0"/>
        <v>195.03</v>
      </c>
      <c r="K14" s="9">
        <f t="shared" si="0"/>
        <v>99</v>
      </c>
      <c r="L14" s="1"/>
    </row>
    <row r="15" spans="5:14" x14ac:dyDescent="0.35">
      <c r="E15" t="s">
        <v>2</v>
      </c>
      <c r="F15" s="9">
        <f t="shared" ref="F15:K15" si="2">F6*$G$9*10</f>
        <v>85.8</v>
      </c>
      <c r="G15" s="9">
        <f t="shared" si="2"/>
        <v>148.5</v>
      </c>
      <c r="H15" s="9">
        <f t="shared" si="2"/>
        <v>66</v>
      </c>
      <c r="I15" s="9">
        <f t="shared" si="2"/>
        <v>72.599999999999994</v>
      </c>
      <c r="J15" s="9">
        <f t="shared" si="2"/>
        <v>132</v>
      </c>
      <c r="K15" s="9">
        <f t="shared" si="2"/>
        <v>214.5</v>
      </c>
      <c r="L15" s="1"/>
    </row>
    <row r="16" spans="5:14" x14ac:dyDescent="0.35">
      <c r="E16" s="8" t="s">
        <v>3</v>
      </c>
      <c r="F16" s="11">
        <f>F9*F7</f>
        <v>495</v>
      </c>
      <c r="G16" s="11">
        <f>G9*G7</f>
        <v>858</v>
      </c>
      <c r="H16" s="11">
        <f t="shared" ref="H16:K16" si="3">H9*H7</f>
        <v>495</v>
      </c>
      <c r="I16" s="11">
        <f t="shared" si="3"/>
        <v>495</v>
      </c>
      <c r="J16" s="11">
        <f>J9*J7</f>
        <v>1587.9599999999998</v>
      </c>
      <c r="K16" s="11">
        <f t="shared" si="3"/>
        <v>1254</v>
      </c>
      <c r="L16" s="1"/>
    </row>
    <row r="17" spans="5:17" x14ac:dyDescent="0.35">
      <c r="E17" s="7" t="s">
        <v>13</v>
      </c>
      <c r="F17" s="10">
        <f>SUM(F13:F16)</f>
        <v>673.86</v>
      </c>
      <c r="G17" s="10">
        <f t="shared" ref="G17:K17" si="4">SUM(G13:G16)</f>
        <v>1303.5</v>
      </c>
      <c r="H17" s="10">
        <f t="shared" si="4"/>
        <v>666.6</v>
      </c>
      <c r="I17" s="10">
        <f t="shared" si="4"/>
        <v>679.8</v>
      </c>
      <c r="J17" s="10">
        <f>SUM(J13:J16)</f>
        <v>2110.0199999999995</v>
      </c>
      <c r="K17" s="10">
        <f t="shared" si="4"/>
        <v>1666.5</v>
      </c>
      <c r="L17" s="1"/>
    </row>
    <row r="18" spans="5:17" x14ac:dyDescent="0.35">
      <c r="F18" s="1"/>
      <c r="G18" s="1"/>
      <c r="H18" s="5"/>
      <c r="I18" s="1"/>
      <c r="J18" s="1"/>
      <c r="K18" s="1"/>
      <c r="L18" s="1"/>
    </row>
    <row r="19" spans="5:17" x14ac:dyDescent="0.35">
      <c r="E19" s="13" t="s">
        <v>14</v>
      </c>
      <c r="F19" s="10">
        <f>F17/F9</f>
        <v>20.420000000000002</v>
      </c>
      <c r="G19" s="10">
        <f t="shared" ref="G19:K19" si="5">G17/G9</f>
        <v>39.5</v>
      </c>
      <c r="H19" s="10">
        <f t="shared" si="5"/>
        <v>20.2</v>
      </c>
      <c r="I19" s="10">
        <f t="shared" si="5"/>
        <v>20.599999999999998</v>
      </c>
      <c r="J19" s="10">
        <f t="shared" si="5"/>
        <v>63.939999999999984</v>
      </c>
      <c r="K19" s="10">
        <f t="shared" si="5"/>
        <v>50.5</v>
      </c>
      <c r="L19" s="1"/>
      <c r="P19">
        <v>1500000</v>
      </c>
    </row>
    <row r="20" spans="5:17" x14ac:dyDescent="0.35">
      <c r="F20" s="1"/>
      <c r="G20" s="1"/>
      <c r="H20" s="5"/>
      <c r="I20" s="1"/>
      <c r="J20" s="1"/>
      <c r="K20" s="1"/>
      <c r="L20" s="1"/>
    </row>
    <row r="21" spans="5:17" x14ac:dyDescent="0.35">
      <c r="F21" s="1"/>
      <c r="G21" s="1"/>
      <c r="H21" s="5"/>
      <c r="I21" s="1"/>
      <c r="J21" s="1"/>
      <c r="K21" s="1"/>
      <c r="L21" s="1"/>
    </row>
    <row r="22" spans="5:17" x14ac:dyDescent="0.35">
      <c r="F22" s="1"/>
      <c r="G22" s="1"/>
      <c r="H22" s="5"/>
      <c r="I22" s="1"/>
      <c r="J22" s="1"/>
      <c r="K22" s="1"/>
      <c r="L22" s="1"/>
      <c r="O22" s="1" t="s">
        <v>16</v>
      </c>
      <c r="P22" s="1" t="s">
        <v>17</v>
      </c>
      <c r="Q22" s="1" t="s">
        <v>18</v>
      </c>
    </row>
    <row r="23" spans="5:17" x14ac:dyDescent="0.35">
      <c r="F23" s="1"/>
      <c r="G23" s="1"/>
      <c r="H23" s="1"/>
      <c r="I23" s="1"/>
      <c r="J23" s="1"/>
      <c r="K23" s="1"/>
      <c r="L23" s="1"/>
      <c r="N23" t="s">
        <v>15</v>
      </c>
      <c r="O23" s="1">
        <v>34068</v>
      </c>
      <c r="P23" s="12">
        <v>949524</v>
      </c>
      <c r="Q23" s="15">
        <f>O23/P23</f>
        <v>3.5879029913935823E-2</v>
      </c>
    </row>
    <row r="24" spans="5:17" x14ac:dyDescent="0.35">
      <c r="F24" s="1"/>
      <c r="G24" s="1"/>
      <c r="H24" s="1"/>
      <c r="I24" s="1"/>
      <c r="J24" s="1"/>
      <c r="K24" s="1"/>
      <c r="L24" s="1"/>
    </row>
    <row r="25" spans="5:17" x14ac:dyDescent="0.35">
      <c r="F25" s="1"/>
      <c r="G25" s="1"/>
      <c r="H25" s="1"/>
      <c r="I25" s="1"/>
      <c r="J25" s="1"/>
      <c r="K25" s="1"/>
      <c r="L25" s="1"/>
    </row>
    <row r="29" spans="5:17" x14ac:dyDescent="0.35">
      <c r="O29">
        <v>432000</v>
      </c>
      <c r="P29">
        <v>466000</v>
      </c>
      <c r="Q29">
        <f>P29/P19</f>
        <v>0.31066666666666665</v>
      </c>
    </row>
    <row r="30" spans="5:17" x14ac:dyDescent="0.35">
      <c r="O3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14</vt:i4>
      </vt:variant>
    </vt:vector>
  </HeadingPairs>
  <TitlesOfParts>
    <vt:vector size="14" baseType="lpstr">
      <vt:lpstr>2025 Ytd Pallet başı maliyet</vt:lpstr>
      <vt:lpstr>2025-Breakdown</vt:lpstr>
      <vt:lpstr>hollanda icmal</vt:lpstr>
      <vt:lpstr>Macedonia</vt:lpstr>
      <vt:lpstr>Kosovo</vt:lpstr>
      <vt:lpstr>Netherland</vt:lpstr>
      <vt:lpstr>Belgium</vt:lpstr>
      <vt:lpstr>Kazakhstan</vt:lpstr>
      <vt:lpstr>Georgia</vt:lpstr>
      <vt:lpstr>Bosnia</vt:lpstr>
      <vt:lpstr>Serbia</vt:lpstr>
      <vt:lpstr>+Q1 DASHBOARD+</vt:lpstr>
      <vt:lpstr>Sayfa1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Özkan Yaman</dc:creator>
  <cp:lastModifiedBy>Hakan Şahin</cp:lastModifiedBy>
  <dcterms:created xsi:type="dcterms:W3CDTF">2015-06-05T18:17:20Z</dcterms:created>
  <dcterms:modified xsi:type="dcterms:W3CDTF">2026-09-02T14:03:12Z</dcterms:modified>
</cp:coreProperties>
</file>