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imir.trickovic\Desktop\Obracuni\Madame Coco\2025 12\"/>
    </mc:Choice>
  </mc:AlternateContent>
  <xr:revisionPtr revIDLastSave="0" documentId="8_{DE54072E-4155-4FC1-8462-59C6C5A44A81}" xr6:coauthVersionLast="47" xr6:coauthVersionMax="47" xr10:uidLastSave="{00000000-0000-0000-0000-000000000000}"/>
  <bookViews>
    <workbookView xWindow="-28920" yWindow="-120" windowWidth="29040" windowHeight="15720" xr2:uid="{0BA0386D-54DC-459A-BC2D-7CE81F3AAEE4}"/>
  </bookViews>
  <sheets>
    <sheet name="decembar 2025" sheetId="11" r:id="rId1"/>
    <sheet name="novembar 2025" sheetId="10" r:id="rId2"/>
    <sheet name="oktobar 2025" sheetId="9" r:id="rId3"/>
    <sheet name="septembar 2025" sheetId="8" r:id="rId4"/>
    <sheet name="avgust 2025" sheetId="7" r:id="rId5"/>
    <sheet name="jul2025" sheetId="6" r:id="rId6"/>
    <sheet name="jun2025" sheetId="5" r:id="rId7"/>
    <sheet name="april2025" sheetId="4" r:id="rId8"/>
    <sheet name="mart2025" sheetId="3" r:id="rId9"/>
    <sheet name="feb2025" sheetId="2" r:id="rId10"/>
    <sheet name="jan2025" sheetId="1" r:id="rId11"/>
  </sheets>
  <definedNames>
    <definedName name="kurs" localSheetId="7">april2025!$J$6</definedName>
    <definedName name="kurs" localSheetId="4">'avgust 2025'!$J$6</definedName>
    <definedName name="kurs" localSheetId="0">'decembar 2025'!$J$6</definedName>
    <definedName name="kurs" localSheetId="9">'feb2025'!$J$6</definedName>
    <definedName name="kurs" localSheetId="10">'jan2025'!$J$6</definedName>
    <definedName name="kurs" localSheetId="5">'jul2025'!$J$6</definedName>
    <definedName name="kurs" localSheetId="6">'jun2025'!$J$6</definedName>
    <definedName name="kurs" localSheetId="8">mart2025!$J$6</definedName>
    <definedName name="kurs" localSheetId="1">'novembar 2025'!$J$6</definedName>
    <definedName name="kurs" localSheetId="2">'oktobar 2025'!$J$6</definedName>
    <definedName name="kurs" localSheetId="3">'septembar 2025'!$J$6</definedName>
    <definedName name="kurs">#REF!</definedName>
    <definedName name="NOVEMB" localSheetId="7">#REF!</definedName>
    <definedName name="NOVEMB" localSheetId="4">#REF!</definedName>
    <definedName name="NOVEMB" localSheetId="0">#REF!</definedName>
    <definedName name="NOVEMB" localSheetId="9">#REF!</definedName>
    <definedName name="NOVEMB" localSheetId="10">#REF!</definedName>
    <definedName name="NOVEMB" localSheetId="5">#REF!</definedName>
    <definedName name="NOVEMB" localSheetId="6">#REF!</definedName>
    <definedName name="NOVEMB" localSheetId="8">#REF!</definedName>
    <definedName name="NOVEMB" localSheetId="1">#REF!</definedName>
    <definedName name="NOVEMB" localSheetId="2">#REF!</definedName>
    <definedName name="NOVEMB" localSheetId="3">#REF!</definedName>
    <definedName name="NOVEMB">#REF!</definedName>
    <definedName name="_xlnm.Print_Area" localSheetId="7">april2025!$A$1:$J$38</definedName>
    <definedName name="_xlnm.Print_Area" localSheetId="4">'avgust 2025'!$A$1:$J$38</definedName>
    <definedName name="_xlnm.Print_Area" localSheetId="0">'decembar 2025'!$A$1:$J$38</definedName>
    <definedName name="_xlnm.Print_Area" localSheetId="9">'feb2025'!$A$1:$J$38</definedName>
    <definedName name="_xlnm.Print_Area" localSheetId="10">'jan2025'!$A$1:$J$38</definedName>
    <definedName name="_xlnm.Print_Area" localSheetId="5">'jul2025'!$A$1:$J$38</definedName>
    <definedName name="_xlnm.Print_Area" localSheetId="6">'jun2025'!$A$1:$J$38</definedName>
    <definedName name="_xlnm.Print_Area" localSheetId="8">mart2025!$A$1:$J$38</definedName>
    <definedName name="_xlnm.Print_Area" localSheetId="1">'novembar 2025'!$A$1:$J$38</definedName>
    <definedName name="_xlnm.Print_Area" localSheetId="2">'oktobar 2025'!$A$1:$J$38</definedName>
    <definedName name="_xlnm.Print_Area" localSheetId="3">'septembar 2025'!$A$1:$J$38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1" l="1"/>
  <c r="I19" i="11"/>
  <c r="I18" i="11"/>
  <c r="I17" i="11"/>
  <c r="I16" i="11"/>
  <c r="I15" i="11"/>
  <c r="I14" i="11"/>
  <c r="I13" i="11"/>
  <c r="I12" i="11"/>
  <c r="I11" i="11"/>
  <c r="I10" i="11"/>
  <c r="I9" i="11"/>
  <c r="I20" i="10"/>
  <c r="I19" i="10"/>
  <c r="I18" i="10"/>
  <c r="I17" i="10"/>
  <c r="I16" i="10"/>
  <c r="I15" i="10"/>
  <c r="I14" i="10"/>
  <c r="I13" i="10"/>
  <c r="I12" i="10"/>
  <c r="I11" i="10"/>
  <c r="I10" i="10"/>
  <c r="I9" i="10"/>
  <c r="I20" i="9"/>
  <c r="I19" i="9"/>
  <c r="I18" i="9"/>
  <c r="I17" i="9"/>
  <c r="I16" i="9"/>
  <c r="I15" i="9"/>
  <c r="I14" i="9"/>
  <c r="I13" i="9"/>
  <c r="I12" i="9"/>
  <c r="I11" i="9"/>
  <c r="I10" i="9"/>
  <c r="I9" i="9"/>
  <c r="I20" i="8"/>
  <c r="I19" i="8"/>
  <c r="I18" i="8"/>
  <c r="I17" i="8"/>
  <c r="I16" i="8"/>
  <c r="I15" i="8"/>
  <c r="I14" i="8"/>
  <c r="I13" i="8"/>
  <c r="I12" i="8"/>
  <c r="I11" i="8"/>
  <c r="I10" i="8"/>
  <c r="I9" i="8"/>
  <c r="I20" i="7"/>
  <c r="I19" i="7"/>
  <c r="I18" i="7"/>
  <c r="I17" i="7"/>
  <c r="I16" i="7"/>
  <c r="I15" i="7"/>
  <c r="I14" i="7"/>
  <c r="I13" i="7"/>
  <c r="I12" i="7"/>
  <c r="I11" i="7"/>
  <c r="I10" i="7"/>
  <c r="I9" i="7"/>
  <c r="I20" i="6"/>
  <c r="I19" i="6"/>
  <c r="I18" i="6"/>
  <c r="I17" i="6"/>
  <c r="I16" i="6"/>
  <c r="I15" i="6"/>
  <c r="I14" i="6"/>
  <c r="I13" i="6"/>
  <c r="I12" i="6"/>
  <c r="I11" i="6"/>
  <c r="I10" i="6"/>
  <c r="I9" i="6"/>
  <c r="I20" i="5"/>
  <c r="I19" i="5"/>
  <c r="I18" i="5"/>
  <c r="I17" i="5"/>
  <c r="I16" i="5"/>
  <c r="I15" i="5"/>
  <c r="I14" i="5"/>
  <c r="I13" i="5"/>
  <c r="I12" i="5"/>
  <c r="I11" i="5"/>
  <c r="I10" i="5"/>
  <c r="I9" i="5"/>
  <c r="I20" i="4"/>
  <c r="I19" i="4"/>
  <c r="I18" i="4"/>
  <c r="I17" i="4"/>
  <c r="I16" i="4"/>
  <c r="I15" i="4"/>
  <c r="I14" i="4"/>
  <c r="I13" i="4"/>
  <c r="I12" i="4"/>
  <c r="I11" i="4"/>
  <c r="I10" i="4"/>
  <c r="I9" i="4"/>
  <c r="I9" i="3"/>
  <c r="I10" i="3"/>
  <c r="I11" i="3"/>
  <c r="I13" i="3"/>
  <c r="I12" i="3"/>
  <c r="I14" i="3"/>
  <c r="I17" i="3"/>
  <c r="I18" i="3"/>
  <c r="I20" i="3"/>
  <c r="I19" i="3"/>
  <c r="I16" i="3"/>
  <c r="I15" i="3"/>
  <c r="I20" i="2"/>
  <c r="I28" i="11" l="1"/>
  <c r="J28" i="11" s="1"/>
  <c r="I28" i="10"/>
  <c r="J28" i="10" s="1"/>
  <c r="I28" i="9"/>
  <c r="J28" i="9" s="1"/>
  <c r="I28" i="8"/>
  <c r="J28" i="8" s="1"/>
  <c r="I28" i="7"/>
  <c r="J28" i="7" s="1"/>
  <c r="I28" i="6"/>
  <c r="J28" i="6" s="1"/>
  <c r="I28" i="5"/>
  <c r="J28" i="5" s="1"/>
  <c r="I28" i="4"/>
  <c r="J28" i="4" s="1"/>
  <c r="I28" i="3"/>
  <c r="J28" i="3" s="1"/>
  <c r="I19" i="2"/>
  <c r="I18" i="2"/>
  <c r="I17" i="2"/>
  <c r="I16" i="2"/>
  <c r="I15" i="2"/>
  <c r="I14" i="2"/>
  <c r="I13" i="2"/>
  <c r="I12" i="2"/>
  <c r="I11" i="2"/>
  <c r="I10" i="2"/>
  <c r="I9" i="2"/>
  <c r="I19" i="1"/>
  <c r="I28" i="2" l="1"/>
  <c r="J28" i="2" s="1"/>
  <c r="I18" i="1"/>
  <c r="I17" i="1"/>
  <c r="I16" i="1"/>
  <c r="I15" i="1"/>
  <c r="I14" i="1"/>
  <c r="I13" i="1"/>
  <c r="I12" i="1"/>
  <c r="I11" i="1"/>
  <c r="I10" i="1"/>
  <c r="I9" i="1"/>
  <c r="I28" i="1" l="1"/>
  <c r="J28" i="1" s="1"/>
</calcChain>
</file>

<file path=xl/sharedStrings.xml><?xml version="1.0" encoding="utf-8"?>
<sst xmlns="http://schemas.openxmlformats.org/spreadsheetml/2006/main" count="591" uniqueCount="49">
  <si>
    <t>OBRAČUN SKLADIŠNINE - MATERIJALI</t>
  </si>
  <si>
    <t>Client</t>
  </si>
  <si>
    <t>Logistics services for period</t>
  </si>
  <si>
    <t>od</t>
  </si>
  <si>
    <t>do</t>
  </si>
  <si>
    <t>M&amp;M Militzer &amp; Münch d.o.o.</t>
  </si>
  <si>
    <t>Order number</t>
  </si>
  <si>
    <t>No.</t>
  </si>
  <si>
    <t>Service</t>
  </si>
  <si>
    <t>UOM</t>
  </si>
  <si>
    <t>UOM price (€)</t>
  </si>
  <si>
    <t>Qty</t>
  </si>
  <si>
    <t>Amount (€)</t>
  </si>
  <si>
    <t>iznos(RSD)</t>
  </si>
  <si>
    <t>1.</t>
  </si>
  <si>
    <t>Import customs clearance</t>
  </si>
  <si>
    <t>2.</t>
  </si>
  <si>
    <t>3.</t>
  </si>
  <si>
    <t>truck</t>
  </si>
  <si>
    <t>4.</t>
  </si>
  <si>
    <t>5.</t>
  </si>
  <si>
    <t>6.</t>
  </si>
  <si>
    <t>Ukupno:</t>
  </si>
  <si>
    <t>Obracunao</t>
  </si>
  <si>
    <t>Branimir Trickovic</t>
  </si>
  <si>
    <t>Delivery Ferizaj Van (1-6 eur pal), up to 1.1 t</t>
  </si>
  <si>
    <t xml:space="preserve">Delivery Ferizaj Truck (17-33 eur pal), up to 24.0 t </t>
  </si>
  <si>
    <t xml:space="preserve">Delivery Ferizaj Avia (7-16 eur pal), up to 7.0 t </t>
  </si>
  <si>
    <t>Warehouse up to 30 days</t>
  </si>
  <si>
    <t>Delivery Prizren Van (1-6 eur pal), up to 1.1 t</t>
  </si>
  <si>
    <t xml:space="preserve">Delivery Prizren Avia (7-16 eur pal), up to 7.0 t </t>
  </si>
  <si>
    <t xml:space="preserve">Delivery Prizren Truck (17-33 eur pal), up to 24.0 t </t>
  </si>
  <si>
    <t>Delivery Pristina Van (1-6 eur pal), up to 1.1 t</t>
  </si>
  <si>
    <t xml:space="preserve">Delivery Pristina Avia (7-16 eur pal), up to 7.0 t </t>
  </si>
  <si>
    <t xml:space="preserve">Delivery Pristina Truck (17-33 eur pal), up to 24.0 t </t>
  </si>
  <si>
    <t>Madame Coco Kosovo</t>
  </si>
  <si>
    <t>Additional workforce for unloading</t>
  </si>
  <si>
    <t>worker</t>
  </si>
  <si>
    <t>7.</t>
  </si>
  <si>
    <t>8.</t>
  </si>
  <si>
    <t>9.</t>
  </si>
  <si>
    <t>10.</t>
  </si>
  <si>
    <t>11.</t>
  </si>
  <si>
    <t>12.</t>
  </si>
  <si>
    <t>01.06.2025.</t>
  </si>
  <si>
    <t>01.07.2025.</t>
  </si>
  <si>
    <t>01.08.2025.</t>
  </si>
  <si>
    <t>01.09.2025.</t>
  </si>
  <si>
    <t>01.10.2025.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</si>
</sst>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_-* #,##0.0000\ [$RSD-241A]_-;\-* #,##0.0000\ [$RSD-241A]_-;_-* &quot;-&quot;??\ [$RSD-241A]_-;_-@_-"/>
    <numFmt numFmtId="166" formatCode="#,##0.00\ [$€-1]"/>
    <numFmt numFmtId="167" formatCode="#,##0.000"/>
    <numFmt numFmtId="168" formatCode="#,##0.00\ &quot;Din.&quot;"/>
    <numFmt numFmtId="169" formatCode="#,##0.000\ [$€-1]"/>
  </numFmts>
  <fonts count="16" x14ac:knownFonts="1"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i/>
      <sz val="11"/>
      <color indexed="8"/>
      <name val="Arial"/>
      <family val="2"/>
    </font>
    <font>
      <sz val="10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b/>
      <sz val="11"/>
      <color indexed="10"/>
      <name val="Arial"/>
      <family val="2"/>
      <charset val="204"/>
    </font>
    <font>
      <i/>
      <sz val="11"/>
      <color indexed="8"/>
      <name val="Arial"/>
      <family val="2"/>
      <charset val="204"/>
    </font>
    <font>
      <b/>
      <sz val="11"/>
      <color rgb="FFFF0000"/>
      <name val="Arial"/>
      <family val="2"/>
      <charset val="238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165" fontId="0" fillId="2" borderId="0" xfId="0" applyNumberFormat="1" applyFill="1"/>
    <xf numFmtId="2" fontId="2" fillId="3" borderId="1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2" fontId="2" fillId="3" borderId="2" xfId="0" applyNumberFormat="1" applyFont="1" applyFill="1" applyBorder="1" applyAlignment="1">
      <alignment vertical="top"/>
    </xf>
    <xf numFmtId="2" fontId="2" fillId="3" borderId="3" xfId="0" applyNumberFormat="1" applyFont="1" applyFill="1" applyBorder="1" applyAlignment="1">
      <alignment vertical="top"/>
    </xf>
    <xf numFmtId="2" fontId="2" fillId="3" borderId="4" xfId="0" applyNumberFormat="1" applyFont="1" applyFill="1" applyBorder="1" applyAlignment="1">
      <alignment vertical="top"/>
    </xf>
    <xf numFmtId="2" fontId="4" fillId="0" borderId="5" xfId="0" applyNumberFormat="1" applyFont="1" applyBorder="1" applyAlignment="1">
      <alignment horizontal="left"/>
    </xf>
    <xf numFmtId="2" fontId="5" fillId="0" borderId="5" xfId="0" applyNumberFormat="1" applyFont="1" applyBorder="1"/>
    <xf numFmtId="166" fontId="5" fillId="0" borderId="5" xfId="0" applyNumberFormat="1" applyFont="1" applyBorder="1" applyAlignment="1">
      <alignment horizontal="right"/>
    </xf>
    <xf numFmtId="167" fontId="6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168" fontId="7" fillId="0" borderId="5" xfId="0" applyNumberFormat="1" applyFont="1" applyBorder="1"/>
    <xf numFmtId="2" fontId="4" fillId="0" borderId="6" xfId="0" applyNumberFormat="1" applyFont="1" applyBorder="1"/>
    <xf numFmtId="2" fontId="5" fillId="0" borderId="6" xfId="0" applyNumberFormat="1" applyFont="1" applyBorder="1"/>
    <xf numFmtId="166" fontId="5" fillId="0" borderId="6" xfId="0" applyNumberFormat="1" applyFont="1" applyBorder="1" applyAlignment="1">
      <alignment horizontal="right"/>
    </xf>
    <xf numFmtId="167" fontId="6" fillId="0" borderId="6" xfId="0" applyNumberFormat="1" applyFont="1" applyBorder="1" applyAlignment="1">
      <alignment horizontal="right"/>
    </xf>
    <xf numFmtId="166" fontId="7" fillId="0" borderId="6" xfId="0" applyNumberFormat="1" applyFont="1" applyBorder="1" applyAlignment="1">
      <alignment horizontal="right"/>
    </xf>
    <xf numFmtId="166" fontId="5" fillId="0" borderId="6" xfId="0" applyNumberFormat="1" applyFont="1" applyBorder="1" applyAlignment="1">
      <alignment horizontal="right" vertical="top"/>
    </xf>
    <xf numFmtId="167" fontId="6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4" fontId="6" fillId="0" borderId="6" xfId="0" applyNumberFormat="1" applyFont="1" applyBorder="1" applyAlignment="1">
      <alignment horizontal="right" vertical="top"/>
    </xf>
    <xf numFmtId="2" fontId="8" fillId="0" borderId="6" xfId="0" applyNumberFormat="1" applyFont="1" applyBorder="1"/>
    <xf numFmtId="2" fontId="9" fillId="0" borderId="6" xfId="0" applyNumberFormat="1" applyFont="1" applyBorder="1" applyAlignment="1">
      <alignment vertical="top"/>
    </xf>
    <xf numFmtId="166" fontId="9" fillId="0" borderId="6" xfId="0" applyNumberFormat="1" applyFont="1" applyBorder="1" applyAlignment="1">
      <alignment horizontal="right" vertical="top"/>
    </xf>
    <xf numFmtId="167" fontId="10" fillId="0" borderId="6" xfId="0" applyNumberFormat="1" applyFont="1" applyBorder="1" applyAlignment="1">
      <alignment horizontal="right" vertical="top"/>
    </xf>
    <xf numFmtId="166" fontId="11" fillId="0" borderId="6" xfId="0" applyNumberFormat="1" applyFont="1" applyBorder="1" applyAlignment="1">
      <alignment horizontal="right"/>
    </xf>
    <xf numFmtId="168" fontId="11" fillId="0" borderId="6" xfId="0" applyNumberFormat="1" applyFont="1" applyBorder="1"/>
    <xf numFmtId="2" fontId="12" fillId="0" borderId="6" xfId="0" applyNumberFormat="1" applyFont="1" applyBorder="1"/>
    <xf numFmtId="167" fontId="10" fillId="0" borderId="7" xfId="0" applyNumberFormat="1" applyFont="1" applyBorder="1" applyAlignment="1">
      <alignment horizontal="right" vertical="top"/>
    </xf>
    <xf numFmtId="166" fontId="11" fillId="0" borderId="7" xfId="0" applyNumberFormat="1" applyFont="1" applyBorder="1" applyAlignment="1">
      <alignment horizontal="right"/>
    </xf>
    <xf numFmtId="168" fontId="11" fillId="0" borderId="7" xfId="0" applyNumberFormat="1" applyFont="1" applyBorder="1"/>
    <xf numFmtId="0" fontId="13" fillId="0" borderId="0" xfId="0" applyFont="1"/>
    <xf numFmtId="0" fontId="14" fillId="0" borderId="0" xfId="0" applyFont="1"/>
    <xf numFmtId="0" fontId="14" fillId="0" borderId="8" xfId="0" applyFont="1" applyBorder="1" applyAlignment="1">
      <alignment horizontal="right"/>
    </xf>
    <xf numFmtId="166" fontId="15" fillId="0" borderId="8" xfId="0" applyNumberFormat="1" applyFont="1" applyBorder="1" applyAlignment="1">
      <alignment horizontal="right"/>
    </xf>
    <xf numFmtId="168" fontId="15" fillId="0" borderId="8" xfId="0" applyNumberFormat="1" applyFont="1" applyBorder="1"/>
    <xf numFmtId="16" fontId="0" fillId="0" borderId="0" xfId="0" applyNumberFormat="1"/>
    <xf numFmtId="2" fontId="5" fillId="0" borderId="5" xfId="0" applyNumberFormat="1" applyFont="1" applyBorder="1" applyAlignment="1">
      <alignment vertical="top" wrapText="1"/>
    </xf>
    <xf numFmtId="1" fontId="0" fillId="2" borderId="0" xfId="0" applyNumberFormat="1" applyFill="1" applyAlignment="1">
      <alignment horizontal="left"/>
    </xf>
    <xf numFmtId="2" fontId="2" fillId="3" borderId="2" xfId="0" applyNumberFormat="1" applyFont="1" applyFill="1" applyBorder="1" applyAlignment="1">
      <alignment horizontal="left" vertical="top"/>
    </xf>
    <xf numFmtId="2" fontId="9" fillId="0" borderId="6" xfId="0" applyNumberFormat="1" applyFont="1" applyBorder="1" applyAlignment="1">
      <alignment vertical="top"/>
    </xf>
    <xf numFmtId="2" fontId="9" fillId="0" borderId="6" xfId="0" applyNumberFormat="1" applyFont="1" applyBorder="1" applyAlignment="1">
      <alignment horizontal="left" vertical="top"/>
    </xf>
    <xf numFmtId="2" fontId="9" fillId="0" borderId="6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631542E8-6255-430C-BE79-238B45D20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8C03868C-EE93-4DB4-BE82-8A436D558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01EBDA9A-3B91-4877-8C22-117D98201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30DE18A4-90AD-4AA4-81BB-2A6202FC2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BEAA16EB-8CD3-4903-9F15-473E09E9C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59471897-8014-45DA-AA56-3EB2E71A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54679A65-9762-4DAE-9036-520268662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C0D95B2B-DB1A-4A51-B51F-67E63421E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3788A2EC-26E3-4D56-91E0-B83230569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37E07FEF-C4F7-430B-9E37-F7F7B842A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9C795931-5704-4089-A902-E604C2840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07B4-68E8-4279-8232-11A28C927167}">
  <dimension ref="A1:J34"/>
  <sheetViews>
    <sheetView tabSelected="1" view="pageBreakPreview" topLeftCell="A16" zoomScaleNormal="100" zoomScaleSheetLayoutView="100" workbookViewId="0">
      <selection activeCell="H21" sqref="H21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35</v>
      </c>
      <c r="F4" s="3"/>
      <c r="I4" s="3" t="s">
        <v>3</v>
      </c>
      <c r="J4" s="6">
        <v>45992</v>
      </c>
    </row>
    <row r="5" spans="1:10" x14ac:dyDescent="0.25">
      <c r="B5" s="3"/>
      <c r="C5" s="4"/>
      <c r="F5" s="3"/>
      <c r="I5" s="3" t="s">
        <v>4</v>
      </c>
      <c r="J5" s="6">
        <v>46022</v>
      </c>
    </row>
    <row r="6" spans="1:10" x14ac:dyDescent="0.25">
      <c r="A6" s="7" t="s">
        <v>5</v>
      </c>
      <c r="B6" s="8"/>
      <c r="E6" t="s">
        <v>6</v>
      </c>
      <c r="F6" s="48">
        <v>2512027284</v>
      </c>
      <c r="G6" s="48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49" t="s">
        <v>8</v>
      </c>
      <c r="C8" s="49"/>
      <c r="D8" s="49"/>
      <c r="E8" s="49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47" t="s">
        <v>15</v>
      </c>
      <c r="C9" s="47"/>
      <c r="D9" s="47"/>
      <c r="E9" s="47"/>
      <c r="F9" s="17" t="s">
        <v>18</v>
      </c>
      <c r="G9" s="18">
        <v>413</v>
      </c>
      <c r="H9" s="19">
        <v>5</v>
      </c>
      <c r="I9" s="20">
        <f t="shared" ref="I9:I20" si="0">G9*H9</f>
        <v>2065</v>
      </c>
      <c r="J9" s="21"/>
    </row>
    <row r="10" spans="1:10" ht="28.95" customHeight="1" x14ac:dyDescent="0.3">
      <c r="A10" s="22" t="s">
        <v>16</v>
      </c>
      <c r="B10" s="47" t="s">
        <v>28</v>
      </c>
      <c r="C10" s="47"/>
      <c r="D10" s="47"/>
      <c r="E10" s="47"/>
      <c r="F10" s="23" t="s">
        <v>18</v>
      </c>
      <c r="G10" s="24">
        <v>450</v>
      </c>
      <c r="H10" s="19">
        <v>5</v>
      </c>
      <c r="I10" s="20">
        <f t="shared" si="0"/>
        <v>2250</v>
      </c>
      <c r="J10" s="21"/>
    </row>
    <row r="11" spans="1:10" ht="28.95" customHeight="1" x14ac:dyDescent="0.3">
      <c r="A11" s="22" t="s">
        <v>17</v>
      </c>
      <c r="B11" s="47" t="s">
        <v>25</v>
      </c>
      <c r="C11" s="47"/>
      <c r="D11" s="47"/>
      <c r="E11" s="47"/>
      <c r="F11" s="23" t="s">
        <v>18</v>
      </c>
      <c r="G11" s="24">
        <v>130</v>
      </c>
      <c r="H11" s="25">
        <v>31</v>
      </c>
      <c r="I11" s="26">
        <f t="shared" si="0"/>
        <v>4030</v>
      </c>
      <c r="J11" s="21"/>
    </row>
    <row r="12" spans="1:10" ht="30" customHeight="1" x14ac:dyDescent="0.3">
      <c r="A12" s="22" t="s">
        <v>19</v>
      </c>
      <c r="B12" s="47" t="s">
        <v>27</v>
      </c>
      <c r="C12" s="47"/>
      <c r="D12" s="47"/>
      <c r="E12" s="47"/>
      <c r="F12" s="23" t="s">
        <v>18</v>
      </c>
      <c r="G12" s="27">
        <v>160</v>
      </c>
      <c r="H12" s="28">
        <v>0</v>
      </c>
      <c r="I12" s="26">
        <f t="shared" si="0"/>
        <v>0</v>
      </c>
      <c r="J12" s="21"/>
    </row>
    <row r="13" spans="1:10" ht="30" customHeight="1" x14ac:dyDescent="0.3">
      <c r="A13" s="22" t="s">
        <v>20</v>
      </c>
      <c r="B13" s="47" t="s">
        <v>26</v>
      </c>
      <c r="C13" s="47"/>
      <c r="D13" s="47"/>
      <c r="E13" s="47"/>
      <c r="F13" s="23" t="s">
        <v>18</v>
      </c>
      <c r="G13" s="27">
        <v>285</v>
      </c>
      <c r="H13" s="28">
        <v>0</v>
      </c>
      <c r="I13" s="26">
        <f t="shared" si="0"/>
        <v>0</v>
      </c>
      <c r="J13" s="21"/>
    </row>
    <row r="14" spans="1:10" ht="30" customHeight="1" x14ac:dyDescent="0.3">
      <c r="A14" s="22" t="s">
        <v>21</v>
      </c>
      <c r="B14" s="47" t="s">
        <v>29</v>
      </c>
      <c r="C14" s="47"/>
      <c r="D14" s="47"/>
      <c r="E14" s="47"/>
      <c r="F14" s="23" t="s">
        <v>18</v>
      </c>
      <c r="G14" s="27">
        <v>150</v>
      </c>
      <c r="H14" s="28">
        <v>13</v>
      </c>
      <c r="I14" s="26">
        <f t="shared" si="0"/>
        <v>1950</v>
      </c>
      <c r="J14" s="21"/>
    </row>
    <row r="15" spans="1:10" ht="30" customHeight="1" x14ac:dyDescent="0.3">
      <c r="A15" s="22" t="s">
        <v>38</v>
      </c>
      <c r="B15" s="47" t="s">
        <v>30</v>
      </c>
      <c r="C15" s="47"/>
      <c r="D15" s="47"/>
      <c r="E15" s="47"/>
      <c r="F15" s="23" t="s">
        <v>18</v>
      </c>
      <c r="G15" s="29">
        <v>200</v>
      </c>
      <c r="H15" s="30">
        <v>0</v>
      </c>
      <c r="I15" s="20">
        <f t="shared" si="0"/>
        <v>0</v>
      </c>
      <c r="J15" s="21"/>
    </row>
    <row r="16" spans="1:10" ht="30" customHeight="1" x14ac:dyDescent="0.3">
      <c r="A16" s="22" t="s">
        <v>39</v>
      </c>
      <c r="B16" s="47" t="s">
        <v>31</v>
      </c>
      <c r="C16" s="47"/>
      <c r="D16" s="47"/>
      <c r="E16" s="47"/>
      <c r="F16" s="23" t="s">
        <v>18</v>
      </c>
      <c r="G16" s="27">
        <v>300</v>
      </c>
      <c r="H16" s="30">
        <v>0</v>
      </c>
      <c r="I16" s="26">
        <f t="shared" si="0"/>
        <v>0</v>
      </c>
      <c r="J16" s="21"/>
    </row>
    <row r="17" spans="1:10" ht="30" customHeight="1" x14ac:dyDescent="0.3">
      <c r="A17" s="31" t="s">
        <v>40</v>
      </c>
      <c r="B17" s="47" t="s">
        <v>32</v>
      </c>
      <c r="C17" s="47"/>
      <c r="D17" s="47"/>
      <c r="E17" s="47"/>
      <c r="F17" s="23" t="s">
        <v>18</v>
      </c>
      <c r="G17" s="33">
        <v>120</v>
      </c>
      <c r="H17" s="30">
        <v>26</v>
      </c>
      <c r="I17" s="35">
        <f t="shared" si="0"/>
        <v>3120</v>
      </c>
      <c r="J17" s="36"/>
    </row>
    <row r="18" spans="1:10" ht="30" customHeight="1" x14ac:dyDescent="0.3">
      <c r="A18" s="31" t="s">
        <v>41</v>
      </c>
      <c r="B18" s="47" t="s">
        <v>33</v>
      </c>
      <c r="C18" s="47"/>
      <c r="D18" s="47"/>
      <c r="E18" s="47"/>
      <c r="F18" s="23" t="s">
        <v>18</v>
      </c>
      <c r="G18" s="33">
        <v>150</v>
      </c>
      <c r="H18" s="30">
        <v>1</v>
      </c>
      <c r="I18" s="35">
        <f t="shared" si="0"/>
        <v>150</v>
      </c>
      <c r="J18" s="36"/>
    </row>
    <row r="19" spans="1:10" ht="30" customHeight="1" x14ac:dyDescent="0.3">
      <c r="A19" s="31" t="s">
        <v>42</v>
      </c>
      <c r="B19" s="47" t="s">
        <v>34</v>
      </c>
      <c r="C19" s="47"/>
      <c r="D19" s="47"/>
      <c r="E19" s="47"/>
      <c r="F19" s="23" t="s">
        <v>18</v>
      </c>
      <c r="G19" s="33">
        <v>210</v>
      </c>
      <c r="H19" s="30">
        <v>0</v>
      </c>
      <c r="I19" s="35">
        <f t="shared" si="0"/>
        <v>0</v>
      </c>
      <c r="J19" s="36"/>
    </row>
    <row r="20" spans="1:10" ht="30" customHeight="1" x14ac:dyDescent="0.3">
      <c r="A20" s="31" t="s">
        <v>43</v>
      </c>
      <c r="B20" s="52" t="s">
        <v>36</v>
      </c>
      <c r="C20" s="52"/>
      <c r="D20" s="52"/>
      <c r="E20" s="52"/>
      <c r="F20" s="23" t="s">
        <v>37</v>
      </c>
      <c r="G20" s="33">
        <v>45</v>
      </c>
      <c r="H20" s="30">
        <v>72</v>
      </c>
      <c r="I20" s="35">
        <f t="shared" si="0"/>
        <v>3240</v>
      </c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0"/>
      <c r="C23" s="50"/>
      <c r="D23" s="50"/>
      <c r="E23" s="50"/>
      <c r="F23" s="32"/>
      <c r="G23" s="33"/>
      <c r="H23" s="34"/>
      <c r="I23" s="35"/>
      <c r="J23" s="36"/>
    </row>
    <row r="24" spans="1:10" ht="30" customHeight="1" x14ac:dyDescent="0.3">
      <c r="A24" s="31"/>
      <c r="B24" s="50"/>
      <c r="C24" s="50"/>
      <c r="D24" s="50"/>
      <c r="E24" s="50"/>
      <c r="F24" s="32"/>
      <c r="G24" s="33"/>
      <c r="H24" s="34"/>
      <c r="I24" s="35"/>
      <c r="J24" s="36"/>
    </row>
    <row r="25" spans="1:10" ht="30" customHeight="1" x14ac:dyDescent="0.3">
      <c r="A25" s="31"/>
      <c r="B25" s="50"/>
      <c r="C25" s="50"/>
      <c r="D25" s="50"/>
      <c r="E25" s="50"/>
      <c r="F25" s="32"/>
      <c r="G25" s="33"/>
      <c r="H25" s="34"/>
      <c r="I25" s="35"/>
      <c r="J25" s="36"/>
    </row>
    <row r="26" spans="1:10" ht="30" customHeight="1" x14ac:dyDescent="0.3">
      <c r="A26" s="31"/>
      <c r="B26" s="51"/>
      <c r="C26" s="51"/>
      <c r="D26" s="51"/>
      <c r="E26" s="51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1"/>
      <c r="C27" s="51"/>
      <c r="D27" s="51"/>
      <c r="E27" s="51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22</v>
      </c>
      <c r="I28" s="44">
        <f>SUM(I9:I27)</f>
        <v>16805</v>
      </c>
      <c r="J28" s="45">
        <f>I28*kurs</f>
        <v>0</v>
      </c>
    </row>
    <row r="33" spans="2:10" x14ac:dyDescent="0.25">
      <c r="B33" t="s">
        <v>23</v>
      </c>
      <c r="J33" s="46"/>
    </row>
    <row r="34" spans="2:10" x14ac:dyDescent="0.25">
      <c r="B34" t="s">
        <v>24</v>
      </c>
      <c r="J34" s="46"/>
    </row>
  </sheetData>
  <mergeCells count="21"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F6:G6"/>
    <mergeCell ref="B8:E8"/>
    <mergeCell ref="B9:E9"/>
    <mergeCell ref="B10:E10"/>
    <mergeCell ref="B11:E11"/>
    <mergeCell ref="B12:E12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031F-548D-4F15-A635-E41F9C15AB30}">
  <dimension ref="A1:J34"/>
  <sheetViews>
    <sheetView view="pageBreakPreview" zoomScaleNormal="100" zoomScaleSheetLayoutView="100" workbookViewId="0">
      <selection activeCell="B21" sqref="B21:E21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35</v>
      </c>
      <c r="F4" s="3"/>
      <c r="I4" s="3" t="s">
        <v>3</v>
      </c>
      <c r="J4" s="6">
        <v>45962</v>
      </c>
    </row>
    <row r="5" spans="1:10" x14ac:dyDescent="0.25">
      <c r="B5" s="3"/>
      <c r="C5" s="4"/>
      <c r="F5" s="3"/>
      <c r="I5" s="3" t="s">
        <v>4</v>
      </c>
      <c r="J5" s="6">
        <v>45991</v>
      </c>
    </row>
    <row r="6" spans="1:10" x14ac:dyDescent="0.25">
      <c r="A6" s="7" t="s">
        <v>5</v>
      </c>
      <c r="B6" s="8"/>
      <c r="E6" t="s">
        <v>6</v>
      </c>
      <c r="F6" s="48">
        <v>2511025421</v>
      </c>
      <c r="G6" s="48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49" t="s">
        <v>8</v>
      </c>
      <c r="C8" s="49"/>
      <c r="D8" s="49"/>
      <c r="E8" s="49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47" t="s">
        <v>15</v>
      </c>
      <c r="C9" s="47"/>
      <c r="D9" s="47"/>
      <c r="E9" s="47"/>
      <c r="F9" s="17" t="s">
        <v>18</v>
      </c>
      <c r="G9" s="18">
        <v>413</v>
      </c>
      <c r="H9" s="19">
        <v>7</v>
      </c>
      <c r="I9" s="20">
        <f t="shared" ref="I9:I20" si="0">G9*H9</f>
        <v>2891</v>
      </c>
      <c r="J9" s="21"/>
    </row>
    <row r="10" spans="1:10" ht="28.95" customHeight="1" x14ac:dyDescent="0.3">
      <c r="A10" s="22" t="s">
        <v>16</v>
      </c>
      <c r="B10" s="47" t="s">
        <v>28</v>
      </c>
      <c r="C10" s="47"/>
      <c r="D10" s="47"/>
      <c r="E10" s="47"/>
      <c r="F10" s="23" t="s">
        <v>18</v>
      </c>
      <c r="G10" s="24">
        <v>450</v>
      </c>
      <c r="H10" s="19">
        <v>7</v>
      </c>
      <c r="I10" s="20">
        <f t="shared" si="0"/>
        <v>3150</v>
      </c>
      <c r="J10" s="21"/>
    </row>
    <row r="11" spans="1:10" ht="28.95" customHeight="1" x14ac:dyDescent="0.3">
      <c r="A11" s="22" t="s">
        <v>17</v>
      </c>
      <c r="B11" s="47" t="s">
        <v>25</v>
      </c>
      <c r="C11" s="47"/>
      <c r="D11" s="47"/>
      <c r="E11" s="47"/>
      <c r="F11" s="23" t="s">
        <v>18</v>
      </c>
      <c r="G11" s="24">
        <v>130</v>
      </c>
      <c r="H11" s="25">
        <v>21</v>
      </c>
      <c r="I11" s="26">
        <f t="shared" si="0"/>
        <v>2730</v>
      </c>
      <c r="J11" s="21"/>
    </row>
    <row r="12" spans="1:10" ht="30" customHeight="1" x14ac:dyDescent="0.3">
      <c r="A12" s="22" t="s">
        <v>19</v>
      </c>
      <c r="B12" s="47" t="s">
        <v>27</v>
      </c>
      <c r="C12" s="47"/>
      <c r="D12" s="47"/>
      <c r="E12" s="47"/>
      <c r="F12" s="23" t="s">
        <v>18</v>
      </c>
      <c r="G12" s="27">
        <v>160</v>
      </c>
      <c r="H12" s="28">
        <v>0</v>
      </c>
      <c r="I12" s="26">
        <f t="shared" si="0"/>
        <v>0</v>
      </c>
      <c r="J12" s="21"/>
    </row>
    <row r="13" spans="1:10" ht="30" customHeight="1" x14ac:dyDescent="0.3">
      <c r="A13" s="22" t="s">
        <v>20</v>
      </c>
      <c r="B13" s="47" t="s">
        <v>26</v>
      </c>
      <c r="C13" s="47"/>
      <c r="D13" s="47"/>
      <c r="E13" s="47"/>
      <c r="F13" s="23" t="s">
        <v>18</v>
      </c>
      <c r="G13" s="27">
        <v>285</v>
      </c>
      <c r="H13" s="28">
        <v>0</v>
      </c>
      <c r="I13" s="26">
        <f t="shared" si="0"/>
        <v>0</v>
      </c>
      <c r="J13" s="21"/>
    </row>
    <row r="14" spans="1:10" ht="30" customHeight="1" x14ac:dyDescent="0.3">
      <c r="A14" s="22" t="s">
        <v>21</v>
      </c>
      <c r="B14" s="47" t="s">
        <v>29</v>
      </c>
      <c r="C14" s="47"/>
      <c r="D14" s="47"/>
      <c r="E14" s="47"/>
      <c r="F14" s="23" t="s">
        <v>18</v>
      </c>
      <c r="G14" s="27">
        <v>150</v>
      </c>
      <c r="H14" s="28">
        <v>11</v>
      </c>
      <c r="I14" s="26">
        <f t="shared" si="0"/>
        <v>1650</v>
      </c>
      <c r="J14" s="21"/>
    </row>
    <row r="15" spans="1:10" ht="30" customHeight="1" x14ac:dyDescent="0.3">
      <c r="A15" s="22" t="s">
        <v>38</v>
      </c>
      <c r="B15" s="47" t="s">
        <v>30</v>
      </c>
      <c r="C15" s="47"/>
      <c r="D15" s="47"/>
      <c r="E15" s="47"/>
      <c r="F15" s="23" t="s">
        <v>18</v>
      </c>
      <c r="G15" s="29">
        <v>200</v>
      </c>
      <c r="H15" s="30">
        <v>0</v>
      </c>
      <c r="I15" s="20">
        <f t="shared" si="0"/>
        <v>0</v>
      </c>
      <c r="J15" s="21"/>
    </row>
    <row r="16" spans="1:10" ht="30" customHeight="1" x14ac:dyDescent="0.3">
      <c r="A16" s="22" t="s">
        <v>39</v>
      </c>
      <c r="B16" s="47" t="s">
        <v>31</v>
      </c>
      <c r="C16" s="47"/>
      <c r="D16" s="47"/>
      <c r="E16" s="47"/>
      <c r="F16" s="23" t="s">
        <v>18</v>
      </c>
      <c r="G16" s="27">
        <v>300</v>
      </c>
      <c r="H16" s="30">
        <v>0</v>
      </c>
      <c r="I16" s="26">
        <f t="shared" si="0"/>
        <v>0</v>
      </c>
      <c r="J16" s="21"/>
    </row>
    <row r="17" spans="1:10" ht="30" customHeight="1" x14ac:dyDescent="0.3">
      <c r="A17" s="31" t="s">
        <v>40</v>
      </c>
      <c r="B17" s="47" t="s">
        <v>32</v>
      </c>
      <c r="C17" s="47"/>
      <c r="D17" s="47"/>
      <c r="E17" s="47"/>
      <c r="F17" s="23" t="s">
        <v>18</v>
      </c>
      <c r="G17" s="33">
        <v>120</v>
      </c>
      <c r="H17" s="30">
        <v>20</v>
      </c>
      <c r="I17" s="35">
        <f t="shared" si="0"/>
        <v>2400</v>
      </c>
      <c r="J17" s="36"/>
    </row>
    <row r="18" spans="1:10" ht="30" customHeight="1" x14ac:dyDescent="0.3">
      <c r="A18" s="31" t="s">
        <v>41</v>
      </c>
      <c r="B18" s="47" t="s">
        <v>33</v>
      </c>
      <c r="C18" s="47"/>
      <c r="D18" s="47"/>
      <c r="E18" s="47"/>
      <c r="F18" s="23" t="s">
        <v>18</v>
      </c>
      <c r="G18" s="33">
        <v>150</v>
      </c>
      <c r="H18" s="30">
        <v>4</v>
      </c>
      <c r="I18" s="35">
        <f t="shared" si="0"/>
        <v>600</v>
      </c>
      <c r="J18" s="36"/>
    </row>
    <row r="19" spans="1:10" ht="30" customHeight="1" x14ac:dyDescent="0.3">
      <c r="A19" s="31" t="s">
        <v>42</v>
      </c>
      <c r="B19" s="47" t="s">
        <v>34</v>
      </c>
      <c r="C19" s="47"/>
      <c r="D19" s="47"/>
      <c r="E19" s="47"/>
      <c r="F19" s="23" t="s">
        <v>18</v>
      </c>
      <c r="G19" s="33">
        <v>210</v>
      </c>
      <c r="H19" s="30">
        <v>0</v>
      </c>
      <c r="I19" s="35">
        <f t="shared" si="0"/>
        <v>0</v>
      </c>
      <c r="J19" s="36"/>
    </row>
    <row r="20" spans="1:10" ht="30" customHeight="1" x14ac:dyDescent="0.3">
      <c r="A20" s="31" t="s">
        <v>43</v>
      </c>
      <c r="B20" s="52" t="s">
        <v>36</v>
      </c>
      <c r="C20" s="52"/>
      <c r="D20" s="52"/>
      <c r="E20" s="52"/>
      <c r="F20" s="23" t="s">
        <v>37</v>
      </c>
      <c r="G20" s="33">
        <v>45</v>
      </c>
      <c r="H20" s="30">
        <v>56</v>
      </c>
      <c r="I20" s="35">
        <f t="shared" si="0"/>
        <v>2520</v>
      </c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0"/>
      <c r="C23" s="50"/>
      <c r="D23" s="50"/>
      <c r="E23" s="50"/>
      <c r="F23" s="32"/>
      <c r="G23" s="33"/>
      <c r="H23" s="34"/>
      <c r="I23" s="35"/>
      <c r="J23" s="36"/>
    </row>
    <row r="24" spans="1:10" ht="30" customHeight="1" x14ac:dyDescent="0.3">
      <c r="A24" s="31"/>
      <c r="B24" s="50"/>
      <c r="C24" s="50"/>
      <c r="D24" s="50"/>
      <c r="E24" s="50"/>
      <c r="F24" s="32"/>
      <c r="G24" s="33"/>
      <c r="H24" s="34"/>
      <c r="I24" s="35"/>
      <c r="J24" s="36"/>
    </row>
    <row r="25" spans="1:10" ht="30" customHeight="1" x14ac:dyDescent="0.3">
      <c r="A25" s="31"/>
      <c r="B25" s="50"/>
      <c r="C25" s="50"/>
      <c r="D25" s="50"/>
      <c r="E25" s="50"/>
      <c r="F25" s="32"/>
      <c r="G25" s="33"/>
      <c r="H25" s="34"/>
      <c r="I25" s="35"/>
      <c r="J25" s="36"/>
    </row>
    <row r="26" spans="1:10" ht="30" customHeight="1" x14ac:dyDescent="0.3">
      <c r="A26" s="31"/>
      <c r="B26" s="51"/>
      <c r="C26" s="51"/>
      <c r="D26" s="51"/>
      <c r="E26" s="51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1"/>
      <c r="C27" s="51"/>
      <c r="D27" s="51"/>
      <c r="E27" s="51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22</v>
      </c>
      <c r="I28" s="44">
        <f>SUM(I9:I27)</f>
        <v>15941</v>
      </c>
      <c r="J28" s="45">
        <f>I28*kurs</f>
        <v>0</v>
      </c>
    </row>
    <row r="33" spans="2:10" x14ac:dyDescent="0.25">
      <c r="B33" t="s">
        <v>23</v>
      </c>
      <c r="J33" s="46"/>
    </row>
    <row r="34" spans="2:10" x14ac:dyDescent="0.25">
      <c r="B34" t="s">
        <v>24</v>
      </c>
      <c r="J34" s="46"/>
    </row>
  </sheetData>
  <mergeCells count="21"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DF17-FE05-496B-81BA-5DB31D8B15BB}">
  <dimension ref="A1:J34"/>
  <sheetViews>
    <sheetView view="pageBreakPreview" topLeftCell="A3" zoomScaleNormal="100" zoomScaleSheetLayoutView="100" workbookViewId="0">
      <selection activeCell="I34" sqref="I34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35</v>
      </c>
      <c r="F4" s="3"/>
      <c r="I4" s="3" t="s">
        <v>3</v>
      </c>
      <c r="J4" s="6" t="s">
        <v>48</v>
      </c>
    </row>
    <row r="5" spans="1:10" x14ac:dyDescent="0.25">
      <c r="B5" s="3"/>
      <c r="C5" s="4"/>
      <c r="F5" s="3"/>
      <c r="I5" s="3" t="s">
        <v>4</v>
      </c>
      <c r="J5" s="6">
        <v>45961</v>
      </c>
    </row>
    <row r="6" spans="1:10" x14ac:dyDescent="0.25">
      <c r="A6" s="7" t="s">
        <v>5</v>
      </c>
      <c r="B6" s="8"/>
      <c r="E6" t="s">
        <v>6</v>
      </c>
      <c r="F6" s="48"/>
      <c r="G6" s="48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49" t="s">
        <v>8</v>
      </c>
      <c r="C8" s="49"/>
      <c r="D8" s="49"/>
      <c r="E8" s="49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47" t="s">
        <v>15</v>
      </c>
      <c r="C9" s="47"/>
      <c r="D9" s="47"/>
      <c r="E9" s="47"/>
      <c r="F9" s="17" t="s">
        <v>18</v>
      </c>
      <c r="G9" s="18">
        <v>413</v>
      </c>
      <c r="H9" s="19">
        <v>7</v>
      </c>
      <c r="I9" s="20">
        <f t="shared" ref="I9:I20" si="0">G9*H9</f>
        <v>2891</v>
      </c>
      <c r="J9" s="21"/>
    </row>
    <row r="10" spans="1:10" ht="28.95" customHeight="1" x14ac:dyDescent="0.3">
      <c r="A10" s="22" t="s">
        <v>16</v>
      </c>
      <c r="B10" s="47" t="s">
        <v>28</v>
      </c>
      <c r="C10" s="47"/>
      <c r="D10" s="47"/>
      <c r="E10" s="47"/>
      <c r="F10" s="23" t="s">
        <v>18</v>
      </c>
      <c r="G10" s="24">
        <v>450</v>
      </c>
      <c r="H10" s="19">
        <v>7</v>
      </c>
      <c r="I10" s="20">
        <f t="shared" si="0"/>
        <v>3150</v>
      </c>
      <c r="J10" s="21"/>
    </row>
    <row r="11" spans="1:10" ht="28.95" customHeight="1" x14ac:dyDescent="0.3">
      <c r="A11" s="22" t="s">
        <v>17</v>
      </c>
      <c r="B11" s="47" t="s">
        <v>25</v>
      </c>
      <c r="C11" s="47"/>
      <c r="D11" s="47"/>
      <c r="E11" s="47"/>
      <c r="F11" s="23" t="s">
        <v>18</v>
      </c>
      <c r="G11" s="24">
        <v>130</v>
      </c>
      <c r="H11" s="25">
        <v>22</v>
      </c>
      <c r="I11" s="26">
        <f t="shared" si="0"/>
        <v>2860</v>
      </c>
      <c r="J11" s="21"/>
    </row>
    <row r="12" spans="1:10" ht="30" customHeight="1" x14ac:dyDescent="0.3">
      <c r="A12" s="22" t="s">
        <v>19</v>
      </c>
      <c r="B12" s="47" t="s">
        <v>27</v>
      </c>
      <c r="C12" s="47"/>
      <c r="D12" s="47"/>
      <c r="E12" s="47"/>
      <c r="F12" s="23" t="s">
        <v>18</v>
      </c>
      <c r="G12" s="27">
        <v>160</v>
      </c>
      <c r="H12" s="28">
        <v>0</v>
      </c>
      <c r="I12" s="26">
        <f t="shared" si="0"/>
        <v>0</v>
      </c>
      <c r="J12" s="21"/>
    </row>
    <row r="13" spans="1:10" ht="30" customHeight="1" x14ac:dyDescent="0.3">
      <c r="A13" s="22" t="s">
        <v>20</v>
      </c>
      <c r="B13" s="47" t="s">
        <v>26</v>
      </c>
      <c r="C13" s="47"/>
      <c r="D13" s="47"/>
      <c r="E13" s="47"/>
      <c r="F13" s="23" t="s">
        <v>18</v>
      </c>
      <c r="G13" s="27">
        <v>285</v>
      </c>
      <c r="H13" s="28">
        <v>0</v>
      </c>
      <c r="I13" s="26">
        <f t="shared" si="0"/>
        <v>0</v>
      </c>
      <c r="J13" s="21"/>
    </row>
    <row r="14" spans="1:10" ht="30" customHeight="1" x14ac:dyDescent="0.3">
      <c r="A14" s="22" t="s">
        <v>21</v>
      </c>
      <c r="B14" s="47" t="s">
        <v>29</v>
      </c>
      <c r="C14" s="47"/>
      <c r="D14" s="47"/>
      <c r="E14" s="47"/>
      <c r="F14" s="23" t="s">
        <v>18</v>
      </c>
      <c r="G14" s="27">
        <v>150</v>
      </c>
      <c r="H14" s="28">
        <v>11</v>
      </c>
      <c r="I14" s="26">
        <f t="shared" si="0"/>
        <v>1650</v>
      </c>
      <c r="J14" s="21"/>
    </row>
    <row r="15" spans="1:10" ht="30" customHeight="1" x14ac:dyDescent="0.3">
      <c r="A15" s="22" t="s">
        <v>38</v>
      </c>
      <c r="B15" s="47" t="s">
        <v>30</v>
      </c>
      <c r="C15" s="47"/>
      <c r="D15" s="47"/>
      <c r="E15" s="47"/>
      <c r="F15" s="23" t="s">
        <v>18</v>
      </c>
      <c r="G15" s="29">
        <v>200</v>
      </c>
      <c r="H15" s="30">
        <v>0</v>
      </c>
      <c r="I15" s="20">
        <f t="shared" si="0"/>
        <v>0</v>
      </c>
      <c r="J15" s="21"/>
    </row>
    <row r="16" spans="1:10" ht="30" customHeight="1" x14ac:dyDescent="0.3">
      <c r="A16" s="22" t="s">
        <v>39</v>
      </c>
      <c r="B16" s="47" t="s">
        <v>31</v>
      </c>
      <c r="C16" s="47"/>
      <c r="D16" s="47"/>
      <c r="E16" s="47"/>
      <c r="F16" s="23" t="s">
        <v>18</v>
      </c>
      <c r="G16" s="27">
        <v>300</v>
      </c>
      <c r="H16" s="30">
        <v>0</v>
      </c>
      <c r="I16" s="26">
        <f t="shared" si="0"/>
        <v>0</v>
      </c>
      <c r="J16" s="21"/>
    </row>
    <row r="17" spans="1:10" ht="30" customHeight="1" x14ac:dyDescent="0.3">
      <c r="A17" s="31" t="s">
        <v>40</v>
      </c>
      <c r="B17" s="47" t="s">
        <v>32</v>
      </c>
      <c r="C17" s="47"/>
      <c r="D17" s="47"/>
      <c r="E17" s="47"/>
      <c r="F17" s="23" t="s">
        <v>18</v>
      </c>
      <c r="G17" s="33">
        <v>120</v>
      </c>
      <c r="H17" s="30">
        <v>23</v>
      </c>
      <c r="I17" s="35">
        <f t="shared" si="0"/>
        <v>2760</v>
      </c>
      <c r="J17" s="36"/>
    </row>
    <row r="18" spans="1:10" ht="30" customHeight="1" x14ac:dyDescent="0.3">
      <c r="A18" s="31" t="s">
        <v>41</v>
      </c>
      <c r="B18" s="47" t="s">
        <v>33</v>
      </c>
      <c r="C18" s="47"/>
      <c r="D18" s="47"/>
      <c r="E18" s="47"/>
      <c r="F18" s="23" t="s">
        <v>18</v>
      </c>
      <c r="G18" s="33">
        <v>150</v>
      </c>
      <c r="H18" s="30">
        <v>0</v>
      </c>
      <c r="I18" s="35">
        <f t="shared" si="0"/>
        <v>0</v>
      </c>
      <c r="J18" s="36"/>
    </row>
    <row r="19" spans="1:10" ht="30" customHeight="1" x14ac:dyDescent="0.3">
      <c r="A19" s="31" t="s">
        <v>42</v>
      </c>
      <c r="B19" s="47" t="s">
        <v>34</v>
      </c>
      <c r="C19" s="47"/>
      <c r="D19" s="47"/>
      <c r="E19" s="47"/>
      <c r="F19" s="23" t="s">
        <v>18</v>
      </c>
      <c r="G19" s="33">
        <v>210</v>
      </c>
      <c r="H19" s="30">
        <v>0</v>
      </c>
      <c r="I19" s="35">
        <f t="shared" si="0"/>
        <v>0</v>
      </c>
      <c r="J19" s="36"/>
    </row>
    <row r="20" spans="1:10" ht="30" customHeight="1" x14ac:dyDescent="0.3">
      <c r="A20" s="31" t="s">
        <v>43</v>
      </c>
      <c r="B20" s="52" t="s">
        <v>36</v>
      </c>
      <c r="C20" s="52"/>
      <c r="D20" s="52"/>
      <c r="E20" s="52"/>
      <c r="F20" s="23" t="s">
        <v>37</v>
      </c>
      <c r="G20" s="33">
        <v>45</v>
      </c>
      <c r="H20" s="30">
        <v>55</v>
      </c>
      <c r="I20" s="35">
        <f t="shared" si="0"/>
        <v>2475</v>
      </c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0"/>
      <c r="C23" s="50"/>
      <c r="D23" s="50"/>
      <c r="E23" s="50"/>
      <c r="F23" s="32"/>
      <c r="G23" s="33"/>
      <c r="H23" s="34"/>
      <c r="I23" s="35"/>
      <c r="J23" s="36"/>
    </row>
    <row r="24" spans="1:10" ht="30" customHeight="1" x14ac:dyDescent="0.3">
      <c r="A24" s="31"/>
      <c r="B24" s="50"/>
      <c r="C24" s="50"/>
      <c r="D24" s="50"/>
      <c r="E24" s="50"/>
      <c r="F24" s="32"/>
      <c r="G24" s="33"/>
      <c r="H24" s="34"/>
      <c r="I24" s="35"/>
      <c r="J24" s="36"/>
    </row>
    <row r="25" spans="1:10" ht="30" customHeight="1" x14ac:dyDescent="0.3">
      <c r="A25" s="31"/>
      <c r="B25" s="50"/>
      <c r="C25" s="50"/>
      <c r="D25" s="50"/>
      <c r="E25" s="50"/>
      <c r="F25" s="32"/>
      <c r="G25" s="33"/>
      <c r="H25" s="34"/>
      <c r="I25" s="35"/>
      <c r="J25" s="36"/>
    </row>
    <row r="26" spans="1:10" ht="30" customHeight="1" x14ac:dyDescent="0.3">
      <c r="A26" s="31"/>
      <c r="B26" s="51"/>
      <c r="C26" s="51"/>
      <c r="D26" s="51"/>
      <c r="E26" s="51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1"/>
      <c r="C27" s="51"/>
      <c r="D27" s="51"/>
      <c r="E27" s="51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22</v>
      </c>
      <c r="I28" s="44">
        <f>SUM(I9:I27)</f>
        <v>15786</v>
      </c>
      <c r="J28" s="45">
        <f>I28*kurs</f>
        <v>0</v>
      </c>
    </row>
    <row r="33" spans="2:10" x14ac:dyDescent="0.25">
      <c r="B33" t="s">
        <v>23</v>
      </c>
      <c r="J33" s="46"/>
    </row>
    <row r="34" spans="2:10" x14ac:dyDescent="0.25">
      <c r="B34" t="s">
        <v>24</v>
      </c>
      <c r="J34" s="46"/>
    </row>
  </sheetData>
  <mergeCells count="21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6036-02EE-4903-925F-6452617EF91B}">
  <dimension ref="A1:J34"/>
  <sheetViews>
    <sheetView view="pageBreakPreview" topLeftCell="A7" zoomScaleNormal="100" zoomScaleSheetLayoutView="100" workbookViewId="0">
      <selection activeCell="B18" sqref="B18:E18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35</v>
      </c>
      <c r="F4" s="3"/>
      <c r="I4" s="3" t="s">
        <v>3</v>
      </c>
      <c r="J4" s="6" t="s">
        <v>47</v>
      </c>
    </row>
    <row r="5" spans="1:10" x14ac:dyDescent="0.25">
      <c r="B5" s="3"/>
      <c r="C5" s="4"/>
      <c r="F5" s="3"/>
      <c r="I5" s="3" t="s">
        <v>4</v>
      </c>
      <c r="J5" s="6">
        <v>45899</v>
      </c>
    </row>
    <row r="6" spans="1:10" x14ac:dyDescent="0.25">
      <c r="A6" s="7" t="s">
        <v>5</v>
      </c>
      <c r="B6" s="8"/>
      <c r="E6" t="s">
        <v>6</v>
      </c>
      <c r="F6" s="48"/>
      <c r="G6" s="48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49" t="s">
        <v>8</v>
      </c>
      <c r="C8" s="49"/>
      <c r="D8" s="49"/>
      <c r="E8" s="49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47" t="s">
        <v>15</v>
      </c>
      <c r="C9" s="47"/>
      <c r="D9" s="47"/>
      <c r="E9" s="47"/>
      <c r="F9" s="17" t="s">
        <v>18</v>
      </c>
      <c r="G9" s="18">
        <v>413</v>
      </c>
      <c r="H9" s="19">
        <v>6</v>
      </c>
      <c r="I9" s="20">
        <f t="shared" ref="I9:I20" si="0">G9*H9</f>
        <v>2478</v>
      </c>
      <c r="J9" s="21"/>
    </row>
    <row r="10" spans="1:10" ht="28.95" customHeight="1" x14ac:dyDescent="0.3">
      <c r="A10" s="22" t="s">
        <v>16</v>
      </c>
      <c r="B10" s="47" t="s">
        <v>28</v>
      </c>
      <c r="C10" s="47"/>
      <c r="D10" s="47"/>
      <c r="E10" s="47"/>
      <c r="F10" s="23" t="s">
        <v>18</v>
      </c>
      <c r="G10" s="24">
        <v>450</v>
      </c>
      <c r="H10" s="19">
        <v>6</v>
      </c>
      <c r="I10" s="20">
        <f t="shared" si="0"/>
        <v>2700</v>
      </c>
      <c r="J10" s="21"/>
    </row>
    <row r="11" spans="1:10" ht="28.95" customHeight="1" x14ac:dyDescent="0.3">
      <c r="A11" s="22" t="s">
        <v>17</v>
      </c>
      <c r="B11" s="47" t="s">
        <v>25</v>
      </c>
      <c r="C11" s="47"/>
      <c r="D11" s="47"/>
      <c r="E11" s="47"/>
      <c r="F11" s="23" t="s">
        <v>18</v>
      </c>
      <c r="G11" s="24">
        <v>130</v>
      </c>
      <c r="H11" s="25">
        <v>21</v>
      </c>
      <c r="I11" s="26">
        <f t="shared" si="0"/>
        <v>2730</v>
      </c>
      <c r="J11" s="21"/>
    </row>
    <row r="12" spans="1:10" ht="30" customHeight="1" x14ac:dyDescent="0.3">
      <c r="A12" s="22" t="s">
        <v>19</v>
      </c>
      <c r="B12" s="47" t="s">
        <v>27</v>
      </c>
      <c r="C12" s="47"/>
      <c r="D12" s="47"/>
      <c r="E12" s="47"/>
      <c r="F12" s="23" t="s">
        <v>18</v>
      </c>
      <c r="G12" s="27">
        <v>160</v>
      </c>
      <c r="H12" s="28">
        <v>1</v>
      </c>
      <c r="I12" s="26">
        <f t="shared" si="0"/>
        <v>160</v>
      </c>
      <c r="J12" s="21"/>
    </row>
    <row r="13" spans="1:10" ht="30" customHeight="1" x14ac:dyDescent="0.3">
      <c r="A13" s="22" t="s">
        <v>20</v>
      </c>
      <c r="B13" s="47" t="s">
        <v>26</v>
      </c>
      <c r="C13" s="47"/>
      <c r="D13" s="47"/>
      <c r="E13" s="47"/>
      <c r="F13" s="23" t="s">
        <v>18</v>
      </c>
      <c r="G13" s="27">
        <v>285</v>
      </c>
      <c r="H13" s="28">
        <v>0</v>
      </c>
      <c r="I13" s="26">
        <f t="shared" si="0"/>
        <v>0</v>
      </c>
      <c r="J13" s="21"/>
    </row>
    <row r="14" spans="1:10" ht="30" customHeight="1" x14ac:dyDescent="0.3">
      <c r="A14" s="22" t="s">
        <v>21</v>
      </c>
      <c r="B14" s="47" t="s">
        <v>29</v>
      </c>
      <c r="C14" s="47"/>
      <c r="D14" s="47"/>
      <c r="E14" s="47"/>
      <c r="F14" s="23" t="s">
        <v>18</v>
      </c>
      <c r="G14" s="27">
        <v>150</v>
      </c>
      <c r="H14" s="28">
        <v>9</v>
      </c>
      <c r="I14" s="26">
        <f t="shared" si="0"/>
        <v>1350</v>
      </c>
      <c r="J14" s="21"/>
    </row>
    <row r="15" spans="1:10" ht="30" customHeight="1" x14ac:dyDescent="0.3">
      <c r="A15" s="22" t="s">
        <v>38</v>
      </c>
      <c r="B15" s="47" t="s">
        <v>30</v>
      </c>
      <c r="C15" s="47"/>
      <c r="D15" s="47"/>
      <c r="E15" s="47"/>
      <c r="F15" s="23" t="s">
        <v>18</v>
      </c>
      <c r="G15" s="29">
        <v>200</v>
      </c>
      <c r="H15" s="30">
        <v>1</v>
      </c>
      <c r="I15" s="20">
        <f t="shared" si="0"/>
        <v>200</v>
      </c>
      <c r="J15" s="21"/>
    </row>
    <row r="16" spans="1:10" ht="30" customHeight="1" x14ac:dyDescent="0.3">
      <c r="A16" s="22" t="s">
        <v>39</v>
      </c>
      <c r="B16" s="47" t="s">
        <v>31</v>
      </c>
      <c r="C16" s="47"/>
      <c r="D16" s="47"/>
      <c r="E16" s="47"/>
      <c r="F16" s="23" t="s">
        <v>18</v>
      </c>
      <c r="G16" s="27">
        <v>300</v>
      </c>
      <c r="H16" s="30">
        <v>0</v>
      </c>
      <c r="I16" s="26">
        <f t="shared" si="0"/>
        <v>0</v>
      </c>
      <c r="J16" s="21"/>
    </row>
    <row r="17" spans="1:10" ht="30" customHeight="1" x14ac:dyDescent="0.3">
      <c r="A17" s="31" t="s">
        <v>40</v>
      </c>
      <c r="B17" s="47" t="s">
        <v>32</v>
      </c>
      <c r="C17" s="47"/>
      <c r="D17" s="47"/>
      <c r="E17" s="47"/>
      <c r="F17" s="23" t="s">
        <v>18</v>
      </c>
      <c r="G17" s="33">
        <v>120</v>
      </c>
      <c r="H17" s="30">
        <v>17</v>
      </c>
      <c r="I17" s="35">
        <f t="shared" si="0"/>
        <v>2040</v>
      </c>
      <c r="J17" s="36"/>
    </row>
    <row r="18" spans="1:10" ht="30" customHeight="1" x14ac:dyDescent="0.3">
      <c r="A18" s="31" t="s">
        <v>41</v>
      </c>
      <c r="B18" s="47" t="s">
        <v>33</v>
      </c>
      <c r="C18" s="47"/>
      <c r="D18" s="47"/>
      <c r="E18" s="47"/>
      <c r="F18" s="23" t="s">
        <v>18</v>
      </c>
      <c r="G18" s="33">
        <v>150</v>
      </c>
      <c r="H18" s="30">
        <v>1</v>
      </c>
      <c r="I18" s="35">
        <f t="shared" si="0"/>
        <v>150</v>
      </c>
      <c r="J18" s="36"/>
    </row>
    <row r="19" spans="1:10" ht="30" customHeight="1" x14ac:dyDescent="0.3">
      <c r="A19" s="31" t="s">
        <v>42</v>
      </c>
      <c r="B19" s="47" t="s">
        <v>34</v>
      </c>
      <c r="C19" s="47"/>
      <c r="D19" s="47"/>
      <c r="E19" s="47"/>
      <c r="F19" s="23" t="s">
        <v>18</v>
      </c>
      <c r="G19" s="33">
        <v>210</v>
      </c>
      <c r="H19" s="30">
        <v>1</v>
      </c>
      <c r="I19" s="35">
        <f t="shared" si="0"/>
        <v>210</v>
      </c>
      <c r="J19" s="36"/>
    </row>
    <row r="20" spans="1:10" ht="30" customHeight="1" x14ac:dyDescent="0.3">
      <c r="A20" s="31" t="s">
        <v>43</v>
      </c>
      <c r="B20" s="52" t="s">
        <v>36</v>
      </c>
      <c r="C20" s="52"/>
      <c r="D20" s="52"/>
      <c r="E20" s="52"/>
      <c r="F20" s="23" t="s">
        <v>37</v>
      </c>
      <c r="G20" s="33">
        <v>45</v>
      </c>
      <c r="H20" s="30">
        <v>42</v>
      </c>
      <c r="I20" s="35">
        <f t="shared" si="0"/>
        <v>1890</v>
      </c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0"/>
      <c r="C23" s="50"/>
      <c r="D23" s="50"/>
      <c r="E23" s="50"/>
      <c r="F23" s="32"/>
      <c r="G23" s="33"/>
      <c r="H23" s="34"/>
      <c r="I23" s="35"/>
      <c r="J23" s="36"/>
    </row>
    <row r="24" spans="1:10" ht="30" customHeight="1" x14ac:dyDescent="0.3">
      <c r="A24" s="31"/>
      <c r="B24" s="50"/>
      <c r="C24" s="50"/>
      <c r="D24" s="50"/>
      <c r="E24" s="50"/>
      <c r="F24" s="32"/>
      <c r="G24" s="33"/>
      <c r="H24" s="34"/>
      <c r="I24" s="35"/>
      <c r="J24" s="36"/>
    </row>
    <row r="25" spans="1:10" ht="30" customHeight="1" x14ac:dyDescent="0.3">
      <c r="A25" s="31"/>
      <c r="B25" s="50"/>
      <c r="C25" s="50"/>
      <c r="D25" s="50"/>
      <c r="E25" s="50"/>
      <c r="F25" s="32"/>
      <c r="G25" s="33"/>
      <c r="H25" s="34"/>
      <c r="I25" s="35"/>
      <c r="J25" s="36"/>
    </row>
    <row r="26" spans="1:10" ht="30" customHeight="1" x14ac:dyDescent="0.3">
      <c r="A26" s="31"/>
      <c r="B26" s="51"/>
      <c r="C26" s="51"/>
      <c r="D26" s="51"/>
      <c r="E26" s="51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1"/>
      <c r="C27" s="51"/>
      <c r="D27" s="51"/>
      <c r="E27" s="51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22</v>
      </c>
      <c r="I28" s="44">
        <f>SUM(I9:I27)</f>
        <v>13908</v>
      </c>
      <c r="J28" s="45">
        <f>I28*kurs</f>
        <v>0</v>
      </c>
    </row>
    <row r="33" spans="2:10" x14ac:dyDescent="0.25">
      <c r="B33" t="s">
        <v>23</v>
      </c>
      <c r="J33" s="46"/>
    </row>
    <row r="34" spans="2:10" x14ac:dyDescent="0.25">
      <c r="B34" t="s">
        <v>24</v>
      </c>
      <c r="J34" s="46"/>
    </row>
  </sheetData>
  <mergeCells count="21"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2F47-5A1D-48FF-BCEB-DDDBCA72388F}">
  <dimension ref="A1:J34"/>
  <sheetViews>
    <sheetView view="pageBreakPreview" topLeftCell="A16" zoomScaleNormal="100" zoomScaleSheetLayoutView="100" workbookViewId="0">
      <selection activeCell="G34" sqref="G34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35</v>
      </c>
      <c r="F4" s="3"/>
      <c r="I4" s="3" t="s">
        <v>3</v>
      </c>
      <c r="J4" s="6" t="s">
        <v>46</v>
      </c>
    </row>
    <row r="5" spans="1:10" x14ac:dyDescent="0.25">
      <c r="B5" s="3"/>
      <c r="C5" s="4"/>
      <c r="F5" s="3"/>
      <c r="I5" s="3" t="s">
        <v>4</v>
      </c>
      <c r="J5" s="6">
        <v>45900</v>
      </c>
    </row>
    <row r="6" spans="1:10" x14ac:dyDescent="0.25">
      <c r="A6" s="7" t="s">
        <v>5</v>
      </c>
      <c r="B6" s="8"/>
      <c r="E6" t="s">
        <v>6</v>
      </c>
      <c r="F6" s="48"/>
      <c r="G6" s="48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49" t="s">
        <v>8</v>
      </c>
      <c r="C8" s="49"/>
      <c r="D8" s="49"/>
      <c r="E8" s="49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47" t="s">
        <v>15</v>
      </c>
      <c r="C9" s="47"/>
      <c r="D9" s="47"/>
      <c r="E9" s="47"/>
      <c r="F9" s="17" t="s">
        <v>18</v>
      </c>
      <c r="G9" s="18">
        <v>413</v>
      </c>
      <c r="H9" s="19">
        <v>10</v>
      </c>
      <c r="I9" s="20">
        <f t="shared" ref="I9:I20" si="0">G9*H9</f>
        <v>4130</v>
      </c>
      <c r="J9" s="21"/>
    </row>
    <row r="10" spans="1:10" ht="28.95" customHeight="1" x14ac:dyDescent="0.3">
      <c r="A10" s="22" t="s">
        <v>16</v>
      </c>
      <c r="B10" s="47" t="s">
        <v>28</v>
      </c>
      <c r="C10" s="47"/>
      <c r="D10" s="47"/>
      <c r="E10" s="47"/>
      <c r="F10" s="23" t="s">
        <v>18</v>
      </c>
      <c r="G10" s="24">
        <v>450</v>
      </c>
      <c r="H10" s="19">
        <v>10</v>
      </c>
      <c r="I10" s="20">
        <f t="shared" si="0"/>
        <v>4500</v>
      </c>
      <c r="J10" s="21"/>
    </row>
    <row r="11" spans="1:10" ht="28.95" customHeight="1" x14ac:dyDescent="0.3">
      <c r="A11" s="22" t="s">
        <v>17</v>
      </c>
      <c r="B11" s="47" t="s">
        <v>25</v>
      </c>
      <c r="C11" s="47"/>
      <c r="D11" s="47"/>
      <c r="E11" s="47"/>
      <c r="F11" s="23" t="s">
        <v>18</v>
      </c>
      <c r="G11" s="24">
        <v>130</v>
      </c>
      <c r="H11" s="25">
        <v>26</v>
      </c>
      <c r="I11" s="26">
        <f t="shared" si="0"/>
        <v>3380</v>
      </c>
      <c r="J11" s="21"/>
    </row>
    <row r="12" spans="1:10" ht="30" customHeight="1" x14ac:dyDescent="0.3">
      <c r="A12" s="22" t="s">
        <v>19</v>
      </c>
      <c r="B12" s="47" t="s">
        <v>27</v>
      </c>
      <c r="C12" s="47"/>
      <c r="D12" s="47"/>
      <c r="E12" s="47"/>
      <c r="F12" s="23" t="s">
        <v>18</v>
      </c>
      <c r="G12" s="27">
        <v>160</v>
      </c>
      <c r="H12" s="28">
        <v>0</v>
      </c>
      <c r="I12" s="26">
        <f t="shared" si="0"/>
        <v>0</v>
      </c>
      <c r="J12" s="21"/>
    </row>
    <row r="13" spans="1:10" ht="30" customHeight="1" x14ac:dyDescent="0.3">
      <c r="A13" s="22" t="s">
        <v>20</v>
      </c>
      <c r="B13" s="47" t="s">
        <v>26</v>
      </c>
      <c r="C13" s="47"/>
      <c r="D13" s="47"/>
      <c r="E13" s="47"/>
      <c r="F13" s="23" t="s">
        <v>18</v>
      </c>
      <c r="G13" s="27">
        <v>285</v>
      </c>
      <c r="H13" s="28">
        <v>0</v>
      </c>
      <c r="I13" s="26">
        <f t="shared" si="0"/>
        <v>0</v>
      </c>
      <c r="J13" s="21"/>
    </row>
    <row r="14" spans="1:10" ht="30" customHeight="1" x14ac:dyDescent="0.3">
      <c r="A14" s="22" t="s">
        <v>21</v>
      </c>
      <c r="B14" s="47" t="s">
        <v>29</v>
      </c>
      <c r="C14" s="47"/>
      <c r="D14" s="47"/>
      <c r="E14" s="47"/>
      <c r="F14" s="23" t="s">
        <v>18</v>
      </c>
      <c r="G14" s="27">
        <v>150</v>
      </c>
      <c r="H14" s="28">
        <v>13</v>
      </c>
      <c r="I14" s="26">
        <f t="shared" si="0"/>
        <v>1950</v>
      </c>
      <c r="J14" s="21"/>
    </row>
    <row r="15" spans="1:10" ht="30" customHeight="1" x14ac:dyDescent="0.3">
      <c r="A15" s="22" t="s">
        <v>38</v>
      </c>
      <c r="B15" s="47" t="s">
        <v>30</v>
      </c>
      <c r="C15" s="47"/>
      <c r="D15" s="47"/>
      <c r="E15" s="47"/>
      <c r="F15" s="23" t="s">
        <v>18</v>
      </c>
      <c r="G15" s="29">
        <v>200</v>
      </c>
      <c r="H15" s="30">
        <v>0</v>
      </c>
      <c r="I15" s="20">
        <f t="shared" si="0"/>
        <v>0</v>
      </c>
      <c r="J15" s="21"/>
    </row>
    <row r="16" spans="1:10" ht="30" customHeight="1" x14ac:dyDescent="0.3">
      <c r="A16" s="22" t="s">
        <v>39</v>
      </c>
      <c r="B16" s="47" t="s">
        <v>31</v>
      </c>
      <c r="C16" s="47"/>
      <c r="D16" s="47"/>
      <c r="E16" s="47"/>
      <c r="F16" s="23" t="s">
        <v>18</v>
      </c>
      <c r="G16" s="27">
        <v>300</v>
      </c>
      <c r="H16" s="30">
        <v>0</v>
      </c>
      <c r="I16" s="26">
        <f t="shared" si="0"/>
        <v>0</v>
      </c>
      <c r="J16" s="21"/>
    </row>
    <row r="17" spans="1:10" ht="30" customHeight="1" x14ac:dyDescent="0.3">
      <c r="A17" s="31" t="s">
        <v>40</v>
      </c>
      <c r="B17" s="47" t="s">
        <v>32</v>
      </c>
      <c r="C17" s="47"/>
      <c r="D17" s="47"/>
      <c r="E17" s="47"/>
      <c r="F17" s="23" t="s">
        <v>18</v>
      </c>
      <c r="G17" s="33">
        <v>120</v>
      </c>
      <c r="H17" s="30">
        <v>13</v>
      </c>
      <c r="I17" s="35">
        <f t="shared" si="0"/>
        <v>1560</v>
      </c>
      <c r="J17" s="36"/>
    </row>
    <row r="18" spans="1:10" ht="30" customHeight="1" x14ac:dyDescent="0.3">
      <c r="A18" s="31" t="s">
        <v>41</v>
      </c>
      <c r="B18" s="47" t="s">
        <v>33</v>
      </c>
      <c r="C18" s="47"/>
      <c r="D18" s="47"/>
      <c r="E18" s="47"/>
      <c r="F18" s="23" t="s">
        <v>18</v>
      </c>
      <c r="G18" s="33">
        <v>150</v>
      </c>
      <c r="H18" s="30">
        <v>0</v>
      </c>
      <c r="I18" s="35">
        <f t="shared" si="0"/>
        <v>0</v>
      </c>
      <c r="J18" s="36"/>
    </row>
    <row r="19" spans="1:10" ht="30" customHeight="1" x14ac:dyDescent="0.3">
      <c r="A19" s="31" t="s">
        <v>42</v>
      </c>
      <c r="B19" s="47" t="s">
        <v>34</v>
      </c>
      <c r="C19" s="47"/>
      <c r="D19" s="47"/>
      <c r="E19" s="47"/>
      <c r="F19" s="23" t="s">
        <v>18</v>
      </c>
      <c r="G19" s="33">
        <v>210</v>
      </c>
      <c r="H19" s="30">
        <v>0</v>
      </c>
      <c r="I19" s="35">
        <f t="shared" si="0"/>
        <v>0</v>
      </c>
      <c r="J19" s="36"/>
    </row>
    <row r="20" spans="1:10" ht="30" customHeight="1" x14ac:dyDescent="0.3">
      <c r="A20" s="31" t="s">
        <v>43</v>
      </c>
      <c r="B20" s="52" t="s">
        <v>36</v>
      </c>
      <c r="C20" s="52"/>
      <c r="D20" s="52"/>
      <c r="E20" s="52"/>
      <c r="F20" s="23" t="s">
        <v>37</v>
      </c>
      <c r="G20" s="33">
        <v>45</v>
      </c>
      <c r="H20" s="30">
        <v>65</v>
      </c>
      <c r="I20" s="35">
        <f t="shared" si="0"/>
        <v>2925</v>
      </c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0"/>
      <c r="C23" s="50"/>
      <c r="D23" s="50"/>
      <c r="E23" s="50"/>
      <c r="F23" s="32"/>
      <c r="G23" s="33"/>
      <c r="H23" s="34"/>
      <c r="I23" s="35"/>
      <c r="J23" s="36"/>
    </row>
    <row r="24" spans="1:10" ht="30" customHeight="1" x14ac:dyDescent="0.3">
      <c r="A24" s="31"/>
      <c r="B24" s="50"/>
      <c r="C24" s="50"/>
      <c r="D24" s="50"/>
      <c r="E24" s="50"/>
      <c r="F24" s="32"/>
      <c r="G24" s="33"/>
      <c r="H24" s="34"/>
      <c r="I24" s="35"/>
      <c r="J24" s="36"/>
    </row>
    <row r="25" spans="1:10" ht="30" customHeight="1" x14ac:dyDescent="0.3">
      <c r="A25" s="31"/>
      <c r="B25" s="50"/>
      <c r="C25" s="50"/>
      <c r="D25" s="50"/>
      <c r="E25" s="50"/>
      <c r="F25" s="32"/>
      <c r="G25" s="33"/>
      <c r="H25" s="34"/>
      <c r="I25" s="35"/>
      <c r="J25" s="36"/>
    </row>
    <row r="26" spans="1:10" ht="30" customHeight="1" x14ac:dyDescent="0.3">
      <c r="A26" s="31"/>
      <c r="B26" s="51"/>
      <c r="C26" s="51"/>
      <c r="D26" s="51"/>
      <c r="E26" s="51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1"/>
      <c r="C27" s="51"/>
      <c r="D27" s="51"/>
      <c r="E27" s="51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22</v>
      </c>
      <c r="I28" s="44">
        <f>SUM(I9:I27)</f>
        <v>18445</v>
      </c>
      <c r="J28" s="45">
        <f>I28*kurs</f>
        <v>0</v>
      </c>
    </row>
    <row r="33" spans="2:10" x14ac:dyDescent="0.25">
      <c r="B33" t="s">
        <v>23</v>
      </c>
      <c r="J33" s="46"/>
    </row>
    <row r="34" spans="2:10" x14ac:dyDescent="0.25">
      <c r="B34" t="s">
        <v>24</v>
      </c>
      <c r="J34" s="46"/>
    </row>
  </sheetData>
  <mergeCells count="21"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7D2C-D19C-43E1-87B2-D0C779F8BE7D}">
  <dimension ref="A1:J34"/>
  <sheetViews>
    <sheetView view="pageBreakPreview" topLeftCell="A13" zoomScaleNormal="100" zoomScaleSheetLayoutView="100" workbookViewId="0">
      <selection activeCell="I25" sqref="I25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35</v>
      </c>
      <c r="F4" s="3"/>
      <c r="I4" s="3" t="s">
        <v>3</v>
      </c>
      <c r="J4" s="6" t="s">
        <v>45</v>
      </c>
    </row>
    <row r="5" spans="1:10" x14ac:dyDescent="0.25">
      <c r="B5" s="3"/>
      <c r="C5" s="4"/>
      <c r="F5" s="3"/>
      <c r="I5" s="3" t="s">
        <v>4</v>
      </c>
      <c r="J5" s="6">
        <v>45869</v>
      </c>
    </row>
    <row r="6" spans="1:10" x14ac:dyDescent="0.25">
      <c r="A6" s="7" t="s">
        <v>5</v>
      </c>
      <c r="B6" s="8"/>
      <c r="E6" t="s">
        <v>6</v>
      </c>
      <c r="F6" s="48"/>
      <c r="G6" s="48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49" t="s">
        <v>8</v>
      </c>
      <c r="C8" s="49"/>
      <c r="D8" s="49"/>
      <c r="E8" s="49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47" t="s">
        <v>15</v>
      </c>
      <c r="C9" s="47"/>
      <c r="D9" s="47"/>
      <c r="E9" s="47"/>
      <c r="F9" s="17" t="s">
        <v>18</v>
      </c>
      <c r="G9" s="18">
        <v>413</v>
      </c>
      <c r="H9" s="19">
        <v>9</v>
      </c>
      <c r="I9" s="20">
        <f t="shared" ref="I9:I20" si="0">G9*H9</f>
        <v>3717</v>
      </c>
      <c r="J9" s="21"/>
    </row>
    <row r="10" spans="1:10" ht="28.95" customHeight="1" x14ac:dyDescent="0.3">
      <c r="A10" s="22" t="s">
        <v>16</v>
      </c>
      <c r="B10" s="47" t="s">
        <v>28</v>
      </c>
      <c r="C10" s="47"/>
      <c r="D10" s="47"/>
      <c r="E10" s="47"/>
      <c r="F10" s="23" t="s">
        <v>18</v>
      </c>
      <c r="G10" s="24">
        <v>450</v>
      </c>
      <c r="H10" s="19">
        <v>9</v>
      </c>
      <c r="I10" s="20">
        <f t="shared" si="0"/>
        <v>4050</v>
      </c>
      <c r="J10" s="21"/>
    </row>
    <row r="11" spans="1:10" ht="28.95" customHeight="1" x14ac:dyDescent="0.3">
      <c r="A11" s="22" t="s">
        <v>17</v>
      </c>
      <c r="B11" s="47" t="s">
        <v>25</v>
      </c>
      <c r="C11" s="47"/>
      <c r="D11" s="47"/>
      <c r="E11" s="47"/>
      <c r="F11" s="23" t="s">
        <v>18</v>
      </c>
      <c r="G11" s="24">
        <v>130</v>
      </c>
      <c r="H11" s="25">
        <v>20</v>
      </c>
      <c r="I11" s="26">
        <f t="shared" si="0"/>
        <v>2600</v>
      </c>
      <c r="J11" s="21"/>
    </row>
    <row r="12" spans="1:10" ht="30" customHeight="1" x14ac:dyDescent="0.3">
      <c r="A12" s="22" t="s">
        <v>19</v>
      </c>
      <c r="B12" s="47" t="s">
        <v>27</v>
      </c>
      <c r="C12" s="47"/>
      <c r="D12" s="47"/>
      <c r="E12" s="47"/>
      <c r="F12" s="23" t="s">
        <v>18</v>
      </c>
      <c r="G12" s="27">
        <v>160</v>
      </c>
      <c r="H12" s="28">
        <v>0</v>
      </c>
      <c r="I12" s="26">
        <f t="shared" si="0"/>
        <v>0</v>
      </c>
      <c r="J12" s="21"/>
    </row>
    <row r="13" spans="1:10" ht="30" customHeight="1" x14ac:dyDescent="0.3">
      <c r="A13" s="22" t="s">
        <v>20</v>
      </c>
      <c r="B13" s="47" t="s">
        <v>26</v>
      </c>
      <c r="C13" s="47"/>
      <c r="D13" s="47"/>
      <c r="E13" s="47"/>
      <c r="F13" s="23" t="s">
        <v>18</v>
      </c>
      <c r="G13" s="27">
        <v>285</v>
      </c>
      <c r="H13" s="28">
        <v>0</v>
      </c>
      <c r="I13" s="26">
        <f t="shared" si="0"/>
        <v>0</v>
      </c>
      <c r="J13" s="21"/>
    </row>
    <row r="14" spans="1:10" ht="30" customHeight="1" x14ac:dyDescent="0.3">
      <c r="A14" s="22" t="s">
        <v>21</v>
      </c>
      <c r="B14" s="47" t="s">
        <v>29</v>
      </c>
      <c r="C14" s="47"/>
      <c r="D14" s="47"/>
      <c r="E14" s="47"/>
      <c r="F14" s="23" t="s">
        <v>18</v>
      </c>
      <c r="G14" s="27">
        <v>150</v>
      </c>
      <c r="H14" s="28">
        <v>12</v>
      </c>
      <c r="I14" s="26">
        <f t="shared" si="0"/>
        <v>1800</v>
      </c>
      <c r="J14" s="21"/>
    </row>
    <row r="15" spans="1:10" ht="30" customHeight="1" x14ac:dyDescent="0.3">
      <c r="A15" s="22" t="s">
        <v>38</v>
      </c>
      <c r="B15" s="47" t="s">
        <v>30</v>
      </c>
      <c r="C15" s="47"/>
      <c r="D15" s="47"/>
      <c r="E15" s="47"/>
      <c r="F15" s="23" t="s">
        <v>18</v>
      </c>
      <c r="G15" s="29">
        <v>200</v>
      </c>
      <c r="H15" s="30">
        <v>0</v>
      </c>
      <c r="I15" s="20">
        <f t="shared" si="0"/>
        <v>0</v>
      </c>
      <c r="J15" s="21"/>
    </row>
    <row r="16" spans="1:10" ht="30" customHeight="1" x14ac:dyDescent="0.3">
      <c r="A16" s="22" t="s">
        <v>39</v>
      </c>
      <c r="B16" s="47" t="s">
        <v>31</v>
      </c>
      <c r="C16" s="47"/>
      <c r="D16" s="47"/>
      <c r="E16" s="47"/>
      <c r="F16" s="23" t="s">
        <v>18</v>
      </c>
      <c r="G16" s="27">
        <v>300</v>
      </c>
      <c r="H16" s="30">
        <v>0</v>
      </c>
      <c r="I16" s="26">
        <f t="shared" si="0"/>
        <v>0</v>
      </c>
      <c r="J16" s="21"/>
    </row>
    <row r="17" spans="1:10" ht="30" customHeight="1" x14ac:dyDescent="0.3">
      <c r="A17" s="31" t="s">
        <v>40</v>
      </c>
      <c r="B17" s="47" t="s">
        <v>32</v>
      </c>
      <c r="C17" s="47"/>
      <c r="D17" s="47"/>
      <c r="E17" s="47"/>
      <c r="F17" s="23" t="s">
        <v>18</v>
      </c>
      <c r="G17" s="33">
        <v>120</v>
      </c>
      <c r="H17" s="30">
        <v>12</v>
      </c>
      <c r="I17" s="35">
        <f t="shared" si="0"/>
        <v>1440</v>
      </c>
      <c r="J17" s="36"/>
    </row>
    <row r="18" spans="1:10" ht="30" customHeight="1" x14ac:dyDescent="0.3">
      <c r="A18" s="31" t="s">
        <v>41</v>
      </c>
      <c r="B18" s="47" t="s">
        <v>33</v>
      </c>
      <c r="C18" s="47"/>
      <c r="D18" s="47"/>
      <c r="E18" s="47"/>
      <c r="F18" s="23" t="s">
        <v>18</v>
      </c>
      <c r="G18" s="33">
        <v>150</v>
      </c>
      <c r="H18" s="30">
        <v>0</v>
      </c>
      <c r="I18" s="35">
        <f t="shared" si="0"/>
        <v>0</v>
      </c>
      <c r="J18" s="36"/>
    </row>
    <row r="19" spans="1:10" ht="30" customHeight="1" x14ac:dyDescent="0.3">
      <c r="A19" s="31" t="s">
        <v>42</v>
      </c>
      <c r="B19" s="47" t="s">
        <v>34</v>
      </c>
      <c r="C19" s="47"/>
      <c r="D19" s="47"/>
      <c r="E19" s="47"/>
      <c r="F19" s="23" t="s">
        <v>18</v>
      </c>
      <c r="G19" s="33">
        <v>210</v>
      </c>
      <c r="H19" s="30">
        <v>3</v>
      </c>
      <c r="I19" s="35">
        <f t="shared" si="0"/>
        <v>630</v>
      </c>
      <c r="J19" s="36"/>
    </row>
    <row r="20" spans="1:10" ht="30" customHeight="1" x14ac:dyDescent="0.3">
      <c r="A20" s="31" t="s">
        <v>43</v>
      </c>
      <c r="B20" s="52" t="s">
        <v>36</v>
      </c>
      <c r="C20" s="52"/>
      <c r="D20" s="52"/>
      <c r="E20" s="52"/>
      <c r="F20" s="23" t="s">
        <v>37</v>
      </c>
      <c r="G20" s="33">
        <v>45</v>
      </c>
      <c r="H20" s="30">
        <v>70</v>
      </c>
      <c r="I20" s="35">
        <f t="shared" si="0"/>
        <v>3150</v>
      </c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0"/>
      <c r="C23" s="50"/>
      <c r="D23" s="50"/>
      <c r="E23" s="50"/>
      <c r="F23" s="32"/>
      <c r="G23" s="33"/>
      <c r="H23" s="34"/>
      <c r="I23" s="35"/>
      <c r="J23" s="36"/>
    </row>
    <row r="24" spans="1:10" ht="30" customHeight="1" x14ac:dyDescent="0.3">
      <c r="A24" s="31"/>
      <c r="B24" s="50"/>
      <c r="C24" s="50"/>
      <c r="D24" s="50"/>
      <c r="E24" s="50"/>
      <c r="F24" s="32"/>
      <c r="G24" s="33"/>
      <c r="H24" s="34"/>
      <c r="I24" s="35"/>
      <c r="J24" s="36"/>
    </row>
    <row r="25" spans="1:10" ht="30" customHeight="1" x14ac:dyDescent="0.3">
      <c r="A25" s="31"/>
      <c r="B25" s="50"/>
      <c r="C25" s="50"/>
      <c r="D25" s="50"/>
      <c r="E25" s="50"/>
      <c r="F25" s="32"/>
      <c r="G25" s="33"/>
      <c r="H25" s="34"/>
      <c r="I25" s="35"/>
      <c r="J25" s="36"/>
    </row>
    <row r="26" spans="1:10" ht="30" customHeight="1" x14ac:dyDescent="0.3">
      <c r="A26" s="31"/>
      <c r="B26" s="51"/>
      <c r="C26" s="51"/>
      <c r="D26" s="51"/>
      <c r="E26" s="51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1"/>
      <c r="C27" s="51"/>
      <c r="D27" s="51"/>
      <c r="E27" s="51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22</v>
      </c>
      <c r="I28" s="44">
        <f>SUM(I9:I27)</f>
        <v>17387</v>
      </c>
      <c r="J28" s="45">
        <f>I28*kurs</f>
        <v>0</v>
      </c>
    </row>
    <row r="33" spans="2:10" x14ac:dyDescent="0.25">
      <c r="B33" t="s">
        <v>23</v>
      </c>
      <c r="J33" s="46"/>
    </row>
    <row r="34" spans="2:10" x14ac:dyDescent="0.25">
      <c r="B34" t="s">
        <v>24</v>
      </c>
      <c r="J34" s="46"/>
    </row>
  </sheetData>
  <mergeCells count="21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BC07-F5D1-49E9-824B-51053247FE07}">
  <dimension ref="A1:J34"/>
  <sheetViews>
    <sheetView view="pageBreakPreview" topLeftCell="A10" zoomScaleNormal="100" zoomScaleSheetLayoutView="100" workbookViewId="0">
      <selection activeCell="H32" sqref="H32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35</v>
      </c>
      <c r="F4" s="3"/>
      <c r="I4" s="3" t="s">
        <v>3</v>
      </c>
      <c r="J4" s="6" t="s">
        <v>44</v>
      </c>
    </row>
    <row r="5" spans="1:10" x14ac:dyDescent="0.25">
      <c r="B5" s="3"/>
      <c r="C5" s="4"/>
      <c r="F5" s="3"/>
      <c r="I5" s="3" t="s">
        <v>4</v>
      </c>
      <c r="J5" s="6">
        <v>45838</v>
      </c>
    </row>
    <row r="6" spans="1:10" x14ac:dyDescent="0.25">
      <c r="A6" s="7" t="s">
        <v>5</v>
      </c>
      <c r="B6" s="8"/>
      <c r="E6" t="s">
        <v>6</v>
      </c>
      <c r="F6" s="48"/>
      <c r="G6" s="48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49" t="s">
        <v>8</v>
      </c>
      <c r="C8" s="49"/>
      <c r="D8" s="49"/>
      <c r="E8" s="49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47" t="s">
        <v>15</v>
      </c>
      <c r="C9" s="47"/>
      <c r="D9" s="47"/>
      <c r="E9" s="47"/>
      <c r="F9" s="17" t="s">
        <v>18</v>
      </c>
      <c r="G9" s="18">
        <v>413</v>
      </c>
      <c r="H9" s="19">
        <v>6</v>
      </c>
      <c r="I9" s="20">
        <f t="shared" ref="I9:I20" si="0">G9*H9</f>
        <v>2478</v>
      </c>
      <c r="J9" s="21"/>
    </row>
    <row r="10" spans="1:10" ht="28.95" customHeight="1" x14ac:dyDescent="0.3">
      <c r="A10" s="22" t="s">
        <v>16</v>
      </c>
      <c r="B10" s="47" t="s">
        <v>28</v>
      </c>
      <c r="C10" s="47"/>
      <c r="D10" s="47"/>
      <c r="E10" s="47"/>
      <c r="F10" s="23" t="s">
        <v>18</v>
      </c>
      <c r="G10" s="24">
        <v>450</v>
      </c>
      <c r="H10" s="19">
        <v>6</v>
      </c>
      <c r="I10" s="20">
        <f t="shared" si="0"/>
        <v>2700</v>
      </c>
      <c r="J10" s="21"/>
    </row>
    <row r="11" spans="1:10" ht="28.95" customHeight="1" x14ac:dyDescent="0.3">
      <c r="A11" s="22" t="s">
        <v>17</v>
      </c>
      <c r="B11" s="47" t="s">
        <v>25</v>
      </c>
      <c r="C11" s="47"/>
      <c r="D11" s="47"/>
      <c r="E11" s="47"/>
      <c r="F11" s="23" t="s">
        <v>18</v>
      </c>
      <c r="G11" s="24">
        <v>130</v>
      </c>
      <c r="H11" s="25">
        <v>18</v>
      </c>
      <c r="I11" s="26">
        <f t="shared" si="0"/>
        <v>2340</v>
      </c>
      <c r="J11" s="21"/>
    </row>
    <row r="12" spans="1:10" ht="30" customHeight="1" x14ac:dyDescent="0.3">
      <c r="A12" s="22" t="s">
        <v>19</v>
      </c>
      <c r="B12" s="47" t="s">
        <v>27</v>
      </c>
      <c r="C12" s="47"/>
      <c r="D12" s="47"/>
      <c r="E12" s="47"/>
      <c r="F12" s="23" t="s">
        <v>18</v>
      </c>
      <c r="G12" s="27">
        <v>160</v>
      </c>
      <c r="H12" s="28">
        <v>0</v>
      </c>
      <c r="I12" s="26">
        <f t="shared" si="0"/>
        <v>0</v>
      </c>
      <c r="J12" s="21"/>
    </row>
    <row r="13" spans="1:10" ht="30" customHeight="1" x14ac:dyDescent="0.3">
      <c r="A13" s="22" t="s">
        <v>20</v>
      </c>
      <c r="B13" s="47" t="s">
        <v>26</v>
      </c>
      <c r="C13" s="47"/>
      <c r="D13" s="47"/>
      <c r="E13" s="47"/>
      <c r="F13" s="23" t="s">
        <v>18</v>
      </c>
      <c r="G13" s="27">
        <v>285</v>
      </c>
      <c r="H13" s="28">
        <v>0</v>
      </c>
      <c r="I13" s="26">
        <f t="shared" si="0"/>
        <v>0</v>
      </c>
      <c r="J13" s="21"/>
    </row>
    <row r="14" spans="1:10" ht="30" customHeight="1" x14ac:dyDescent="0.3">
      <c r="A14" s="22" t="s">
        <v>21</v>
      </c>
      <c r="B14" s="47" t="s">
        <v>29</v>
      </c>
      <c r="C14" s="47"/>
      <c r="D14" s="47"/>
      <c r="E14" s="47"/>
      <c r="F14" s="23" t="s">
        <v>18</v>
      </c>
      <c r="G14" s="27">
        <v>150</v>
      </c>
      <c r="H14" s="28">
        <v>8</v>
      </c>
      <c r="I14" s="26">
        <f t="shared" si="0"/>
        <v>1200</v>
      </c>
      <c r="J14" s="21"/>
    </row>
    <row r="15" spans="1:10" ht="30" customHeight="1" x14ac:dyDescent="0.3">
      <c r="A15" s="22" t="s">
        <v>38</v>
      </c>
      <c r="B15" s="47" t="s">
        <v>30</v>
      </c>
      <c r="C15" s="47"/>
      <c r="D15" s="47"/>
      <c r="E15" s="47"/>
      <c r="F15" s="23" t="s">
        <v>18</v>
      </c>
      <c r="G15" s="29">
        <v>200</v>
      </c>
      <c r="H15" s="30">
        <v>0</v>
      </c>
      <c r="I15" s="20">
        <f t="shared" si="0"/>
        <v>0</v>
      </c>
      <c r="J15" s="21"/>
    </row>
    <row r="16" spans="1:10" ht="30" customHeight="1" x14ac:dyDescent="0.3">
      <c r="A16" s="22" t="s">
        <v>39</v>
      </c>
      <c r="B16" s="47" t="s">
        <v>31</v>
      </c>
      <c r="C16" s="47"/>
      <c r="D16" s="47"/>
      <c r="E16" s="47"/>
      <c r="F16" s="23" t="s">
        <v>18</v>
      </c>
      <c r="G16" s="27">
        <v>300</v>
      </c>
      <c r="H16" s="30">
        <v>0</v>
      </c>
      <c r="I16" s="26">
        <f t="shared" si="0"/>
        <v>0</v>
      </c>
      <c r="J16" s="21"/>
    </row>
    <row r="17" spans="1:10" ht="30" customHeight="1" x14ac:dyDescent="0.3">
      <c r="A17" s="31" t="s">
        <v>40</v>
      </c>
      <c r="B17" s="47" t="s">
        <v>32</v>
      </c>
      <c r="C17" s="47"/>
      <c r="D17" s="47"/>
      <c r="E17" s="47"/>
      <c r="F17" s="23" t="s">
        <v>18</v>
      </c>
      <c r="G17" s="33">
        <v>120</v>
      </c>
      <c r="H17" s="30">
        <v>13</v>
      </c>
      <c r="I17" s="35">
        <f t="shared" si="0"/>
        <v>1560</v>
      </c>
      <c r="J17" s="36"/>
    </row>
    <row r="18" spans="1:10" ht="30" customHeight="1" x14ac:dyDescent="0.3">
      <c r="A18" s="31" t="s">
        <v>41</v>
      </c>
      <c r="B18" s="47" t="s">
        <v>33</v>
      </c>
      <c r="C18" s="47"/>
      <c r="D18" s="47"/>
      <c r="E18" s="47"/>
      <c r="F18" s="23" t="s">
        <v>18</v>
      </c>
      <c r="G18" s="33">
        <v>150</v>
      </c>
      <c r="H18" s="30">
        <v>0</v>
      </c>
      <c r="I18" s="35">
        <f t="shared" si="0"/>
        <v>0</v>
      </c>
      <c r="J18" s="36"/>
    </row>
    <row r="19" spans="1:10" ht="30" customHeight="1" x14ac:dyDescent="0.3">
      <c r="A19" s="31" t="s">
        <v>42</v>
      </c>
      <c r="B19" s="47" t="s">
        <v>34</v>
      </c>
      <c r="C19" s="47"/>
      <c r="D19" s="47"/>
      <c r="E19" s="47"/>
      <c r="F19" s="23" t="s">
        <v>18</v>
      </c>
      <c r="G19" s="33">
        <v>210</v>
      </c>
      <c r="H19" s="30">
        <v>3</v>
      </c>
      <c r="I19" s="35">
        <f t="shared" si="0"/>
        <v>630</v>
      </c>
      <c r="J19" s="36"/>
    </row>
    <row r="20" spans="1:10" ht="30" customHeight="1" x14ac:dyDescent="0.3">
      <c r="A20" s="31" t="s">
        <v>43</v>
      </c>
      <c r="B20" s="52" t="s">
        <v>36</v>
      </c>
      <c r="C20" s="52"/>
      <c r="D20" s="52"/>
      <c r="E20" s="52"/>
      <c r="F20" s="23" t="s">
        <v>37</v>
      </c>
      <c r="G20" s="33">
        <v>45</v>
      </c>
      <c r="H20" s="30">
        <v>70</v>
      </c>
      <c r="I20" s="35">
        <f t="shared" si="0"/>
        <v>3150</v>
      </c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0"/>
      <c r="C23" s="50"/>
      <c r="D23" s="50"/>
      <c r="E23" s="50"/>
      <c r="F23" s="32"/>
      <c r="G23" s="33"/>
      <c r="H23" s="34"/>
      <c r="I23" s="35"/>
      <c r="J23" s="36"/>
    </row>
    <row r="24" spans="1:10" ht="30" customHeight="1" x14ac:dyDescent="0.3">
      <c r="A24" s="31"/>
      <c r="B24" s="50"/>
      <c r="C24" s="50"/>
      <c r="D24" s="50"/>
      <c r="E24" s="50"/>
      <c r="F24" s="32"/>
      <c r="G24" s="33"/>
      <c r="H24" s="34"/>
      <c r="I24" s="35"/>
      <c r="J24" s="36"/>
    </row>
    <row r="25" spans="1:10" ht="30" customHeight="1" x14ac:dyDescent="0.3">
      <c r="A25" s="31"/>
      <c r="B25" s="50"/>
      <c r="C25" s="50"/>
      <c r="D25" s="50"/>
      <c r="E25" s="50"/>
      <c r="F25" s="32"/>
      <c r="G25" s="33"/>
      <c r="H25" s="34"/>
      <c r="I25" s="35"/>
      <c r="J25" s="36"/>
    </row>
    <row r="26" spans="1:10" ht="30" customHeight="1" x14ac:dyDescent="0.3">
      <c r="A26" s="31"/>
      <c r="B26" s="51"/>
      <c r="C26" s="51"/>
      <c r="D26" s="51"/>
      <c r="E26" s="51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1"/>
      <c r="C27" s="51"/>
      <c r="D27" s="51"/>
      <c r="E27" s="51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22</v>
      </c>
      <c r="I28" s="44">
        <f>SUM(I9:I27)</f>
        <v>14058</v>
      </c>
      <c r="J28" s="45">
        <f>I28*kurs</f>
        <v>0</v>
      </c>
    </row>
    <row r="33" spans="2:10" x14ac:dyDescent="0.25">
      <c r="B33" t="s">
        <v>23</v>
      </c>
      <c r="J33" s="46"/>
    </row>
    <row r="34" spans="2:10" x14ac:dyDescent="0.25">
      <c r="B34" t="s">
        <v>24</v>
      </c>
      <c r="J34" s="46"/>
    </row>
  </sheetData>
  <mergeCells count="21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F947-3370-40F2-8A11-2D1D5E5EFBBC}">
  <dimension ref="A1:J34"/>
  <sheetViews>
    <sheetView view="pageBreakPreview" topLeftCell="A4" zoomScaleNormal="100" zoomScaleSheetLayoutView="100" workbookViewId="0">
      <selection activeCell="N13" sqref="N13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35</v>
      </c>
      <c r="F4" s="3"/>
      <c r="I4" s="3" t="s">
        <v>3</v>
      </c>
      <c r="J4" s="6">
        <v>45748</v>
      </c>
    </row>
    <row r="5" spans="1:10" x14ac:dyDescent="0.25">
      <c r="B5" s="3"/>
      <c r="C5" s="4"/>
      <c r="F5" s="3"/>
      <c r="I5" s="3" t="s">
        <v>4</v>
      </c>
      <c r="J5" s="6">
        <v>45777</v>
      </c>
    </row>
    <row r="6" spans="1:10" x14ac:dyDescent="0.25">
      <c r="A6" s="7" t="s">
        <v>5</v>
      </c>
      <c r="B6" s="8"/>
      <c r="E6" t="s">
        <v>6</v>
      </c>
      <c r="F6" s="48"/>
      <c r="G6" s="48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49" t="s">
        <v>8</v>
      </c>
      <c r="C8" s="49"/>
      <c r="D8" s="49"/>
      <c r="E8" s="49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47" t="s">
        <v>15</v>
      </c>
      <c r="C9" s="47"/>
      <c r="D9" s="47"/>
      <c r="E9" s="47"/>
      <c r="F9" s="17" t="s">
        <v>18</v>
      </c>
      <c r="G9" s="18">
        <v>413</v>
      </c>
      <c r="H9" s="19">
        <v>3</v>
      </c>
      <c r="I9" s="20">
        <f t="shared" ref="I9:I20" si="0">G9*H9</f>
        <v>1239</v>
      </c>
      <c r="J9" s="21"/>
    </row>
    <row r="10" spans="1:10" ht="28.95" customHeight="1" x14ac:dyDescent="0.3">
      <c r="A10" s="22" t="s">
        <v>16</v>
      </c>
      <c r="B10" s="47" t="s">
        <v>28</v>
      </c>
      <c r="C10" s="47"/>
      <c r="D10" s="47"/>
      <c r="E10" s="47"/>
      <c r="F10" s="23" t="s">
        <v>18</v>
      </c>
      <c r="G10" s="24">
        <v>450</v>
      </c>
      <c r="H10" s="19">
        <v>3</v>
      </c>
      <c r="I10" s="20">
        <f t="shared" si="0"/>
        <v>1350</v>
      </c>
      <c r="J10" s="21"/>
    </row>
    <row r="11" spans="1:10" ht="28.95" customHeight="1" x14ac:dyDescent="0.3">
      <c r="A11" s="22" t="s">
        <v>17</v>
      </c>
      <c r="B11" s="47" t="s">
        <v>25</v>
      </c>
      <c r="C11" s="47"/>
      <c r="D11" s="47"/>
      <c r="E11" s="47"/>
      <c r="F11" s="23" t="s">
        <v>18</v>
      </c>
      <c r="G11" s="24">
        <v>130</v>
      </c>
      <c r="H11" s="25">
        <v>18</v>
      </c>
      <c r="I11" s="26">
        <f t="shared" si="0"/>
        <v>2340</v>
      </c>
      <c r="J11" s="21"/>
    </row>
    <row r="12" spans="1:10" ht="30" customHeight="1" x14ac:dyDescent="0.3">
      <c r="A12" s="22" t="s">
        <v>19</v>
      </c>
      <c r="B12" s="47" t="s">
        <v>27</v>
      </c>
      <c r="C12" s="47"/>
      <c r="D12" s="47"/>
      <c r="E12" s="47"/>
      <c r="F12" s="23" t="s">
        <v>18</v>
      </c>
      <c r="G12" s="27">
        <v>160</v>
      </c>
      <c r="H12" s="28">
        <v>0</v>
      </c>
      <c r="I12" s="26">
        <f t="shared" si="0"/>
        <v>0</v>
      </c>
      <c r="J12" s="21"/>
    </row>
    <row r="13" spans="1:10" ht="30" customHeight="1" x14ac:dyDescent="0.3">
      <c r="A13" s="22" t="s">
        <v>20</v>
      </c>
      <c r="B13" s="47" t="s">
        <v>26</v>
      </c>
      <c r="C13" s="47"/>
      <c r="D13" s="47"/>
      <c r="E13" s="47"/>
      <c r="F13" s="23" t="s">
        <v>18</v>
      </c>
      <c r="G13" s="27">
        <v>285</v>
      </c>
      <c r="H13" s="28">
        <v>0</v>
      </c>
      <c r="I13" s="26">
        <f t="shared" si="0"/>
        <v>0</v>
      </c>
      <c r="J13" s="21"/>
    </row>
    <row r="14" spans="1:10" ht="30" customHeight="1" x14ac:dyDescent="0.3">
      <c r="A14" s="22" t="s">
        <v>21</v>
      </c>
      <c r="B14" s="47" t="s">
        <v>29</v>
      </c>
      <c r="C14" s="47"/>
      <c r="D14" s="47"/>
      <c r="E14" s="47"/>
      <c r="F14" s="23" t="s">
        <v>18</v>
      </c>
      <c r="G14" s="27">
        <v>150</v>
      </c>
      <c r="H14" s="28">
        <v>9</v>
      </c>
      <c r="I14" s="26">
        <f t="shared" si="0"/>
        <v>1350</v>
      </c>
      <c r="J14" s="21"/>
    </row>
    <row r="15" spans="1:10" ht="30" customHeight="1" x14ac:dyDescent="0.3">
      <c r="A15" s="22" t="s">
        <v>38</v>
      </c>
      <c r="B15" s="47" t="s">
        <v>30</v>
      </c>
      <c r="C15" s="47"/>
      <c r="D15" s="47"/>
      <c r="E15" s="47"/>
      <c r="F15" s="23" t="s">
        <v>18</v>
      </c>
      <c r="G15" s="29">
        <v>200</v>
      </c>
      <c r="H15" s="30">
        <v>0</v>
      </c>
      <c r="I15" s="20">
        <f t="shared" si="0"/>
        <v>0</v>
      </c>
      <c r="J15" s="21"/>
    </row>
    <row r="16" spans="1:10" ht="30" customHeight="1" x14ac:dyDescent="0.3">
      <c r="A16" s="22" t="s">
        <v>39</v>
      </c>
      <c r="B16" s="47" t="s">
        <v>31</v>
      </c>
      <c r="C16" s="47"/>
      <c r="D16" s="47"/>
      <c r="E16" s="47"/>
      <c r="F16" s="23" t="s">
        <v>18</v>
      </c>
      <c r="G16" s="27">
        <v>300</v>
      </c>
      <c r="H16" s="30">
        <v>0</v>
      </c>
      <c r="I16" s="26">
        <f t="shared" si="0"/>
        <v>0</v>
      </c>
      <c r="J16" s="21"/>
    </row>
    <row r="17" spans="1:10" ht="30" customHeight="1" x14ac:dyDescent="0.3">
      <c r="A17" s="31" t="s">
        <v>40</v>
      </c>
      <c r="B17" s="47" t="s">
        <v>32</v>
      </c>
      <c r="C17" s="47"/>
      <c r="D17" s="47"/>
      <c r="E17" s="47"/>
      <c r="F17" s="23" t="s">
        <v>18</v>
      </c>
      <c r="G17" s="33">
        <v>120</v>
      </c>
      <c r="H17" s="30">
        <v>9</v>
      </c>
      <c r="I17" s="35">
        <f t="shared" si="0"/>
        <v>1080</v>
      </c>
      <c r="J17" s="36"/>
    </row>
    <row r="18" spans="1:10" ht="30" customHeight="1" x14ac:dyDescent="0.3">
      <c r="A18" s="31" t="s">
        <v>41</v>
      </c>
      <c r="B18" s="47" t="s">
        <v>33</v>
      </c>
      <c r="C18" s="47"/>
      <c r="D18" s="47"/>
      <c r="E18" s="47"/>
      <c r="F18" s="23" t="s">
        <v>18</v>
      </c>
      <c r="G18" s="33">
        <v>150</v>
      </c>
      <c r="H18" s="30">
        <v>0</v>
      </c>
      <c r="I18" s="35">
        <f t="shared" si="0"/>
        <v>0</v>
      </c>
      <c r="J18" s="36"/>
    </row>
    <row r="19" spans="1:10" ht="30" customHeight="1" x14ac:dyDescent="0.3">
      <c r="A19" s="31" t="s">
        <v>42</v>
      </c>
      <c r="B19" s="47" t="s">
        <v>34</v>
      </c>
      <c r="C19" s="47"/>
      <c r="D19" s="47"/>
      <c r="E19" s="47"/>
      <c r="F19" s="23" t="s">
        <v>18</v>
      </c>
      <c r="G19" s="33">
        <v>210</v>
      </c>
      <c r="H19" s="30">
        <v>0</v>
      </c>
      <c r="I19" s="35">
        <f t="shared" si="0"/>
        <v>0</v>
      </c>
      <c r="J19" s="36"/>
    </row>
    <row r="20" spans="1:10" ht="30" customHeight="1" x14ac:dyDescent="0.3">
      <c r="A20" s="31" t="s">
        <v>43</v>
      </c>
      <c r="B20" s="52" t="s">
        <v>36</v>
      </c>
      <c r="C20" s="52"/>
      <c r="D20" s="52"/>
      <c r="E20" s="52"/>
      <c r="F20" s="23" t="s">
        <v>37</v>
      </c>
      <c r="G20" s="33">
        <v>45</v>
      </c>
      <c r="H20" s="30">
        <v>63</v>
      </c>
      <c r="I20" s="35">
        <f t="shared" si="0"/>
        <v>2835</v>
      </c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0"/>
      <c r="C23" s="50"/>
      <c r="D23" s="50"/>
      <c r="E23" s="50"/>
      <c r="F23" s="32"/>
      <c r="G23" s="33"/>
      <c r="H23" s="34"/>
      <c r="I23" s="35"/>
      <c r="J23" s="36"/>
    </row>
    <row r="24" spans="1:10" ht="30" customHeight="1" x14ac:dyDescent="0.3">
      <c r="A24" s="31"/>
      <c r="B24" s="50"/>
      <c r="C24" s="50"/>
      <c r="D24" s="50"/>
      <c r="E24" s="50"/>
      <c r="F24" s="32"/>
      <c r="G24" s="33"/>
      <c r="H24" s="34"/>
      <c r="I24" s="35"/>
      <c r="J24" s="36"/>
    </row>
    <row r="25" spans="1:10" ht="30" customHeight="1" x14ac:dyDescent="0.3">
      <c r="A25" s="31"/>
      <c r="B25" s="50"/>
      <c r="C25" s="50"/>
      <c r="D25" s="50"/>
      <c r="E25" s="50"/>
      <c r="F25" s="32"/>
      <c r="G25" s="33"/>
      <c r="H25" s="34"/>
      <c r="I25" s="35"/>
      <c r="J25" s="36"/>
    </row>
    <row r="26" spans="1:10" ht="30" customHeight="1" x14ac:dyDescent="0.3">
      <c r="A26" s="31"/>
      <c r="B26" s="51"/>
      <c r="C26" s="51"/>
      <c r="D26" s="51"/>
      <c r="E26" s="51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1"/>
      <c r="C27" s="51"/>
      <c r="D27" s="51"/>
      <c r="E27" s="51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22</v>
      </c>
      <c r="I28" s="44">
        <f>SUM(I9:I27)</f>
        <v>10194</v>
      </c>
      <c r="J28" s="45">
        <f>I28*kurs</f>
        <v>0</v>
      </c>
    </row>
    <row r="33" spans="2:10" x14ac:dyDescent="0.25">
      <c r="B33" t="s">
        <v>23</v>
      </c>
      <c r="J33" s="46"/>
    </row>
    <row r="34" spans="2:10" x14ac:dyDescent="0.25">
      <c r="B34" t="s">
        <v>24</v>
      </c>
      <c r="J34" s="46"/>
    </row>
  </sheetData>
  <mergeCells count="21"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2B51-91E4-4C98-9516-73DDC9AAF74A}">
  <dimension ref="A1:J34"/>
  <sheetViews>
    <sheetView view="pageBreakPreview" topLeftCell="A16" zoomScaleNormal="100" zoomScaleSheetLayoutView="100" workbookViewId="0">
      <selection activeCell="G21" sqref="G21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35</v>
      </c>
      <c r="F4" s="3"/>
      <c r="I4" s="3" t="s">
        <v>3</v>
      </c>
      <c r="J4" s="6">
        <v>45717</v>
      </c>
    </row>
    <row r="5" spans="1:10" x14ac:dyDescent="0.25">
      <c r="B5" s="3"/>
      <c r="C5" s="4"/>
      <c r="F5" s="3"/>
      <c r="I5" s="3" t="s">
        <v>4</v>
      </c>
      <c r="J5" s="6">
        <v>45747</v>
      </c>
    </row>
    <row r="6" spans="1:10" x14ac:dyDescent="0.25">
      <c r="A6" s="7" t="s">
        <v>5</v>
      </c>
      <c r="B6" s="8"/>
      <c r="E6" t="s">
        <v>6</v>
      </c>
      <c r="F6" s="48"/>
      <c r="G6" s="48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49" t="s">
        <v>8</v>
      </c>
      <c r="C8" s="49"/>
      <c r="D8" s="49"/>
      <c r="E8" s="49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47" t="s">
        <v>15</v>
      </c>
      <c r="C9" s="47"/>
      <c r="D9" s="47"/>
      <c r="E9" s="47"/>
      <c r="F9" s="17" t="s">
        <v>18</v>
      </c>
      <c r="G9" s="18">
        <v>413</v>
      </c>
      <c r="H9" s="19">
        <v>4</v>
      </c>
      <c r="I9" s="20">
        <f t="shared" ref="I9:I20" si="0">G9*H9</f>
        <v>1652</v>
      </c>
      <c r="J9" s="21"/>
    </row>
    <row r="10" spans="1:10" ht="28.95" customHeight="1" x14ac:dyDescent="0.3">
      <c r="A10" s="22" t="s">
        <v>16</v>
      </c>
      <c r="B10" s="47" t="s">
        <v>28</v>
      </c>
      <c r="C10" s="47"/>
      <c r="D10" s="47"/>
      <c r="E10" s="47"/>
      <c r="F10" s="23" t="s">
        <v>18</v>
      </c>
      <c r="G10" s="24">
        <v>450</v>
      </c>
      <c r="H10" s="19">
        <v>4</v>
      </c>
      <c r="I10" s="20">
        <f t="shared" si="0"/>
        <v>1800</v>
      </c>
      <c r="J10" s="21"/>
    </row>
    <row r="11" spans="1:10" ht="28.95" customHeight="1" x14ac:dyDescent="0.3">
      <c r="A11" s="22" t="s">
        <v>17</v>
      </c>
      <c r="B11" s="47" t="s">
        <v>25</v>
      </c>
      <c r="C11" s="47"/>
      <c r="D11" s="47"/>
      <c r="E11" s="47"/>
      <c r="F11" s="23" t="s">
        <v>18</v>
      </c>
      <c r="G11" s="24">
        <v>130</v>
      </c>
      <c r="H11" s="25">
        <v>13</v>
      </c>
      <c r="I11" s="26">
        <f t="shared" si="0"/>
        <v>1690</v>
      </c>
      <c r="J11" s="21"/>
    </row>
    <row r="12" spans="1:10" ht="30" customHeight="1" x14ac:dyDescent="0.3">
      <c r="A12" s="22" t="s">
        <v>19</v>
      </c>
      <c r="B12" s="47" t="s">
        <v>27</v>
      </c>
      <c r="C12" s="47"/>
      <c r="D12" s="47"/>
      <c r="E12" s="47"/>
      <c r="F12" s="23" t="s">
        <v>18</v>
      </c>
      <c r="G12" s="27">
        <v>160</v>
      </c>
      <c r="H12" s="28">
        <v>0</v>
      </c>
      <c r="I12" s="26">
        <f t="shared" si="0"/>
        <v>0</v>
      </c>
      <c r="J12" s="21"/>
    </row>
    <row r="13" spans="1:10" ht="30" customHeight="1" x14ac:dyDescent="0.3">
      <c r="A13" s="22" t="s">
        <v>20</v>
      </c>
      <c r="B13" s="47" t="s">
        <v>26</v>
      </c>
      <c r="C13" s="47"/>
      <c r="D13" s="47"/>
      <c r="E13" s="47"/>
      <c r="F13" s="23" t="s">
        <v>18</v>
      </c>
      <c r="G13" s="27">
        <v>285</v>
      </c>
      <c r="H13" s="28">
        <v>0</v>
      </c>
      <c r="I13" s="26">
        <f t="shared" si="0"/>
        <v>0</v>
      </c>
      <c r="J13" s="21"/>
    </row>
    <row r="14" spans="1:10" ht="30" customHeight="1" x14ac:dyDescent="0.3">
      <c r="A14" s="22" t="s">
        <v>21</v>
      </c>
      <c r="B14" s="47" t="s">
        <v>29</v>
      </c>
      <c r="C14" s="47"/>
      <c r="D14" s="47"/>
      <c r="E14" s="47"/>
      <c r="F14" s="23" t="s">
        <v>18</v>
      </c>
      <c r="G14" s="27">
        <v>150</v>
      </c>
      <c r="H14" s="28">
        <v>7</v>
      </c>
      <c r="I14" s="26">
        <f t="shared" si="0"/>
        <v>1050</v>
      </c>
      <c r="J14" s="21"/>
    </row>
    <row r="15" spans="1:10" ht="30" customHeight="1" x14ac:dyDescent="0.3">
      <c r="A15" s="22" t="s">
        <v>38</v>
      </c>
      <c r="B15" s="47" t="s">
        <v>30</v>
      </c>
      <c r="C15" s="47"/>
      <c r="D15" s="47"/>
      <c r="E15" s="47"/>
      <c r="F15" s="23" t="s">
        <v>18</v>
      </c>
      <c r="G15" s="29">
        <v>200</v>
      </c>
      <c r="H15" s="30">
        <v>0</v>
      </c>
      <c r="I15" s="20">
        <f t="shared" si="0"/>
        <v>0</v>
      </c>
      <c r="J15" s="21"/>
    </row>
    <row r="16" spans="1:10" ht="30" customHeight="1" x14ac:dyDescent="0.3">
      <c r="A16" s="22" t="s">
        <v>39</v>
      </c>
      <c r="B16" s="47" t="s">
        <v>31</v>
      </c>
      <c r="C16" s="47"/>
      <c r="D16" s="47"/>
      <c r="E16" s="47"/>
      <c r="F16" s="23" t="s">
        <v>18</v>
      </c>
      <c r="G16" s="27">
        <v>300</v>
      </c>
      <c r="H16" s="30">
        <v>0</v>
      </c>
      <c r="I16" s="26">
        <f t="shared" si="0"/>
        <v>0</v>
      </c>
      <c r="J16" s="21"/>
    </row>
    <row r="17" spans="1:10" ht="30" customHeight="1" x14ac:dyDescent="0.3">
      <c r="A17" s="31" t="s">
        <v>40</v>
      </c>
      <c r="B17" s="47" t="s">
        <v>32</v>
      </c>
      <c r="C17" s="47"/>
      <c r="D17" s="47"/>
      <c r="E17" s="47"/>
      <c r="F17" s="23" t="s">
        <v>18</v>
      </c>
      <c r="G17" s="33">
        <v>120</v>
      </c>
      <c r="H17" s="30">
        <v>7</v>
      </c>
      <c r="I17" s="35">
        <f t="shared" si="0"/>
        <v>840</v>
      </c>
      <c r="J17" s="36"/>
    </row>
    <row r="18" spans="1:10" ht="30" customHeight="1" x14ac:dyDescent="0.3">
      <c r="A18" s="31" t="s">
        <v>41</v>
      </c>
      <c r="B18" s="47" t="s">
        <v>33</v>
      </c>
      <c r="C18" s="47"/>
      <c r="D18" s="47"/>
      <c r="E18" s="47"/>
      <c r="F18" s="23" t="s">
        <v>18</v>
      </c>
      <c r="G18" s="33">
        <v>150</v>
      </c>
      <c r="H18" s="30">
        <v>0</v>
      </c>
      <c r="I18" s="35">
        <f t="shared" si="0"/>
        <v>0</v>
      </c>
      <c r="J18" s="36"/>
    </row>
    <row r="19" spans="1:10" ht="30" customHeight="1" x14ac:dyDescent="0.3">
      <c r="A19" s="31" t="s">
        <v>42</v>
      </c>
      <c r="B19" s="47" t="s">
        <v>34</v>
      </c>
      <c r="C19" s="47"/>
      <c r="D19" s="47"/>
      <c r="E19" s="47"/>
      <c r="F19" s="23" t="s">
        <v>18</v>
      </c>
      <c r="G19" s="33">
        <v>210</v>
      </c>
      <c r="H19" s="30">
        <v>0</v>
      </c>
      <c r="I19" s="35">
        <f t="shared" si="0"/>
        <v>0</v>
      </c>
      <c r="J19" s="36"/>
    </row>
    <row r="20" spans="1:10" ht="30" customHeight="1" x14ac:dyDescent="0.3">
      <c r="A20" s="31" t="s">
        <v>43</v>
      </c>
      <c r="B20" s="52" t="s">
        <v>36</v>
      </c>
      <c r="C20" s="52"/>
      <c r="D20" s="52"/>
      <c r="E20" s="52"/>
      <c r="F20" s="23" t="s">
        <v>37</v>
      </c>
      <c r="G20" s="33">
        <v>45</v>
      </c>
      <c r="H20" s="30">
        <v>47</v>
      </c>
      <c r="I20" s="35">
        <f t="shared" si="0"/>
        <v>2115</v>
      </c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0"/>
      <c r="C23" s="50"/>
      <c r="D23" s="50"/>
      <c r="E23" s="50"/>
      <c r="F23" s="32"/>
      <c r="G23" s="33"/>
      <c r="H23" s="34"/>
      <c r="I23" s="35"/>
      <c r="J23" s="36"/>
    </row>
    <row r="24" spans="1:10" ht="30" customHeight="1" x14ac:dyDescent="0.3">
      <c r="A24" s="31"/>
      <c r="B24" s="50"/>
      <c r="C24" s="50"/>
      <c r="D24" s="50"/>
      <c r="E24" s="50"/>
      <c r="F24" s="32"/>
      <c r="G24" s="33"/>
      <c r="H24" s="34"/>
      <c r="I24" s="35"/>
      <c r="J24" s="36"/>
    </row>
    <row r="25" spans="1:10" ht="30" customHeight="1" x14ac:dyDescent="0.3">
      <c r="A25" s="31"/>
      <c r="B25" s="50"/>
      <c r="C25" s="50"/>
      <c r="D25" s="50"/>
      <c r="E25" s="50"/>
      <c r="F25" s="32"/>
      <c r="G25" s="33"/>
      <c r="H25" s="34"/>
      <c r="I25" s="35"/>
      <c r="J25" s="36"/>
    </row>
    <row r="26" spans="1:10" ht="30" customHeight="1" x14ac:dyDescent="0.3">
      <c r="A26" s="31"/>
      <c r="B26" s="51"/>
      <c r="C26" s="51"/>
      <c r="D26" s="51"/>
      <c r="E26" s="51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1"/>
      <c r="C27" s="51"/>
      <c r="D27" s="51"/>
      <c r="E27" s="51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22</v>
      </c>
      <c r="I28" s="44">
        <f>SUM(I9:I27)</f>
        <v>9147</v>
      </c>
      <c r="J28" s="45">
        <f>I28*kurs</f>
        <v>0</v>
      </c>
    </row>
    <row r="33" spans="2:10" x14ac:dyDescent="0.25">
      <c r="B33" t="s">
        <v>23</v>
      </c>
      <c r="J33" s="46"/>
    </row>
    <row r="34" spans="2:10" x14ac:dyDescent="0.25">
      <c r="B34" t="s">
        <v>24</v>
      </c>
      <c r="J34" s="46"/>
    </row>
  </sheetData>
  <mergeCells count="21"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C407-18CA-4067-B019-699656393AB4}">
  <dimension ref="A1:J34"/>
  <sheetViews>
    <sheetView view="pageBreakPreview" zoomScaleNormal="100" zoomScaleSheetLayoutView="100" workbookViewId="0">
      <selection activeCell="B9" sqref="B9:E9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35</v>
      </c>
      <c r="F4" s="3"/>
      <c r="I4" s="3" t="s">
        <v>3</v>
      </c>
      <c r="J4" s="6">
        <v>45689</v>
      </c>
    </row>
    <row r="5" spans="1:10" x14ac:dyDescent="0.25">
      <c r="B5" s="3"/>
      <c r="C5" s="4"/>
      <c r="F5" s="3"/>
      <c r="I5" s="3" t="s">
        <v>4</v>
      </c>
      <c r="J5" s="6">
        <v>45716</v>
      </c>
    </row>
    <row r="6" spans="1:10" x14ac:dyDescent="0.25">
      <c r="A6" s="7" t="s">
        <v>5</v>
      </c>
      <c r="B6" s="8"/>
      <c r="E6" t="s">
        <v>6</v>
      </c>
      <c r="F6" s="48">
        <v>2502004326</v>
      </c>
      <c r="G6" s="48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49" t="s">
        <v>8</v>
      </c>
      <c r="C8" s="49"/>
      <c r="D8" s="49"/>
      <c r="E8" s="49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47" t="s">
        <v>15</v>
      </c>
      <c r="C9" s="47"/>
      <c r="D9" s="47"/>
      <c r="E9" s="47"/>
      <c r="F9" s="17" t="s">
        <v>18</v>
      </c>
      <c r="G9" s="18">
        <v>413</v>
      </c>
      <c r="H9" s="19">
        <v>5</v>
      </c>
      <c r="I9" s="20">
        <f t="shared" ref="I9:I20" si="0">G9*H9</f>
        <v>2065</v>
      </c>
      <c r="J9" s="21"/>
    </row>
    <row r="10" spans="1:10" ht="28.95" customHeight="1" x14ac:dyDescent="0.3">
      <c r="A10" s="22" t="s">
        <v>16</v>
      </c>
      <c r="B10" s="47" t="s">
        <v>28</v>
      </c>
      <c r="C10" s="47"/>
      <c r="D10" s="47"/>
      <c r="E10" s="47"/>
      <c r="F10" s="23" t="s">
        <v>18</v>
      </c>
      <c r="G10" s="24">
        <v>450</v>
      </c>
      <c r="H10" s="19">
        <v>5</v>
      </c>
      <c r="I10" s="20">
        <f t="shared" si="0"/>
        <v>2250</v>
      </c>
      <c r="J10" s="21"/>
    </row>
    <row r="11" spans="1:10" ht="28.95" customHeight="1" x14ac:dyDescent="0.3">
      <c r="A11" s="22" t="s">
        <v>17</v>
      </c>
      <c r="B11" s="47" t="s">
        <v>25</v>
      </c>
      <c r="C11" s="47"/>
      <c r="D11" s="47"/>
      <c r="E11" s="47"/>
      <c r="F11" s="23" t="s">
        <v>18</v>
      </c>
      <c r="G11" s="24">
        <v>130</v>
      </c>
      <c r="H11" s="25">
        <v>16</v>
      </c>
      <c r="I11" s="26">
        <f t="shared" si="0"/>
        <v>2080</v>
      </c>
      <c r="J11" s="21"/>
    </row>
    <row r="12" spans="1:10" ht="30" customHeight="1" x14ac:dyDescent="0.3">
      <c r="A12" s="22" t="s">
        <v>19</v>
      </c>
      <c r="B12" s="47" t="s">
        <v>27</v>
      </c>
      <c r="C12" s="47"/>
      <c r="D12" s="47"/>
      <c r="E12" s="47"/>
      <c r="F12" s="23" t="s">
        <v>18</v>
      </c>
      <c r="G12" s="27">
        <v>160</v>
      </c>
      <c r="H12" s="28">
        <v>1</v>
      </c>
      <c r="I12" s="26">
        <f t="shared" si="0"/>
        <v>160</v>
      </c>
      <c r="J12" s="21"/>
    </row>
    <row r="13" spans="1:10" ht="30" customHeight="1" x14ac:dyDescent="0.3">
      <c r="A13" s="22" t="s">
        <v>20</v>
      </c>
      <c r="B13" s="47" t="s">
        <v>26</v>
      </c>
      <c r="C13" s="47"/>
      <c r="D13" s="47"/>
      <c r="E13" s="47"/>
      <c r="F13" s="23" t="s">
        <v>18</v>
      </c>
      <c r="G13" s="27">
        <v>285</v>
      </c>
      <c r="H13" s="28">
        <v>0</v>
      </c>
      <c r="I13" s="26">
        <f t="shared" si="0"/>
        <v>0</v>
      </c>
      <c r="J13" s="21"/>
    </row>
    <row r="14" spans="1:10" ht="30" customHeight="1" x14ac:dyDescent="0.3">
      <c r="A14" s="22" t="s">
        <v>21</v>
      </c>
      <c r="B14" s="47" t="s">
        <v>29</v>
      </c>
      <c r="C14" s="47"/>
      <c r="D14" s="47"/>
      <c r="E14" s="47"/>
      <c r="F14" s="23" t="s">
        <v>18</v>
      </c>
      <c r="G14" s="27">
        <v>150</v>
      </c>
      <c r="H14" s="28">
        <v>9</v>
      </c>
      <c r="I14" s="26">
        <f t="shared" si="0"/>
        <v>1350</v>
      </c>
      <c r="J14" s="21"/>
    </row>
    <row r="15" spans="1:10" ht="30" customHeight="1" x14ac:dyDescent="0.3">
      <c r="A15" s="22" t="s">
        <v>38</v>
      </c>
      <c r="B15" s="47" t="s">
        <v>30</v>
      </c>
      <c r="C15" s="47"/>
      <c r="D15" s="47"/>
      <c r="E15" s="47"/>
      <c r="F15" s="23" t="s">
        <v>18</v>
      </c>
      <c r="G15" s="29">
        <v>200</v>
      </c>
      <c r="H15" s="30">
        <v>0</v>
      </c>
      <c r="I15" s="20">
        <f t="shared" si="0"/>
        <v>0</v>
      </c>
      <c r="J15" s="21"/>
    </row>
    <row r="16" spans="1:10" ht="30" customHeight="1" x14ac:dyDescent="0.3">
      <c r="A16" s="22" t="s">
        <v>39</v>
      </c>
      <c r="B16" s="47" t="s">
        <v>31</v>
      </c>
      <c r="C16" s="47"/>
      <c r="D16" s="47"/>
      <c r="E16" s="47"/>
      <c r="F16" s="23" t="s">
        <v>18</v>
      </c>
      <c r="G16" s="27">
        <v>300</v>
      </c>
      <c r="H16" s="30">
        <v>0</v>
      </c>
      <c r="I16" s="26">
        <f t="shared" si="0"/>
        <v>0</v>
      </c>
      <c r="J16" s="21"/>
    </row>
    <row r="17" spans="1:10" ht="30" customHeight="1" x14ac:dyDescent="0.3">
      <c r="A17" s="31" t="s">
        <v>40</v>
      </c>
      <c r="B17" s="47" t="s">
        <v>32</v>
      </c>
      <c r="C17" s="47"/>
      <c r="D17" s="47"/>
      <c r="E17" s="47"/>
      <c r="F17" s="23" t="s">
        <v>18</v>
      </c>
      <c r="G17" s="33">
        <v>120</v>
      </c>
      <c r="H17" s="30">
        <v>10</v>
      </c>
      <c r="I17" s="35">
        <f t="shared" si="0"/>
        <v>1200</v>
      </c>
      <c r="J17" s="36"/>
    </row>
    <row r="18" spans="1:10" ht="30" customHeight="1" x14ac:dyDescent="0.3">
      <c r="A18" s="31" t="s">
        <v>41</v>
      </c>
      <c r="B18" s="47" t="s">
        <v>33</v>
      </c>
      <c r="C18" s="47"/>
      <c r="D18" s="47"/>
      <c r="E18" s="47"/>
      <c r="F18" s="23" t="s">
        <v>18</v>
      </c>
      <c r="G18" s="33">
        <v>150</v>
      </c>
      <c r="H18" s="30">
        <v>0</v>
      </c>
      <c r="I18" s="35">
        <f t="shared" si="0"/>
        <v>0</v>
      </c>
      <c r="J18" s="36"/>
    </row>
    <row r="19" spans="1:10" ht="30" customHeight="1" x14ac:dyDescent="0.3">
      <c r="A19" s="31" t="s">
        <v>42</v>
      </c>
      <c r="B19" s="47" t="s">
        <v>34</v>
      </c>
      <c r="C19" s="47"/>
      <c r="D19" s="47"/>
      <c r="E19" s="47"/>
      <c r="F19" s="23" t="s">
        <v>18</v>
      </c>
      <c r="G19" s="33">
        <v>210</v>
      </c>
      <c r="H19" s="30">
        <v>0</v>
      </c>
      <c r="I19" s="35">
        <f t="shared" si="0"/>
        <v>0</v>
      </c>
      <c r="J19" s="36"/>
    </row>
    <row r="20" spans="1:10" ht="30" customHeight="1" x14ac:dyDescent="0.3">
      <c r="A20" s="31" t="s">
        <v>43</v>
      </c>
      <c r="B20" s="52" t="s">
        <v>36</v>
      </c>
      <c r="C20" s="52"/>
      <c r="D20" s="52"/>
      <c r="E20" s="52"/>
      <c r="F20" s="23" t="s">
        <v>37</v>
      </c>
      <c r="G20" s="33">
        <v>45</v>
      </c>
      <c r="H20" s="30">
        <v>63</v>
      </c>
      <c r="I20" s="35">
        <f t="shared" si="0"/>
        <v>2835</v>
      </c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0"/>
      <c r="C23" s="50"/>
      <c r="D23" s="50"/>
      <c r="E23" s="50"/>
      <c r="F23" s="32"/>
      <c r="G23" s="33"/>
      <c r="H23" s="34"/>
      <c r="I23" s="35"/>
      <c r="J23" s="36"/>
    </row>
    <row r="24" spans="1:10" ht="30" customHeight="1" x14ac:dyDescent="0.3">
      <c r="A24" s="31"/>
      <c r="B24" s="50"/>
      <c r="C24" s="50"/>
      <c r="D24" s="50"/>
      <c r="E24" s="50"/>
      <c r="F24" s="32"/>
      <c r="G24" s="33"/>
      <c r="H24" s="34"/>
      <c r="I24" s="35"/>
      <c r="J24" s="36"/>
    </row>
    <row r="25" spans="1:10" ht="30" customHeight="1" x14ac:dyDescent="0.3">
      <c r="A25" s="31"/>
      <c r="B25" s="50"/>
      <c r="C25" s="50"/>
      <c r="D25" s="50"/>
      <c r="E25" s="50"/>
      <c r="F25" s="32"/>
      <c r="G25" s="33"/>
      <c r="H25" s="34"/>
      <c r="I25" s="35"/>
      <c r="J25" s="36"/>
    </row>
    <row r="26" spans="1:10" ht="30" customHeight="1" x14ac:dyDescent="0.3">
      <c r="A26" s="31"/>
      <c r="B26" s="51"/>
      <c r="C26" s="51"/>
      <c r="D26" s="51"/>
      <c r="E26" s="51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1"/>
      <c r="C27" s="51"/>
      <c r="D27" s="51"/>
      <c r="E27" s="51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22</v>
      </c>
      <c r="I28" s="44">
        <f>SUM(I9:I27)</f>
        <v>11940</v>
      </c>
      <c r="J28" s="45">
        <f>I28*kurs</f>
        <v>0</v>
      </c>
    </row>
    <row r="33" spans="2:10" x14ac:dyDescent="0.25">
      <c r="B33" t="s">
        <v>23</v>
      </c>
      <c r="J33" s="46"/>
    </row>
    <row r="34" spans="2:10" x14ac:dyDescent="0.25">
      <c r="B34" t="s">
        <v>24</v>
      </c>
      <c r="J34" s="46"/>
    </row>
  </sheetData>
  <mergeCells count="21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3305-881B-4120-8CE4-F2DEE17C04B8}">
  <dimension ref="A1:J34"/>
  <sheetViews>
    <sheetView view="pageBreakPreview" zoomScaleNormal="100" zoomScaleSheetLayoutView="100" workbookViewId="0">
      <selection activeCell="E4" sqref="E4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35</v>
      </c>
      <c r="F4" s="3"/>
      <c r="I4" s="3" t="s">
        <v>3</v>
      </c>
      <c r="J4" s="6">
        <v>45658</v>
      </c>
    </row>
    <row r="5" spans="1:10" x14ac:dyDescent="0.25">
      <c r="B5" s="3"/>
      <c r="C5" s="4"/>
      <c r="F5" s="3"/>
      <c r="I5" s="3" t="s">
        <v>4</v>
      </c>
      <c r="J5" s="6">
        <v>45688</v>
      </c>
    </row>
    <row r="6" spans="1:10" x14ac:dyDescent="0.25">
      <c r="A6" s="7" t="s">
        <v>5</v>
      </c>
      <c r="B6" s="8"/>
      <c r="E6" t="s">
        <v>6</v>
      </c>
      <c r="F6" s="48">
        <v>2406015392</v>
      </c>
      <c r="G6" s="48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49" t="s">
        <v>8</v>
      </c>
      <c r="C8" s="49"/>
      <c r="D8" s="49"/>
      <c r="E8" s="49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47" t="s">
        <v>15</v>
      </c>
      <c r="C9" s="47"/>
      <c r="D9" s="47"/>
      <c r="E9" s="47"/>
      <c r="F9" s="17" t="s">
        <v>18</v>
      </c>
      <c r="G9" s="18">
        <v>413</v>
      </c>
      <c r="H9" s="19">
        <v>7</v>
      </c>
      <c r="I9" s="20">
        <f t="shared" ref="I9:I19" si="0">G9*H9</f>
        <v>2891</v>
      </c>
      <c r="J9" s="21"/>
    </row>
    <row r="10" spans="1:10" ht="28.95" customHeight="1" x14ac:dyDescent="0.3">
      <c r="A10" s="22" t="s">
        <v>16</v>
      </c>
      <c r="B10" s="47" t="s">
        <v>28</v>
      </c>
      <c r="C10" s="47"/>
      <c r="D10" s="47"/>
      <c r="E10" s="47"/>
      <c r="F10" s="23" t="s">
        <v>18</v>
      </c>
      <c r="G10" s="24">
        <v>450</v>
      </c>
      <c r="H10" s="19">
        <v>7</v>
      </c>
      <c r="I10" s="20">
        <f t="shared" si="0"/>
        <v>3150</v>
      </c>
      <c r="J10" s="21"/>
    </row>
    <row r="11" spans="1:10" ht="28.95" customHeight="1" x14ac:dyDescent="0.3">
      <c r="A11" s="22" t="s">
        <v>17</v>
      </c>
      <c r="B11" s="47" t="s">
        <v>25</v>
      </c>
      <c r="C11" s="47"/>
      <c r="D11" s="47"/>
      <c r="E11" s="47"/>
      <c r="F11" s="23" t="s">
        <v>18</v>
      </c>
      <c r="G11" s="24">
        <v>130</v>
      </c>
      <c r="H11" s="25">
        <v>1</v>
      </c>
      <c r="I11" s="26">
        <f t="shared" si="0"/>
        <v>130</v>
      </c>
      <c r="J11" s="21"/>
    </row>
    <row r="12" spans="1:10" ht="30" customHeight="1" x14ac:dyDescent="0.3">
      <c r="A12" s="22" t="s">
        <v>19</v>
      </c>
      <c r="B12" s="47" t="s">
        <v>27</v>
      </c>
      <c r="C12" s="47"/>
      <c r="D12" s="47"/>
      <c r="E12" s="47"/>
      <c r="F12" s="23" t="s">
        <v>18</v>
      </c>
      <c r="G12" s="27">
        <v>160</v>
      </c>
      <c r="H12" s="28">
        <v>5</v>
      </c>
      <c r="I12" s="26">
        <f t="shared" si="0"/>
        <v>800</v>
      </c>
      <c r="J12" s="21"/>
    </row>
    <row r="13" spans="1:10" ht="30" customHeight="1" x14ac:dyDescent="0.3">
      <c r="A13" s="22" t="s">
        <v>20</v>
      </c>
      <c r="B13" s="47" t="s">
        <v>26</v>
      </c>
      <c r="C13" s="47"/>
      <c r="D13" s="47"/>
      <c r="E13" s="47"/>
      <c r="F13" s="23" t="s">
        <v>18</v>
      </c>
      <c r="G13" s="27">
        <v>285</v>
      </c>
      <c r="H13" s="28">
        <v>0</v>
      </c>
      <c r="I13" s="26">
        <f t="shared" si="0"/>
        <v>0</v>
      </c>
      <c r="J13" s="21"/>
    </row>
    <row r="14" spans="1:10" ht="30" customHeight="1" x14ac:dyDescent="0.3">
      <c r="A14" s="22" t="s">
        <v>21</v>
      </c>
      <c r="B14" s="47" t="s">
        <v>29</v>
      </c>
      <c r="C14" s="47"/>
      <c r="D14" s="47"/>
      <c r="E14" s="47"/>
      <c r="F14" s="23" t="s">
        <v>18</v>
      </c>
      <c r="G14" s="27">
        <v>150</v>
      </c>
      <c r="H14" s="28">
        <v>0</v>
      </c>
      <c r="I14" s="26">
        <f t="shared" si="0"/>
        <v>0</v>
      </c>
      <c r="J14" s="21"/>
    </row>
    <row r="15" spans="1:10" ht="30" customHeight="1" x14ac:dyDescent="0.3">
      <c r="A15" s="22"/>
      <c r="B15" s="47" t="s">
        <v>30</v>
      </c>
      <c r="C15" s="47"/>
      <c r="D15" s="47"/>
      <c r="E15" s="47"/>
      <c r="F15" s="23" t="s">
        <v>18</v>
      </c>
      <c r="G15" s="29">
        <v>200</v>
      </c>
      <c r="H15" s="30">
        <v>4</v>
      </c>
      <c r="I15" s="20">
        <f t="shared" si="0"/>
        <v>800</v>
      </c>
      <c r="J15" s="21"/>
    </row>
    <row r="16" spans="1:10" ht="30" customHeight="1" x14ac:dyDescent="0.3">
      <c r="A16" s="22"/>
      <c r="B16" s="47" t="s">
        <v>31</v>
      </c>
      <c r="C16" s="47"/>
      <c r="D16" s="47"/>
      <c r="E16" s="47"/>
      <c r="F16" s="23" t="s">
        <v>18</v>
      </c>
      <c r="G16" s="27">
        <v>300</v>
      </c>
      <c r="H16" s="30">
        <v>0</v>
      </c>
      <c r="I16" s="26">
        <f t="shared" si="0"/>
        <v>0</v>
      </c>
      <c r="J16" s="21"/>
    </row>
    <row r="17" spans="1:10" ht="30" customHeight="1" x14ac:dyDescent="0.3">
      <c r="A17" s="31"/>
      <c r="B17" s="47" t="s">
        <v>32</v>
      </c>
      <c r="C17" s="47"/>
      <c r="D17" s="47"/>
      <c r="E17" s="47"/>
      <c r="F17" s="23" t="s">
        <v>18</v>
      </c>
      <c r="G17" s="33">
        <v>120</v>
      </c>
      <c r="H17" s="30">
        <v>4</v>
      </c>
      <c r="I17" s="35">
        <f t="shared" si="0"/>
        <v>480</v>
      </c>
      <c r="J17" s="36"/>
    </row>
    <row r="18" spans="1:10" ht="30" customHeight="1" x14ac:dyDescent="0.3">
      <c r="A18" s="37"/>
      <c r="B18" s="47" t="s">
        <v>33</v>
      </c>
      <c r="C18" s="47"/>
      <c r="D18" s="47"/>
      <c r="E18" s="47"/>
      <c r="F18" s="23" t="s">
        <v>18</v>
      </c>
      <c r="G18" s="33">
        <v>150</v>
      </c>
      <c r="H18" s="30">
        <v>3</v>
      </c>
      <c r="I18" s="35">
        <f t="shared" si="0"/>
        <v>450</v>
      </c>
      <c r="J18" s="36"/>
    </row>
    <row r="19" spans="1:10" ht="30" customHeight="1" x14ac:dyDescent="0.3">
      <c r="A19" s="31"/>
      <c r="B19" s="47" t="s">
        <v>34</v>
      </c>
      <c r="C19" s="47"/>
      <c r="D19" s="47"/>
      <c r="E19" s="47"/>
      <c r="F19" s="23" t="s">
        <v>18</v>
      </c>
      <c r="G19" s="33">
        <v>210</v>
      </c>
      <c r="H19" s="30">
        <v>0</v>
      </c>
      <c r="I19" s="35">
        <f t="shared" si="0"/>
        <v>0</v>
      </c>
      <c r="J19" s="36"/>
    </row>
    <row r="20" spans="1:10" ht="30" customHeight="1" x14ac:dyDescent="0.3">
      <c r="A20" s="31"/>
      <c r="B20" s="52"/>
      <c r="C20" s="52"/>
      <c r="D20" s="52"/>
      <c r="E20" s="52"/>
      <c r="F20" s="32"/>
      <c r="G20" s="33"/>
      <c r="H20" s="34"/>
      <c r="I20" s="35"/>
      <c r="J20" s="36"/>
    </row>
    <row r="21" spans="1:10" ht="30" customHeight="1" x14ac:dyDescent="0.3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3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3">
      <c r="A23" s="31"/>
      <c r="B23" s="50"/>
      <c r="C23" s="50"/>
      <c r="D23" s="50"/>
      <c r="E23" s="50"/>
      <c r="F23" s="32"/>
      <c r="G23" s="33"/>
      <c r="H23" s="34"/>
      <c r="I23" s="35"/>
      <c r="J23" s="36"/>
    </row>
    <row r="24" spans="1:10" ht="30" customHeight="1" x14ac:dyDescent="0.3">
      <c r="A24" s="31"/>
      <c r="B24" s="50"/>
      <c r="C24" s="50"/>
      <c r="D24" s="50"/>
      <c r="E24" s="50"/>
      <c r="F24" s="32"/>
      <c r="G24" s="33"/>
      <c r="H24" s="34"/>
      <c r="I24" s="35"/>
      <c r="J24" s="36"/>
    </row>
    <row r="25" spans="1:10" ht="30" customHeight="1" x14ac:dyDescent="0.3">
      <c r="A25" s="31"/>
      <c r="B25" s="50"/>
      <c r="C25" s="50"/>
      <c r="D25" s="50"/>
      <c r="E25" s="50"/>
      <c r="F25" s="32"/>
      <c r="G25" s="33"/>
      <c r="H25" s="34"/>
      <c r="I25" s="35"/>
      <c r="J25" s="36"/>
    </row>
    <row r="26" spans="1:10" ht="30" customHeight="1" x14ac:dyDescent="0.3">
      <c r="A26" s="31"/>
      <c r="B26" s="51"/>
      <c r="C26" s="51"/>
      <c r="D26" s="51"/>
      <c r="E26" s="51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1"/>
      <c r="C27" s="51"/>
      <c r="D27" s="51"/>
      <c r="E27" s="51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22</v>
      </c>
      <c r="I28" s="44">
        <f>SUM(I9:I27)</f>
        <v>8701</v>
      </c>
      <c r="J28" s="45">
        <f>I28*kurs</f>
        <v>0</v>
      </c>
    </row>
    <row r="33" spans="2:10" x14ac:dyDescent="0.25">
      <c r="B33" t="s">
        <v>23</v>
      </c>
      <c r="J33" s="46"/>
    </row>
    <row r="34" spans="2:10" x14ac:dyDescent="0.25">
      <c r="B34" t="s">
        <v>24</v>
      </c>
      <c r="J34" s="46"/>
    </row>
  </sheetData>
  <mergeCells count="21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decembar 2025</vt:lpstr>
      <vt:lpstr>novembar 2025</vt:lpstr>
      <vt:lpstr>oktobar 2025</vt:lpstr>
      <vt:lpstr>septembar 2025</vt:lpstr>
      <vt:lpstr>avgust 2025</vt:lpstr>
      <vt:lpstr>jul2025</vt:lpstr>
      <vt:lpstr>jun2025</vt:lpstr>
      <vt:lpstr>april2025</vt:lpstr>
      <vt:lpstr>mart2025</vt:lpstr>
      <vt:lpstr>feb2025</vt:lpstr>
      <vt:lpstr>jan2025</vt:lpstr>
      <vt:lpstr>april2025!kurs</vt:lpstr>
      <vt:lpstr>'avgust 2025'!kurs</vt:lpstr>
      <vt:lpstr>'decembar 2025'!kurs</vt:lpstr>
      <vt:lpstr>'feb2025'!kurs</vt:lpstr>
      <vt:lpstr>'jan2025'!kurs</vt:lpstr>
      <vt:lpstr>'jul2025'!kurs</vt:lpstr>
      <vt:lpstr>'jun2025'!kurs</vt:lpstr>
      <vt:lpstr>mart2025!kurs</vt:lpstr>
      <vt:lpstr>'novembar 2025'!kurs</vt:lpstr>
      <vt:lpstr>'oktobar 2025'!kurs</vt:lpstr>
      <vt:lpstr>'septembar 2025'!kurs</vt:lpstr>
      <vt:lpstr>april2025!Print_Area</vt:lpstr>
      <vt:lpstr>'avgust 2025'!Print_Area</vt:lpstr>
      <vt:lpstr>'decembar 2025'!Print_Area</vt:lpstr>
      <vt:lpstr>'feb2025'!Print_Area</vt:lpstr>
      <vt:lpstr>'jan2025'!Print_Area</vt:lpstr>
      <vt:lpstr>'jul2025'!Print_Area</vt:lpstr>
      <vt:lpstr>'jun2025'!Print_Area</vt:lpstr>
      <vt:lpstr>mart2025!Print_Area</vt:lpstr>
      <vt:lpstr>'novembar 2025'!Print_Area</vt:lpstr>
      <vt:lpstr>'oktobar 2025'!Print_Area</vt:lpstr>
      <vt:lpstr>'septembar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Branimir Trickovic</cp:lastModifiedBy>
  <dcterms:created xsi:type="dcterms:W3CDTF">2025-02-10T14:20:52Z</dcterms:created>
  <dcterms:modified xsi:type="dcterms:W3CDTF">2026-01-09T13:33:24Z</dcterms:modified>
</cp:coreProperties>
</file>