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T:\Distribucija i domaci transport\Madame coco 2026\"/>
    </mc:Choice>
  </mc:AlternateContent>
  <xr:revisionPtr revIDLastSave="0" documentId="13_ncr:1_{F64E9CCC-4FF5-4CDC-98BC-C4200964DCD2}" xr6:coauthVersionLast="47" xr6:coauthVersionMax="47" xr10:uidLastSave="{00000000-0000-0000-0000-000000000000}"/>
  <bookViews>
    <workbookView xWindow="-108" yWindow="-108" windowWidth="23256" windowHeight="12456" activeTab="4" xr2:uid="{2623D9C1-5778-413A-9D33-BCFCC27D2275}"/>
  </bookViews>
  <sheets>
    <sheet name="Januar" sheetId="1" r:id="rId1"/>
    <sheet name="Februar" sheetId="3" r:id="rId2"/>
    <sheet name="Mart" sheetId="4" r:id="rId3"/>
    <sheet name="April" sheetId="6" r:id="rId4"/>
    <sheet name="Maj" sheetId="8" r:id="rId5"/>
    <sheet name="Jun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7" i="8" l="1"/>
  <c r="BM51" i="9" l="1"/>
  <c r="BL51" i="9"/>
  <c r="BK51" i="9"/>
  <c r="BJ51" i="9"/>
  <c r="BI51" i="9"/>
  <c r="BH51" i="9"/>
  <c r="BG51" i="9"/>
  <c r="BF51" i="9"/>
  <c r="BE51" i="9"/>
  <c r="BD51" i="9"/>
  <c r="BC51" i="9"/>
  <c r="BB51" i="9"/>
  <c r="BA51" i="9"/>
  <c r="AZ51" i="9"/>
  <c r="AY51" i="9"/>
  <c r="AX51" i="9"/>
  <c r="AW51" i="9"/>
  <c r="AV51" i="9"/>
  <c r="AU51" i="9"/>
  <c r="AT51" i="9"/>
  <c r="AS51" i="9"/>
  <c r="AR51" i="9"/>
  <c r="AQ51" i="9"/>
  <c r="AP51" i="9"/>
  <c r="AO51" i="9"/>
  <c r="AN51" i="9"/>
  <c r="AM51" i="9"/>
  <c r="AL51" i="9"/>
  <c r="AK51" i="9"/>
  <c r="AJ51" i="9"/>
  <c r="AI51" i="9"/>
  <c r="AH51" i="9"/>
  <c r="AG51" i="9"/>
  <c r="AF51" i="9"/>
  <c r="AE51" i="9"/>
  <c r="AD51" i="9"/>
  <c r="AC51" i="9"/>
  <c r="AB51" i="9"/>
  <c r="AA51" i="9"/>
  <c r="Z51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BM50" i="9"/>
  <c r="BL50" i="9"/>
  <c r="BK50" i="9"/>
  <c r="BJ50" i="9"/>
  <c r="BI50" i="9"/>
  <c r="BH50" i="9"/>
  <c r="BG50" i="9"/>
  <c r="BF50" i="9"/>
  <c r="BE50" i="9"/>
  <c r="BD50" i="9"/>
  <c r="BC50" i="9"/>
  <c r="BB50" i="9"/>
  <c r="BA50" i="9"/>
  <c r="AZ50" i="9"/>
  <c r="AY50" i="9"/>
  <c r="AX50" i="9"/>
  <c r="AW50" i="9"/>
  <c r="AV50" i="9"/>
  <c r="AU50" i="9"/>
  <c r="AT50" i="9"/>
  <c r="AS50" i="9"/>
  <c r="AR50" i="9"/>
  <c r="AQ50" i="9"/>
  <c r="AP50" i="9"/>
  <c r="AO50" i="9"/>
  <c r="AN50" i="9"/>
  <c r="AM50" i="9"/>
  <c r="AL50" i="9"/>
  <c r="AK50" i="9"/>
  <c r="AJ50" i="9"/>
  <c r="AI50" i="9"/>
  <c r="AH50" i="9"/>
  <c r="AG50" i="9"/>
  <c r="AF50" i="9"/>
  <c r="AE50" i="9"/>
  <c r="AD50" i="9"/>
  <c r="AC50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BM49" i="9"/>
  <c r="BL49" i="9"/>
  <c r="BK49" i="9"/>
  <c r="BJ49" i="9"/>
  <c r="BI49" i="9"/>
  <c r="BH49" i="9"/>
  <c r="BG49" i="9"/>
  <c r="BF49" i="9"/>
  <c r="BE49" i="9"/>
  <c r="BD49" i="9"/>
  <c r="BC49" i="9"/>
  <c r="BB49" i="9"/>
  <c r="BA49" i="9"/>
  <c r="AZ49" i="9"/>
  <c r="AY49" i="9"/>
  <c r="AX49" i="9"/>
  <c r="AW49" i="9"/>
  <c r="AV49" i="9"/>
  <c r="AU49" i="9"/>
  <c r="AT49" i="9"/>
  <c r="AS49" i="9"/>
  <c r="AR49" i="9"/>
  <c r="AQ49" i="9"/>
  <c r="AP49" i="9"/>
  <c r="AO49" i="9"/>
  <c r="AN49" i="9"/>
  <c r="AM49" i="9"/>
  <c r="AL49" i="9"/>
  <c r="AK49" i="9"/>
  <c r="AJ49" i="9"/>
  <c r="AI49" i="9"/>
  <c r="AH49" i="9"/>
  <c r="AG49" i="9"/>
  <c r="AF49" i="9"/>
  <c r="AE49" i="9"/>
  <c r="AD49" i="9"/>
  <c r="AC49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BM48" i="9"/>
  <c r="BL48" i="9"/>
  <c r="BK48" i="9"/>
  <c r="BJ48" i="9"/>
  <c r="BI48" i="9"/>
  <c r="BH48" i="9"/>
  <c r="BG48" i="9"/>
  <c r="BF48" i="9"/>
  <c r="BE48" i="9"/>
  <c r="BD48" i="9"/>
  <c r="BC48" i="9"/>
  <c r="BB48" i="9"/>
  <c r="BA48" i="9"/>
  <c r="AZ48" i="9"/>
  <c r="AY48" i="9"/>
  <c r="AX48" i="9"/>
  <c r="AW48" i="9"/>
  <c r="AV48" i="9"/>
  <c r="AU48" i="9"/>
  <c r="AT48" i="9"/>
  <c r="AS48" i="9"/>
  <c r="AR48" i="9"/>
  <c r="AQ48" i="9"/>
  <c r="AP48" i="9"/>
  <c r="AO48" i="9"/>
  <c r="AN48" i="9"/>
  <c r="AM48" i="9"/>
  <c r="AL48" i="9"/>
  <c r="AK48" i="9"/>
  <c r="AJ48" i="9"/>
  <c r="AI48" i="9"/>
  <c r="AH48" i="9"/>
  <c r="AG48" i="9"/>
  <c r="AF48" i="9"/>
  <c r="AE48" i="9"/>
  <c r="AD48" i="9"/>
  <c r="AC48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BM47" i="9"/>
  <c r="BL47" i="9"/>
  <c r="BK47" i="9"/>
  <c r="BJ47" i="9"/>
  <c r="BI47" i="9"/>
  <c r="BH47" i="9"/>
  <c r="BG47" i="9"/>
  <c r="BF47" i="9"/>
  <c r="BE47" i="9"/>
  <c r="BD47" i="9"/>
  <c r="BC47" i="9"/>
  <c r="BB47" i="9"/>
  <c r="BA47" i="9"/>
  <c r="AZ47" i="9"/>
  <c r="AY47" i="9"/>
  <c r="AX47" i="9"/>
  <c r="AW47" i="9"/>
  <c r="AV47" i="9"/>
  <c r="AU47" i="9"/>
  <c r="AT47" i="9"/>
  <c r="AS47" i="9"/>
  <c r="AR47" i="9"/>
  <c r="AQ47" i="9"/>
  <c r="AP47" i="9"/>
  <c r="AO47" i="9"/>
  <c r="AN47" i="9"/>
  <c r="AM47" i="9"/>
  <c r="AL47" i="9"/>
  <c r="AK47" i="9"/>
  <c r="AJ47" i="9"/>
  <c r="AI47" i="9"/>
  <c r="AH47" i="9"/>
  <c r="AG47" i="9"/>
  <c r="AF47" i="9"/>
  <c r="AE47" i="9"/>
  <c r="AD47" i="9"/>
  <c r="AC47" i="9"/>
  <c r="AB47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BM46" i="9"/>
  <c r="BL46" i="9"/>
  <c r="BK46" i="9"/>
  <c r="BJ46" i="9"/>
  <c r="BI46" i="9"/>
  <c r="BH46" i="9"/>
  <c r="BG46" i="9"/>
  <c r="BF46" i="9"/>
  <c r="BE46" i="9"/>
  <c r="BD46" i="9"/>
  <c r="BC46" i="9"/>
  <c r="BB46" i="9"/>
  <c r="BA46" i="9"/>
  <c r="AZ46" i="9"/>
  <c r="AY46" i="9"/>
  <c r="AX46" i="9"/>
  <c r="AW46" i="9"/>
  <c r="AV46" i="9"/>
  <c r="AU46" i="9"/>
  <c r="AT46" i="9"/>
  <c r="AS46" i="9"/>
  <c r="AR46" i="9"/>
  <c r="AQ46" i="9"/>
  <c r="AP46" i="9"/>
  <c r="AO46" i="9"/>
  <c r="AN46" i="9"/>
  <c r="AM46" i="9"/>
  <c r="AL46" i="9"/>
  <c r="AK46" i="9"/>
  <c r="AJ46" i="9"/>
  <c r="AI46" i="9"/>
  <c r="AH46" i="9"/>
  <c r="AG46" i="9"/>
  <c r="AF46" i="9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BM45" i="9"/>
  <c r="BL45" i="9"/>
  <c r="BK45" i="9"/>
  <c r="BJ45" i="9"/>
  <c r="BI45" i="9"/>
  <c r="BH45" i="9"/>
  <c r="BG45" i="9"/>
  <c r="BF45" i="9"/>
  <c r="BE45" i="9"/>
  <c r="BD45" i="9"/>
  <c r="BC45" i="9"/>
  <c r="BB45" i="9"/>
  <c r="BA45" i="9"/>
  <c r="AZ45" i="9"/>
  <c r="AY45" i="9"/>
  <c r="AX45" i="9"/>
  <c r="AW45" i="9"/>
  <c r="AV45" i="9"/>
  <c r="AU45" i="9"/>
  <c r="AT45" i="9"/>
  <c r="AS45" i="9"/>
  <c r="AR45" i="9"/>
  <c r="AQ45" i="9"/>
  <c r="AP45" i="9"/>
  <c r="AO45" i="9"/>
  <c r="AN45" i="9"/>
  <c r="AM45" i="9"/>
  <c r="AL45" i="9"/>
  <c r="AK45" i="9"/>
  <c r="AJ45" i="9"/>
  <c r="AI45" i="9"/>
  <c r="AH45" i="9"/>
  <c r="AG45" i="9"/>
  <c r="AF45" i="9"/>
  <c r="AE45" i="9"/>
  <c r="AD45" i="9"/>
  <c r="AC45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BM44" i="9"/>
  <c r="BL44" i="9"/>
  <c r="BK44" i="9"/>
  <c r="BJ44" i="9"/>
  <c r="BI44" i="9"/>
  <c r="BH44" i="9"/>
  <c r="BG44" i="9"/>
  <c r="BF44" i="9"/>
  <c r="BE44" i="9"/>
  <c r="BD44" i="9"/>
  <c r="BC44" i="9"/>
  <c r="BB44" i="9"/>
  <c r="BA44" i="9"/>
  <c r="AZ44" i="9"/>
  <c r="AY44" i="9"/>
  <c r="AX44" i="9"/>
  <c r="AW44" i="9"/>
  <c r="AV44" i="9"/>
  <c r="AU44" i="9"/>
  <c r="AT44" i="9"/>
  <c r="AS44" i="9"/>
  <c r="AR44" i="9"/>
  <c r="AQ44" i="9"/>
  <c r="AP44" i="9"/>
  <c r="AO44" i="9"/>
  <c r="AN44" i="9"/>
  <c r="AM44" i="9"/>
  <c r="AL44" i="9"/>
  <c r="AK44" i="9"/>
  <c r="AJ44" i="9"/>
  <c r="AI44" i="9"/>
  <c r="AH44" i="9"/>
  <c r="AG44" i="9"/>
  <c r="AF44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BM43" i="9"/>
  <c r="BL43" i="9"/>
  <c r="BK43" i="9"/>
  <c r="BJ43" i="9"/>
  <c r="BI43" i="9"/>
  <c r="BH43" i="9"/>
  <c r="BG43" i="9"/>
  <c r="BF43" i="9"/>
  <c r="BE43" i="9"/>
  <c r="BD43" i="9"/>
  <c r="BC43" i="9"/>
  <c r="BB43" i="9"/>
  <c r="BA43" i="9"/>
  <c r="AZ43" i="9"/>
  <c r="AY43" i="9"/>
  <c r="AX43" i="9"/>
  <c r="AW43" i="9"/>
  <c r="AV43" i="9"/>
  <c r="AU43" i="9"/>
  <c r="AT43" i="9"/>
  <c r="AS43" i="9"/>
  <c r="AR43" i="9"/>
  <c r="AQ43" i="9"/>
  <c r="AP43" i="9"/>
  <c r="AO43" i="9"/>
  <c r="AN43" i="9"/>
  <c r="AM43" i="9"/>
  <c r="AL43" i="9"/>
  <c r="AK43" i="9"/>
  <c r="AJ43" i="9"/>
  <c r="AI43" i="9"/>
  <c r="AH43" i="9"/>
  <c r="AG43" i="9"/>
  <c r="AF43" i="9"/>
  <c r="AE43" i="9"/>
  <c r="AD43" i="9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BM42" i="9"/>
  <c r="BL42" i="9"/>
  <c r="BK42" i="9"/>
  <c r="BJ42" i="9"/>
  <c r="BI42" i="9"/>
  <c r="BH42" i="9"/>
  <c r="BG42" i="9"/>
  <c r="BF42" i="9"/>
  <c r="BE42" i="9"/>
  <c r="BD42" i="9"/>
  <c r="BC42" i="9"/>
  <c r="BB42" i="9"/>
  <c r="BA42" i="9"/>
  <c r="AZ42" i="9"/>
  <c r="AY42" i="9"/>
  <c r="AX42" i="9"/>
  <c r="AW42" i="9"/>
  <c r="AV42" i="9"/>
  <c r="AU42" i="9"/>
  <c r="AT42" i="9"/>
  <c r="AS42" i="9"/>
  <c r="AR42" i="9"/>
  <c r="AQ42" i="9"/>
  <c r="AP42" i="9"/>
  <c r="AO42" i="9"/>
  <c r="AN42" i="9"/>
  <c r="AM42" i="9"/>
  <c r="AL42" i="9"/>
  <c r="AK42" i="9"/>
  <c r="AJ42" i="9"/>
  <c r="AI42" i="9"/>
  <c r="AH42" i="9"/>
  <c r="AG42" i="9"/>
  <c r="AF42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BM41" i="9"/>
  <c r="BL41" i="9"/>
  <c r="BK41" i="9"/>
  <c r="BJ41" i="9"/>
  <c r="BI41" i="9"/>
  <c r="BH41" i="9"/>
  <c r="BG41" i="9"/>
  <c r="BF41" i="9"/>
  <c r="BE41" i="9"/>
  <c r="BD41" i="9"/>
  <c r="BC41" i="9"/>
  <c r="BB41" i="9"/>
  <c r="BA41" i="9"/>
  <c r="AZ41" i="9"/>
  <c r="AY41" i="9"/>
  <c r="AX41" i="9"/>
  <c r="AW41" i="9"/>
  <c r="AV41" i="9"/>
  <c r="AU41" i="9"/>
  <c r="AT41" i="9"/>
  <c r="AS41" i="9"/>
  <c r="AR41" i="9"/>
  <c r="AQ41" i="9"/>
  <c r="AP41" i="9"/>
  <c r="AO41" i="9"/>
  <c r="AN41" i="9"/>
  <c r="AM41" i="9"/>
  <c r="AL41" i="9"/>
  <c r="AK41" i="9"/>
  <c r="AJ41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BM40" i="9"/>
  <c r="BL40" i="9"/>
  <c r="BK40" i="9"/>
  <c r="BJ40" i="9"/>
  <c r="BI40" i="9"/>
  <c r="BH40" i="9"/>
  <c r="BG40" i="9"/>
  <c r="BF40" i="9"/>
  <c r="BE40" i="9"/>
  <c r="BD40" i="9"/>
  <c r="BC40" i="9"/>
  <c r="BB40" i="9"/>
  <c r="BA40" i="9"/>
  <c r="AZ40" i="9"/>
  <c r="AY40" i="9"/>
  <c r="AX40" i="9"/>
  <c r="AW40" i="9"/>
  <c r="AV40" i="9"/>
  <c r="AU40" i="9"/>
  <c r="AT40" i="9"/>
  <c r="AS40" i="9"/>
  <c r="AR40" i="9"/>
  <c r="AQ40" i="9"/>
  <c r="AP40" i="9"/>
  <c r="AO40" i="9"/>
  <c r="AN40" i="9"/>
  <c r="AM40" i="9"/>
  <c r="AL40" i="9"/>
  <c r="AK40" i="9"/>
  <c r="AJ40" i="9"/>
  <c r="AI40" i="9"/>
  <c r="AH40" i="9"/>
  <c r="AG40" i="9"/>
  <c r="AF40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BM39" i="9"/>
  <c r="BL39" i="9"/>
  <c r="BK39" i="9"/>
  <c r="BJ39" i="9"/>
  <c r="BI39" i="9"/>
  <c r="BH39" i="9"/>
  <c r="BG39" i="9"/>
  <c r="BF39" i="9"/>
  <c r="BE39" i="9"/>
  <c r="BD39" i="9"/>
  <c r="BC39" i="9"/>
  <c r="BB39" i="9"/>
  <c r="BA39" i="9"/>
  <c r="AZ39" i="9"/>
  <c r="AY39" i="9"/>
  <c r="AX39" i="9"/>
  <c r="AW39" i="9"/>
  <c r="AV39" i="9"/>
  <c r="AU39" i="9"/>
  <c r="AT39" i="9"/>
  <c r="AS39" i="9"/>
  <c r="AR39" i="9"/>
  <c r="AQ39" i="9"/>
  <c r="AP39" i="9"/>
  <c r="AO39" i="9"/>
  <c r="AN39" i="9"/>
  <c r="AM39" i="9"/>
  <c r="AL39" i="9"/>
  <c r="AK39" i="9"/>
  <c r="AJ39" i="9"/>
  <c r="AI39" i="9"/>
  <c r="AH39" i="9"/>
  <c r="AG39" i="9"/>
  <c r="AF39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BM38" i="9"/>
  <c r="BL38" i="9"/>
  <c r="BK38" i="9"/>
  <c r="BJ38" i="9"/>
  <c r="BI38" i="9"/>
  <c r="BH38" i="9"/>
  <c r="BG38" i="9"/>
  <c r="BF38" i="9"/>
  <c r="BE38" i="9"/>
  <c r="BD38" i="9"/>
  <c r="BC38" i="9"/>
  <c r="BB38" i="9"/>
  <c r="BA38" i="9"/>
  <c r="AZ38" i="9"/>
  <c r="AY38" i="9"/>
  <c r="AX38" i="9"/>
  <c r="AW38" i="9"/>
  <c r="AV38" i="9"/>
  <c r="AU38" i="9"/>
  <c r="AT38" i="9"/>
  <c r="AS38" i="9"/>
  <c r="AR38" i="9"/>
  <c r="AQ38" i="9"/>
  <c r="AP38" i="9"/>
  <c r="AO38" i="9"/>
  <c r="AN38" i="9"/>
  <c r="AM38" i="9"/>
  <c r="AL38" i="9"/>
  <c r="AK38" i="9"/>
  <c r="AJ38" i="9"/>
  <c r="AI38" i="9"/>
  <c r="AH38" i="9"/>
  <c r="AG38" i="9"/>
  <c r="AF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BM37" i="9"/>
  <c r="BL37" i="9"/>
  <c r="BK37" i="9"/>
  <c r="BJ37" i="9"/>
  <c r="BI37" i="9"/>
  <c r="BH37" i="9"/>
  <c r="BG37" i="9"/>
  <c r="BF37" i="9"/>
  <c r="BE37" i="9"/>
  <c r="BD37" i="9"/>
  <c r="BC37" i="9"/>
  <c r="BB37" i="9"/>
  <c r="BA37" i="9"/>
  <c r="AZ37" i="9"/>
  <c r="AY37" i="9"/>
  <c r="AX37" i="9"/>
  <c r="AW37" i="9"/>
  <c r="AV37" i="9"/>
  <c r="AU37" i="9"/>
  <c r="AT37" i="9"/>
  <c r="AS37" i="9"/>
  <c r="AR37" i="9"/>
  <c r="AQ37" i="9"/>
  <c r="AP37" i="9"/>
  <c r="AO37" i="9"/>
  <c r="AN37" i="9"/>
  <c r="AM37" i="9"/>
  <c r="AL37" i="9"/>
  <c r="AK37" i="9"/>
  <c r="AJ37" i="9"/>
  <c r="AI37" i="9"/>
  <c r="AH37" i="9"/>
  <c r="AG37" i="9"/>
  <c r="AF37" i="9"/>
  <c r="AE37" i="9"/>
  <c r="AD37" i="9"/>
  <c r="AC37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BM36" i="9"/>
  <c r="BL36" i="9"/>
  <c r="BK36" i="9"/>
  <c r="BJ36" i="9"/>
  <c r="BI36" i="9"/>
  <c r="BH36" i="9"/>
  <c r="BG36" i="9"/>
  <c r="BF36" i="9"/>
  <c r="BE36" i="9"/>
  <c r="BD36" i="9"/>
  <c r="BC36" i="9"/>
  <c r="BB36" i="9"/>
  <c r="BA36" i="9"/>
  <c r="AZ36" i="9"/>
  <c r="AY36" i="9"/>
  <c r="AX36" i="9"/>
  <c r="AW36" i="9"/>
  <c r="AV36" i="9"/>
  <c r="AU36" i="9"/>
  <c r="AT36" i="9"/>
  <c r="AS36" i="9"/>
  <c r="AR36" i="9"/>
  <c r="AQ36" i="9"/>
  <c r="AP36" i="9"/>
  <c r="AO36" i="9"/>
  <c r="AN36" i="9"/>
  <c r="AM36" i="9"/>
  <c r="AL36" i="9"/>
  <c r="AK36" i="9"/>
  <c r="AJ36" i="9"/>
  <c r="AI36" i="9"/>
  <c r="AH36" i="9"/>
  <c r="AG36" i="9"/>
  <c r="AF36" i="9"/>
  <c r="AE36" i="9"/>
  <c r="AD36" i="9"/>
  <c r="AC36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BM35" i="9"/>
  <c r="BL35" i="9"/>
  <c r="BK35" i="9"/>
  <c r="BJ35" i="9"/>
  <c r="BI35" i="9"/>
  <c r="BH35" i="9"/>
  <c r="BG35" i="9"/>
  <c r="BF35" i="9"/>
  <c r="BE35" i="9"/>
  <c r="BD35" i="9"/>
  <c r="BC35" i="9"/>
  <c r="BB35" i="9"/>
  <c r="BA35" i="9"/>
  <c r="AZ35" i="9"/>
  <c r="AY35" i="9"/>
  <c r="AX35" i="9"/>
  <c r="AW35" i="9"/>
  <c r="AV35" i="9"/>
  <c r="AU35" i="9"/>
  <c r="AT35" i="9"/>
  <c r="AS35" i="9"/>
  <c r="AR35" i="9"/>
  <c r="AQ35" i="9"/>
  <c r="AP35" i="9"/>
  <c r="AO35" i="9"/>
  <c r="AN35" i="9"/>
  <c r="AM35" i="9"/>
  <c r="AL35" i="9"/>
  <c r="AK35" i="9"/>
  <c r="AJ35" i="9"/>
  <c r="AI35" i="9"/>
  <c r="AH35" i="9"/>
  <c r="AG35" i="9"/>
  <c r="AF35" i="9"/>
  <c r="AE35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BM34" i="9"/>
  <c r="BL34" i="9"/>
  <c r="BK34" i="9"/>
  <c r="BJ34" i="9"/>
  <c r="BI34" i="9"/>
  <c r="BH34" i="9"/>
  <c r="BG34" i="9"/>
  <c r="BF34" i="9"/>
  <c r="BE34" i="9"/>
  <c r="BD34" i="9"/>
  <c r="BC34" i="9"/>
  <c r="BB34" i="9"/>
  <c r="BA34" i="9"/>
  <c r="AZ34" i="9"/>
  <c r="AY34" i="9"/>
  <c r="AX34" i="9"/>
  <c r="AW34" i="9"/>
  <c r="AV34" i="9"/>
  <c r="AU34" i="9"/>
  <c r="AT34" i="9"/>
  <c r="AS34" i="9"/>
  <c r="AR34" i="9"/>
  <c r="AQ34" i="9"/>
  <c r="AP34" i="9"/>
  <c r="AO34" i="9"/>
  <c r="AN34" i="9"/>
  <c r="AM34" i="9"/>
  <c r="AL34" i="9"/>
  <c r="AK34" i="9"/>
  <c r="AJ34" i="9"/>
  <c r="AI34" i="9"/>
  <c r="AH34" i="9"/>
  <c r="AG34" i="9"/>
  <c r="AF34" i="9"/>
  <c r="AE34" i="9"/>
  <c r="AD34" i="9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BM33" i="9"/>
  <c r="BL33" i="9"/>
  <c r="BK33" i="9"/>
  <c r="BJ33" i="9"/>
  <c r="BI33" i="9"/>
  <c r="BH33" i="9"/>
  <c r="BG33" i="9"/>
  <c r="BF33" i="9"/>
  <c r="BE33" i="9"/>
  <c r="BD33" i="9"/>
  <c r="BC33" i="9"/>
  <c r="BB33" i="9"/>
  <c r="BA33" i="9"/>
  <c r="AZ33" i="9"/>
  <c r="AY33" i="9"/>
  <c r="AX33" i="9"/>
  <c r="AW33" i="9"/>
  <c r="AV33" i="9"/>
  <c r="AU33" i="9"/>
  <c r="AT33" i="9"/>
  <c r="AS33" i="9"/>
  <c r="AR33" i="9"/>
  <c r="AQ33" i="9"/>
  <c r="AP33" i="9"/>
  <c r="AO33" i="9"/>
  <c r="AN33" i="9"/>
  <c r="AM33" i="9"/>
  <c r="AL33" i="9"/>
  <c r="AK33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BM32" i="9"/>
  <c r="BL32" i="9"/>
  <c r="BK32" i="9"/>
  <c r="BJ32" i="9"/>
  <c r="BI32" i="9"/>
  <c r="BH32" i="9"/>
  <c r="BG32" i="9"/>
  <c r="BF32" i="9"/>
  <c r="BE32" i="9"/>
  <c r="BD32" i="9"/>
  <c r="BC32" i="9"/>
  <c r="BB32" i="9"/>
  <c r="BA32" i="9"/>
  <c r="AZ32" i="9"/>
  <c r="AY32" i="9"/>
  <c r="AX32" i="9"/>
  <c r="AW32" i="9"/>
  <c r="AV32" i="9"/>
  <c r="AU32" i="9"/>
  <c r="AT32" i="9"/>
  <c r="AS32" i="9"/>
  <c r="AR32" i="9"/>
  <c r="AQ32" i="9"/>
  <c r="AP32" i="9"/>
  <c r="AO32" i="9"/>
  <c r="AN32" i="9"/>
  <c r="AM32" i="9"/>
  <c r="AL32" i="9"/>
  <c r="AK32" i="9"/>
  <c r="AJ32" i="9"/>
  <c r="AI32" i="9"/>
  <c r="AH32" i="9"/>
  <c r="AG32" i="9"/>
  <c r="AF32" i="9"/>
  <c r="AE32" i="9"/>
  <c r="AD32" i="9"/>
  <c r="AC32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BM31" i="9"/>
  <c r="BL31" i="9"/>
  <c r="BK31" i="9"/>
  <c r="BJ31" i="9"/>
  <c r="BI31" i="9"/>
  <c r="BH31" i="9"/>
  <c r="BG31" i="9"/>
  <c r="BF31" i="9"/>
  <c r="BE31" i="9"/>
  <c r="BD31" i="9"/>
  <c r="BC31" i="9"/>
  <c r="BB31" i="9"/>
  <c r="BA31" i="9"/>
  <c r="AZ31" i="9"/>
  <c r="AY31" i="9"/>
  <c r="AX31" i="9"/>
  <c r="AW31" i="9"/>
  <c r="AV31" i="9"/>
  <c r="AU31" i="9"/>
  <c r="AT31" i="9"/>
  <c r="AS31" i="9"/>
  <c r="AR31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BM30" i="9"/>
  <c r="BM52" i="9" s="1"/>
  <c r="BL30" i="9"/>
  <c r="BL52" i="9" s="1"/>
  <c r="BK30" i="9"/>
  <c r="BK52" i="9" s="1"/>
  <c r="BJ30" i="9"/>
  <c r="BJ52" i="9" s="1"/>
  <c r="BI30" i="9"/>
  <c r="BI52" i="9" s="1"/>
  <c r="BH30" i="9"/>
  <c r="BH52" i="9" s="1"/>
  <c r="BG30" i="9"/>
  <c r="BG52" i="9" s="1"/>
  <c r="BF30" i="9"/>
  <c r="BF52" i="9" s="1"/>
  <c r="BE30" i="9"/>
  <c r="BE52" i="9" s="1"/>
  <c r="BD30" i="9"/>
  <c r="BD52" i="9" s="1"/>
  <c r="BC30" i="9"/>
  <c r="BC52" i="9" s="1"/>
  <c r="BB30" i="9"/>
  <c r="BB52" i="9" s="1"/>
  <c r="BA30" i="9"/>
  <c r="BA52" i="9" s="1"/>
  <c r="AZ30" i="9"/>
  <c r="AZ52" i="9" s="1"/>
  <c r="AY30" i="9"/>
  <c r="AY52" i="9" s="1"/>
  <c r="AX30" i="9"/>
  <c r="AX52" i="9" s="1"/>
  <c r="AW30" i="9"/>
  <c r="AW52" i="9" s="1"/>
  <c r="AV30" i="9"/>
  <c r="AV52" i="9" s="1"/>
  <c r="AU30" i="9"/>
  <c r="AU52" i="9" s="1"/>
  <c r="AT30" i="9"/>
  <c r="AT52" i="9" s="1"/>
  <c r="AS30" i="9"/>
  <c r="AS52" i="9" s="1"/>
  <c r="AR30" i="9"/>
  <c r="AR52" i="9" s="1"/>
  <c r="AQ30" i="9"/>
  <c r="AQ52" i="9" s="1"/>
  <c r="AP30" i="9"/>
  <c r="AP52" i="9" s="1"/>
  <c r="AO30" i="9"/>
  <c r="AO52" i="9" s="1"/>
  <c r="AN30" i="9"/>
  <c r="AN52" i="9" s="1"/>
  <c r="AM30" i="9"/>
  <c r="AM52" i="9" s="1"/>
  <c r="AL30" i="9"/>
  <c r="AL52" i="9" s="1"/>
  <c r="AK30" i="9"/>
  <c r="AK52" i="9" s="1"/>
  <c r="AJ30" i="9"/>
  <c r="AJ52" i="9" s="1"/>
  <c r="AI30" i="9"/>
  <c r="AI52" i="9" s="1"/>
  <c r="AH30" i="9"/>
  <c r="AH52" i="9" s="1"/>
  <c r="AG30" i="9"/>
  <c r="AG52" i="9" s="1"/>
  <c r="AF30" i="9"/>
  <c r="AF52" i="9" s="1"/>
  <c r="AE30" i="9"/>
  <c r="AE52" i="9" s="1"/>
  <c r="AD30" i="9"/>
  <c r="AD52" i="9" s="1"/>
  <c r="AC30" i="9"/>
  <c r="AC52" i="9" s="1"/>
  <c r="AB30" i="9"/>
  <c r="AB52" i="9" s="1"/>
  <c r="AA30" i="9"/>
  <c r="AA52" i="9" s="1"/>
  <c r="Z30" i="9"/>
  <c r="Z52" i="9" s="1"/>
  <c r="Y30" i="9"/>
  <c r="Y52" i="9" s="1"/>
  <c r="X30" i="9"/>
  <c r="X52" i="9" s="1"/>
  <c r="W30" i="9"/>
  <c r="W52" i="9" s="1"/>
  <c r="V30" i="9"/>
  <c r="V52" i="9" s="1"/>
  <c r="U30" i="9"/>
  <c r="U52" i="9" s="1"/>
  <c r="T30" i="9"/>
  <c r="T52" i="9" s="1"/>
  <c r="S30" i="9"/>
  <c r="S52" i="9" s="1"/>
  <c r="R30" i="9"/>
  <c r="R52" i="9" s="1"/>
  <c r="Q30" i="9"/>
  <c r="Q52" i="9" s="1"/>
  <c r="P30" i="9"/>
  <c r="P52" i="9" s="1"/>
  <c r="O30" i="9"/>
  <c r="O52" i="9" s="1"/>
  <c r="N30" i="9"/>
  <c r="N52" i="9" s="1"/>
  <c r="M30" i="9"/>
  <c r="M52" i="9" s="1"/>
  <c r="L30" i="9"/>
  <c r="L52" i="9" s="1"/>
  <c r="K30" i="9"/>
  <c r="K52" i="9" s="1"/>
  <c r="J30" i="9"/>
  <c r="J52" i="9" s="1"/>
  <c r="I30" i="9"/>
  <c r="I52" i="9" s="1"/>
  <c r="H30" i="9"/>
  <c r="H52" i="9" s="1"/>
  <c r="G30" i="9"/>
  <c r="G52" i="9" s="1"/>
  <c r="F30" i="9"/>
  <c r="F52" i="9" s="1"/>
  <c r="I77" i="6"/>
  <c r="BM51" i="8"/>
  <c r="BL51" i="8"/>
  <c r="BK51" i="8"/>
  <c r="BJ51" i="8"/>
  <c r="BI51" i="8"/>
  <c r="BH51" i="8"/>
  <c r="BG51" i="8"/>
  <c r="BF51" i="8"/>
  <c r="BE51" i="8"/>
  <c r="BD51" i="8"/>
  <c r="BC51" i="8"/>
  <c r="BB51" i="8"/>
  <c r="BA51" i="8"/>
  <c r="AZ51" i="8"/>
  <c r="AY51" i="8"/>
  <c r="AX51" i="8"/>
  <c r="AW51" i="8"/>
  <c r="AV51" i="8"/>
  <c r="AU51" i="8"/>
  <c r="AT51" i="8"/>
  <c r="AS51" i="8"/>
  <c r="AR51" i="8"/>
  <c r="AQ51" i="8"/>
  <c r="AP51" i="8"/>
  <c r="AO51" i="8"/>
  <c r="AN51" i="8"/>
  <c r="AM51" i="8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BM50" i="8"/>
  <c r="BL50" i="8"/>
  <c r="BK50" i="8"/>
  <c r="BJ50" i="8"/>
  <c r="BI50" i="8"/>
  <c r="BH50" i="8"/>
  <c r="BG50" i="8"/>
  <c r="BF50" i="8"/>
  <c r="BE50" i="8"/>
  <c r="BD50" i="8"/>
  <c r="BC50" i="8"/>
  <c r="BB50" i="8"/>
  <c r="BA50" i="8"/>
  <c r="AZ50" i="8"/>
  <c r="AY50" i="8"/>
  <c r="AX50" i="8"/>
  <c r="AW50" i="8"/>
  <c r="AV50" i="8"/>
  <c r="AU50" i="8"/>
  <c r="AT50" i="8"/>
  <c r="AS50" i="8"/>
  <c r="AR50" i="8"/>
  <c r="AQ50" i="8"/>
  <c r="AP50" i="8"/>
  <c r="AO50" i="8"/>
  <c r="AN50" i="8"/>
  <c r="AM50" i="8"/>
  <c r="AL50" i="8"/>
  <c r="AK50" i="8"/>
  <c r="AJ50" i="8"/>
  <c r="AI50" i="8"/>
  <c r="AH50" i="8"/>
  <c r="AG50" i="8"/>
  <c r="AF50" i="8"/>
  <c r="AE50" i="8"/>
  <c r="AD50" i="8"/>
  <c r="AC50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BM49" i="8"/>
  <c r="BL49" i="8"/>
  <c r="BK49" i="8"/>
  <c r="BJ49" i="8"/>
  <c r="BI49" i="8"/>
  <c r="BH49" i="8"/>
  <c r="BG49" i="8"/>
  <c r="BF49" i="8"/>
  <c r="BE49" i="8"/>
  <c r="BD49" i="8"/>
  <c r="BC49" i="8"/>
  <c r="BB49" i="8"/>
  <c r="BA49" i="8"/>
  <c r="AZ49" i="8"/>
  <c r="AY49" i="8"/>
  <c r="AX49" i="8"/>
  <c r="AW49" i="8"/>
  <c r="AV49" i="8"/>
  <c r="AU49" i="8"/>
  <c r="AT49" i="8"/>
  <c r="AS49" i="8"/>
  <c r="AR49" i="8"/>
  <c r="AQ49" i="8"/>
  <c r="AP49" i="8"/>
  <c r="AO49" i="8"/>
  <c r="AN49" i="8"/>
  <c r="AM49" i="8"/>
  <c r="AL49" i="8"/>
  <c r="AK49" i="8"/>
  <c r="AJ49" i="8"/>
  <c r="AI49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BM48" i="8"/>
  <c r="BL48" i="8"/>
  <c r="BK48" i="8"/>
  <c r="BJ48" i="8"/>
  <c r="BI48" i="8"/>
  <c r="BH48" i="8"/>
  <c r="BG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T48" i="8"/>
  <c r="AS48" i="8"/>
  <c r="AR48" i="8"/>
  <c r="AQ48" i="8"/>
  <c r="AP48" i="8"/>
  <c r="AO48" i="8"/>
  <c r="AN48" i="8"/>
  <c r="AM48" i="8"/>
  <c r="AL48" i="8"/>
  <c r="AK48" i="8"/>
  <c r="AJ48" i="8"/>
  <c r="AI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BM47" i="8"/>
  <c r="BL47" i="8"/>
  <c r="BK47" i="8"/>
  <c r="BJ47" i="8"/>
  <c r="BI47" i="8"/>
  <c r="BH47" i="8"/>
  <c r="BG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T47" i="8"/>
  <c r="AS47" i="8"/>
  <c r="AR47" i="8"/>
  <c r="AQ47" i="8"/>
  <c r="AP47" i="8"/>
  <c r="AO47" i="8"/>
  <c r="AN47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BM46" i="8"/>
  <c r="BL46" i="8"/>
  <c r="BK46" i="8"/>
  <c r="BJ46" i="8"/>
  <c r="BI46" i="8"/>
  <c r="BH46" i="8"/>
  <c r="BG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T46" i="8"/>
  <c r="AS46" i="8"/>
  <c r="AR46" i="8"/>
  <c r="AQ46" i="8"/>
  <c r="AP46" i="8"/>
  <c r="AO46" i="8"/>
  <c r="AN46" i="8"/>
  <c r="AM46" i="8"/>
  <c r="AL46" i="8"/>
  <c r="AK46" i="8"/>
  <c r="AJ46" i="8"/>
  <c r="AI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BM45" i="8"/>
  <c r="BL45" i="8"/>
  <c r="BK45" i="8"/>
  <c r="BJ45" i="8"/>
  <c r="BI45" i="8"/>
  <c r="BH45" i="8"/>
  <c r="BG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T45" i="8"/>
  <c r="AS45" i="8"/>
  <c r="AR45" i="8"/>
  <c r="AQ45" i="8"/>
  <c r="AP45" i="8"/>
  <c r="AO45" i="8"/>
  <c r="AN45" i="8"/>
  <c r="AM45" i="8"/>
  <c r="AL45" i="8"/>
  <c r="AK45" i="8"/>
  <c r="AJ45" i="8"/>
  <c r="AI45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BM44" i="8"/>
  <c r="BL44" i="8"/>
  <c r="BK44" i="8"/>
  <c r="BJ44" i="8"/>
  <c r="BI44" i="8"/>
  <c r="BH44" i="8"/>
  <c r="BG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T44" i="8"/>
  <c r="AS44" i="8"/>
  <c r="AR44" i="8"/>
  <c r="AQ44" i="8"/>
  <c r="AP44" i="8"/>
  <c r="AO44" i="8"/>
  <c r="AN44" i="8"/>
  <c r="AM44" i="8"/>
  <c r="AL44" i="8"/>
  <c r="AK44" i="8"/>
  <c r="AJ44" i="8"/>
  <c r="AI44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BM43" i="8"/>
  <c r="BL43" i="8"/>
  <c r="BK43" i="8"/>
  <c r="BJ43" i="8"/>
  <c r="BI43" i="8"/>
  <c r="BH43" i="8"/>
  <c r="BG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T43" i="8"/>
  <c r="AS43" i="8"/>
  <c r="AR43" i="8"/>
  <c r="AQ43" i="8"/>
  <c r="AP43" i="8"/>
  <c r="AO43" i="8"/>
  <c r="AN43" i="8"/>
  <c r="AM43" i="8"/>
  <c r="AL43" i="8"/>
  <c r="AK43" i="8"/>
  <c r="AJ43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BM42" i="8"/>
  <c r="BL42" i="8"/>
  <c r="BK42" i="8"/>
  <c r="BJ42" i="8"/>
  <c r="BI42" i="8"/>
  <c r="BH42" i="8"/>
  <c r="BG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T42" i="8"/>
  <c r="AS42" i="8"/>
  <c r="AR42" i="8"/>
  <c r="AQ42" i="8"/>
  <c r="AP42" i="8"/>
  <c r="AO42" i="8"/>
  <c r="AN42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BM41" i="8"/>
  <c r="BL41" i="8"/>
  <c r="BK41" i="8"/>
  <c r="BJ41" i="8"/>
  <c r="BI41" i="8"/>
  <c r="BH41" i="8"/>
  <c r="BG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T41" i="8"/>
  <c r="AS41" i="8"/>
  <c r="AR41" i="8"/>
  <c r="AQ41" i="8"/>
  <c r="AP41" i="8"/>
  <c r="AO41" i="8"/>
  <c r="AN41" i="8"/>
  <c r="AM41" i="8"/>
  <c r="AL41" i="8"/>
  <c r="AK41" i="8"/>
  <c r="AJ41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BM40" i="8"/>
  <c r="BL40" i="8"/>
  <c r="BK40" i="8"/>
  <c r="BJ40" i="8"/>
  <c r="BI40" i="8"/>
  <c r="BH40" i="8"/>
  <c r="BG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T40" i="8"/>
  <c r="AS40" i="8"/>
  <c r="AR40" i="8"/>
  <c r="AQ40" i="8"/>
  <c r="AP40" i="8"/>
  <c r="AO40" i="8"/>
  <c r="AN40" i="8"/>
  <c r="AM40" i="8"/>
  <c r="AL40" i="8"/>
  <c r="AK40" i="8"/>
  <c r="AJ40" i="8"/>
  <c r="AI40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BM39" i="8"/>
  <c r="BL39" i="8"/>
  <c r="BK39" i="8"/>
  <c r="BJ39" i="8"/>
  <c r="BI39" i="8"/>
  <c r="BH39" i="8"/>
  <c r="BG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T39" i="8"/>
  <c r="AS39" i="8"/>
  <c r="AR39" i="8"/>
  <c r="AQ39" i="8"/>
  <c r="AP39" i="8"/>
  <c r="AO39" i="8"/>
  <c r="AN39" i="8"/>
  <c r="AM39" i="8"/>
  <c r="AL39" i="8"/>
  <c r="AK39" i="8"/>
  <c r="AJ39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BM38" i="8"/>
  <c r="BL38" i="8"/>
  <c r="BK38" i="8"/>
  <c r="BJ38" i="8"/>
  <c r="BI38" i="8"/>
  <c r="BH38" i="8"/>
  <c r="BG38" i="8"/>
  <c r="BF38" i="8"/>
  <c r="BE38" i="8"/>
  <c r="BD38" i="8"/>
  <c r="BC38" i="8"/>
  <c r="BB38" i="8"/>
  <c r="BA38" i="8"/>
  <c r="AZ38" i="8"/>
  <c r="AY38" i="8"/>
  <c r="AX38" i="8"/>
  <c r="AW38" i="8"/>
  <c r="AV38" i="8"/>
  <c r="AU38" i="8"/>
  <c r="AT38" i="8"/>
  <c r="AS38" i="8"/>
  <c r="AR38" i="8"/>
  <c r="AQ38" i="8"/>
  <c r="AP38" i="8"/>
  <c r="AO38" i="8"/>
  <c r="AN38" i="8"/>
  <c r="AM38" i="8"/>
  <c r="AL38" i="8"/>
  <c r="AK38" i="8"/>
  <c r="AJ38" i="8"/>
  <c r="AI38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BM37" i="8"/>
  <c r="BL37" i="8"/>
  <c r="BK37" i="8"/>
  <c r="BJ37" i="8"/>
  <c r="BI37" i="8"/>
  <c r="BH37" i="8"/>
  <c r="BG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T37" i="8"/>
  <c r="AS37" i="8"/>
  <c r="AR37" i="8"/>
  <c r="AQ37" i="8"/>
  <c r="AP37" i="8"/>
  <c r="AO37" i="8"/>
  <c r="AN37" i="8"/>
  <c r="AM37" i="8"/>
  <c r="AL37" i="8"/>
  <c r="AK37" i="8"/>
  <c r="AJ37" i="8"/>
  <c r="AI37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BM36" i="8"/>
  <c r="BL36" i="8"/>
  <c r="BK36" i="8"/>
  <c r="BJ36" i="8"/>
  <c r="BI36" i="8"/>
  <c r="BH36" i="8"/>
  <c r="BG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T36" i="8"/>
  <c r="AS36" i="8"/>
  <c r="AR36" i="8"/>
  <c r="AQ36" i="8"/>
  <c r="AP36" i="8"/>
  <c r="AO36" i="8"/>
  <c r="AN36" i="8"/>
  <c r="AM36" i="8"/>
  <c r="AL36" i="8"/>
  <c r="AK36" i="8"/>
  <c r="AJ36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BM35" i="8"/>
  <c r="BL35" i="8"/>
  <c r="BK35" i="8"/>
  <c r="BJ35" i="8"/>
  <c r="BI35" i="8"/>
  <c r="BH35" i="8"/>
  <c r="BG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T35" i="8"/>
  <c r="AS35" i="8"/>
  <c r="AR35" i="8"/>
  <c r="AQ35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BM34" i="8"/>
  <c r="BL34" i="8"/>
  <c r="BK34" i="8"/>
  <c r="BJ34" i="8"/>
  <c r="BI34" i="8"/>
  <c r="BH34" i="8"/>
  <c r="BG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T34" i="8"/>
  <c r="AS34" i="8"/>
  <c r="AR34" i="8"/>
  <c r="AQ34" i="8"/>
  <c r="AP34" i="8"/>
  <c r="AO34" i="8"/>
  <c r="AN34" i="8"/>
  <c r="AM34" i="8"/>
  <c r="AL34" i="8"/>
  <c r="AK34" i="8"/>
  <c r="AJ34" i="8"/>
  <c r="AI34" i="8"/>
  <c r="AH34" i="8"/>
  <c r="AG34" i="8"/>
  <c r="AF34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BM33" i="8"/>
  <c r="BL33" i="8"/>
  <c r="BK33" i="8"/>
  <c r="BJ33" i="8"/>
  <c r="BI33" i="8"/>
  <c r="BH33" i="8"/>
  <c r="BG33" i="8"/>
  <c r="BF33" i="8"/>
  <c r="BE33" i="8"/>
  <c r="BD33" i="8"/>
  <c r="BC33" i="8"/>
  <c r="BB33" i="8"/>
  <c r="BA33" i="8"/>
  <c r="AZ33" i="8"/>
  <c r="AY33" i="8"/>
  <c r="AX33" i="8"/>
  <c r="AW33" i="8"/>
  <c r="AV33" i="8"/>
  <c r="AU33" i="8"/>
  <c r="AT33" i="8"/>
  <c r="AS33" i="8"/>
  <c r="AR33" i="8"/>
  <c r="AQ33" i="8"/>
  <c r="AP33" i="8"/>
  <c r="AO33" i="8"/>
  <c r="AN33" i="8"/>
  <c r="AM33" i="8"/>
  <c r="AL33" i="8"/>
  <c r="AK33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BM32" i="8"/>
  <c r="BL32" i="8"/>
  <c r="BK32" i="8"/>
  <c r="BJ32" i="8"/>
  <c r="BI32" i="8"/>
  <c r="BH32" i="8"/>
  <c r="BG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T32" i="8"/>
  <c r="AS32" i="8"/>
  <c r="AR32" i="8"/>
  <c r="AQ32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BM31" i="8"/>
  <c r="BL31" i="8"/>
  <c r="BK31" i="8"/>
  <c r="BJ31" i="8"/>
  <c r="BI31" i="8"/>
  <c r="BH31" i="8"/>
  <c r="BG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T31" i="8"/>
  <c r="AS31" i="8"/>
  <c r="AR31" i="8"/>
  <c r="AQ31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BM30" i="8"/>
  <c r="BM52" i="8" s="1"/>
  <c r="BL30" i="8"/>
  <c r="BK30" i="8"/>
  <c r="BK52" i="8" s="1"/>
  <c r="BJ30" i="8"/>
  <c r="BI30" i="8"/>
  <c r="BI52" i="8" s="1"/>
  <c r="BH30" i="8"/>
  <c r="BG30" i="8"/>
  <c r="BG52" i="8" s="1"/>
  <c r="BF30" i="8"/>
  <c r="BF52" i="8" s="1"/>
  <c r="BE30" i="8"/>
  <c r="BE52" i="8" s="1"/>
  <c r="BD30" i="8"/>
  <c r="BD52" i="8" s="1"/>
  <c r="BC30" i="8"/>
  <c r="BC52" i="8" s="1"/>
  <c r="BB30" i="8"/>
  <c r="BB52" i="8" s="1"/>
  <c r="BA30" i="8"/>
  <c r="BA52" i="8" s="1"/>
  <c r="AZ30" i="8"/>
  <c r="AZ52" i="8" s="1"/>
  <c r="AY30" i="8"/>
  <c r="AY52" i="8" s="1"/>
  <c r="AX30" i="8"/>
  <c r="AX52" i="8" s="1"/>
  <c r="AW30" i="8"/>
  <c r="AW52" i="8" s="1"/>
  <c r="AV30" i="8"/>
  <c r="AV52" i="8" s="1"/>
  <c r="AU30" i="8"/>
  <c r="AU52" i="8" s="1"/>
  <c r="AT30" i="8"/>
  <c r="AT52" i="8" s="1"/>
  <c r="AS30" i="8"/>
  <c r="AS52" i="8" s="1"/>
  <c r="AR30" i="8"/>
  <c r="AR52" i="8" s="1"/>
  <c r="AQ30" i="8"/>
  <c r="AQ52" i="8" s="1"/>
  <c r="AP30" i="8"/>
  <c r="AP52" i="8" s="1"/>
  <c r="AO30" i="8"/>
  <c r="AO52" i="8" s="1"/>
  <c r="AN30" i="8"/>
  <c r="AN52" i="8" s="1"/>
  <c r="AM30" i="8"/>
  <c r="AM52" i="8" s="1"/>
  <c r="AL30" i="8"/>
  <c r="AL52" i="8" s="1"/>
  <c r="AK30" i="8"/>
  <c r="AK52" i="8" s="1"/>
  <c r="AJ30" i="8"/>
  <c r="AJ52" i="8" s="1"/>
  <c r="AI30" i="8"/>
  <c r="AI52" i="8" s="1"/>
  <c r="AH30" i="8"/>
  <c r="AG30" i="8"/>
  <c r="AG52" i="8" s="1"/>
  <c r="AF30" i="8"/>
  <c r="AF52" i="8" s="1"/>
  <c r="AE30" i="8"/>
  <c r="AE52" i="8" s="1"/>
  <c r="AD30" i="8"/>
  <c r="AC30" i="8"/>
  <c r="AC52" i="8" s="1"/>
  <c r="AB30" i="8"/>
  <c r="AA30" i="8"/>
  <c r="AA52" i="8" s="1"/>
  <c r="Z30" i="8"/>
  <c r="Z52" i="8" s="1"/>
  <c r="Y30" i="8"/>
  <c r="Y52" i="8" s="1"/>
  <c r="X30" i="8"/>
  <c r="X52" i="8" s="1"/>
  <c r="W30" i="8"/>
  <c r="W52" i="8" s="1"/>
  <c r="V30" i="8"/>
  <c r="U30" i="8"/>
  <c r="U52" i="8" s="1"/>
  <c r="T30" i="8"/>
  <c r="S30" i="8"/>
  <c r="S52" i="8" s="1"/>
  <c r="R30" i="8"/>
  <c r="Q30" i="8"/>
  <c r="Q52" i="8" s="1"/>
  <c r="P30" i="8"/>
  <c r="P52" i="8" s="1"/>
  <c r="O30" i="8"/>
  <c r="O52" i="8" s="1"/>
  <c r="N30" i="8"/>
  <c r="N52" i="8" s="1"/>
  <c r="M30" i="8"/>
  <c r="M52" i="8" s="1"/>
  <c r="L30" i="8"/>
  <c r="L52" i="8" s="1"/>
  <c r="K30" i="8"/>
  <c r="K52" i="8" s="1"/>
  <c r="J30" i="8"/>
  <c r="J52" i="8" s="1"/>
  <c r="I30" i="8"/>
  <c r="I52" i="8" s="1"/>
  <c r="H30" i="8"/>
  <c r="H52" i="8" s="1"/>
  <c r="G30" i="8"/>
  <c r="G52" i="8" s="1"/>
  <c r="F30" i="8"/>
  <c r="F52" i="8" s="1"/>
  <c r="I77" i="4"/>
  <c r="AH52" i="8" l="1"/>
  <c r="AD52" i="8"/>
  <c r="BJ52" i="8"/>
  <c r="BH52" i="8"/>
  <c r="BL52" i="8"/>
  <c r="AB52" i="8"/>
  <c r="V52" i="8"/>
  <c r="T52" i="8"/>
  <c r="R52" i="8"/>
  <c r="H52" i="4"/>
  <c r="G52" i="4"/>
  <c r="F52" i="4"/>
  <c r="BN52" i="8" l="1"/>
  <c r="BM51" i="6"/>
  <c r="BL51" i="6"/>
  <c r="BK51" i="6"/>
  <c r="BJ51" i="6"/>
  <c r="BI51" i="6"/>
  <c r="BH51" i="6"/>
  <c r="BG51" i="6"/>
  <c r="BF51" i="6"/>
  <c r="BE51" i="6"/>
  <c r="BD51" i="6"/>
  <c r="BC51" i="6"/>
  <c r="BB51" i="6"/>
  <c r="BA51" i="6"/>
  <c r="AZ51" i="6"/>
  <c r="AY51" i="6"/>
  <c r="AX51" i="6"/>
  <c r="AW51" i="6"/>
  <c r="AV51" i="6"/>
  <c r="AU51" i="6"/>
  <c r="AT51" i="6"/>
  <c r="AS51" i="6"/>
  <c r="AR51" i="6"/>
  <c r="AQ51" i="6"/>
  <c r="AP51" i="6"/>
  <c r="AO51" i="6"/>
  <c r="AN51" i="6"/>
  <c r="AM51" i="6"/>
  <c r="AL51" i="6"/>
  <c r="AK51" i="6"/>
  <c r="AJ51" i="6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BM50" i="6"/>
  <c r="BL50" i="6"/>
  <c r="BK50" i="6"/>
  <c r="BJ50" i="6"/>
  <c r="BI50" i="6"/>
  <c r="BH50" i="6"/>
  <c r="BG50" i="6"/>
  <c r="BF50" i="6"/>
  <c r="BE50" i="6"/>
  <c r="BD50" i="6"/>
  <c r="BC50" i="6"/>
  <c r="BB50" i="6"/>
  <c r="BA50" i="6"/>
  <c r="AZ50" i="6"/>
  <c r="AY50" i="6"/>
  <c r="AX50" i="6"/>
  <c r="AW50" i="6"/>
  <c r="AV50" i="6"/>
  <c r="AU50" i="6"/>
  <c r="AT50" i="6"/>
  <c r="AS50" i="6"/>
  <c r="AR50" i="6"/>
  <c r="AQ50" i="6"/>
  <c r="AP50" i="6"/>
  <c r="AO50" i="6"/>
  <c r="AN50" i="6"/>
  <c r="AM50" i="6"/>
  <c r="AL50" i="6"/>
  <c r="AK50" i="6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BM49" i="6"/>
  <c r="BL49" i="6"/>
  <c r="BK49" i="6"/>
  <c r="BJ49" i="6"/>
  <c r="BI49" i="6"/>
  <c r="BH49" i="6"/>
  <c r="BG49" i="6"/>
  <c r="BF49" i="6"/>
  <c r="BE49" i="6"/>
  <c r="BD49" i="6"/>
  <c r="BC49" i="6"/>
  <c r="BB49" i="6"/>
  <c r="BA49" i="6"/>
  <c r="AZ49" i="6"/>
  <c r="AY49" i="6"/>
  <c r="AX49" i="6"/>
  <c r="AW49" i="6"/>
  <c r="AV49" i="6"/>
  <c r="AU49" i="6"/>
  <c r="AT49" i="6"/>
  <c r="AS49" i="6"/>
  <c r="AR49" i="6"/>
  <c r="AQ49" i="6"/>
  <c r="AP49" i="6"/>
  <c r="AO49" i="6"/>
  <c r="AN49" i="6"/>
  <c r="AM49" i="6"/>
  <c r="AL49" i="6"/>
  <c r="AK49" i="6"/>
  <c r="AJ49" i="6"/>
  <c r="AI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BM48" i="6"/>
  <c r="BL48" i="6"/>
  <c r="BK48" i="6"/>
  <c r="BJ48" i="6"/>
  <c r="BI48" i="6"/>
  <c r="BH48" i="6"/>
  <c r="BG48" i="6"/>
  <c r="BF48" i="6"/>
  <c r="BE48" i="6"/>
  <c r="BD48" i="6"/>
  <c r="BC48" i="6"/>
  <c r="BB48" i="6"/>
  <c r="BA48" i="6"/>
  <c r="AZ48" i="6"/>
  <c r="AY48" i="6"/>
  <c r="AX48" i="6"/>
  <c r="AW48" i="6"/>
  <c r="AV48" i="6"/>
  <c r="AU48" i="6"/>
  <c r="AT48" i="6"/>
  <c r="AS48" i="6"/>
  <c r="AR48" i="6"/>
  <c r="AQ48" i="6"/>
  <c r="AP48" i="6"/>
  <c r="AO48" i="6"/>
  <c r="AN48" i="6"/>
  <c r="AM48" i="6"/>
  <c r="AL48" i="6"/>
  <c r="AK48" i="6"/>
  <c r="AJ48" i="6"/>
  <c r="AI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BM47" i="6"/>
  <c r="BL47" i="6"/>
  <c r="BK47" i="6"/>
  <c r="BJ47" i="6"/>
  <c r="BI47" i="6"/>
  <c r="BH47" i="6"/>
  <c r="BG47" i="6"/>
  <c r="BF47" i="6"/>
  <c r="BE47" i="6"/>
  <c r="BD47" i="6"/>
  <c r="BC47" i="6"/>
  <c r="BB47" i="6"/>
  <c r="BA47" i="6"/>
  <c r="AZ47" i="6"/>
  <c r="AY47" i="6"/>
  <c r="AX47" i="6"/>
  <c r="AW47" i="6"/>
  <c r="AV47" i="6"/>
  <c r="AU47" i="6"/>
  <c r="AT47" i="6"/>
  <c r="AS47" i="6"/>
  <c r="AR47" i="6"/>
  <c r="AQ47" i="6"/>
  <c r="AP47" i="6"/>
  <c r="AO47" i="6"/>
  <c r="AN47" i="6"/>
  <c r="AM47" i="6"/>
  <c r="AL47" i="6"/>
  <c r="AK47" i="6"/>
  <c r="AJ47" i="6"/>
  <c r="AI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BM46" i="6"/>
  <c r="BL46" i="6"/>
  <c r="BK46" i="6"/>
  <c r="BJ46" i="6"/>
  <c r="BI46" i="6"/>
  <c r="BH46" i="6"/>
  <c r="BG46" i="6"/>
  <c r="BF46" i="6"/>
  <c r="BE46" i="6"/>
  <c r="BD46" i="6"/>
  <c r="BC46" i="6"/>
  <c r="BB46" i="6"/>
  <c r="BA46" i="6"/>
  <c r="AZ46" i="6"/>
  <c r="AY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BM45" i="6"/>
  <c r="BL45" i="6"/>
  <c r="BK45" i="6"/>
  <c r="BJ45" i="6"/>
  <c r="BI45" i="6"/>
  <c r="BH45" i="6"/>
  <c r="BG45" i="6"/>
  <c r="BF45" i="6"/>
  <c r="BE45" i="6"/>
  <c r="BD45" i="6"/>
  <c r="BC45" i="6"/>
  <c r="BB45" i="6"/>
  <c r="BA45" i="6"/>
  <c r="AZ45" i="6"/>
  <c r="AY45" i="6"/>
  <c r="AX45" i="6"/>
  <c r="AW45" i="6"/>
  <c r="AV45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BM44" i="6"/>
  <c r="BL44" i="6"/>
  <c r="BK44" i="6"/>
  <c r="BJ44" i="6"/>
  <c r="BI44" i="6"/>
  <c r="BH44" i="6"/>
  <c r="BG44" i="6"/>
  <c r="BF44" i="6"/>
  <c r="BE44" i="6"/>
  <c r="BD44" i="6"/>
  <c r="BC44" i="6"/>
  <c r="BB44" i="6"/>
  <c r="BA44" i="6"/>
  <c r="AZ44" i="6"/>
  <c r="AY44" i="6"/>
  <c r="AX44" i="6"/>
  <c r="AW44" i="6"/>
  <c r="AV44" i="6"/>
  <c r="AU44" i="6"/>
  <c r="AT44" i="6"/>
  <c r="AS44" i="6"/>
  <c r="AR44" i="6"/>
  <c r="AQ44" i="6"/>
  <c r="AP44" i="6"/>
  <c r="AO44" i="6"/>
  <c r="AN44" i="6"/>
  <c r="AM44" i="6"/>
  <c r="AL44" i="6"/>
  <c r="AK44" i="6"/>
  <c r="AJ44" i="6"/>
  <c r="AI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BM43" i="6"/>
  <c r="BL43" i="6"/>
  <c r="BK43" i="6"/>
  <c r="BJ43" i="6"/>
  <c r="BI43" i="6"/>
  <c r="BH43" i="6"/>
  <c r="BG43" i="6"/>
  <c r="BF43" i="6"/>
  <c r="BE43" i="6"/>
  <c r="BD43" i="6"/>
  <c r="BC43" i="6"/>
  <c r="BB43" i="6"/>
  <c r="BA43" i="6"/>
  <c r="AZ43" i="6"/>
  <c r="AY43" i="6"/>
  <c r="AX43" i="6"/>
  <c r="AW43" i="6"/>
  <c r="AV43" i="6"/>
  <c r="AU43" i="6"/>
  <c r="AT43" i="6"/>
  <c r="AS43" i="6"/>
  <c r="AR43" i="6"/>
  <c r="AQ43" i="6"/>
  <c r="AP43" i="6"/>
  <c r="AO43" i="6"/>
  <c r="AN43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BM42" i="6"/>
  <c r="BL42" i="6"/>
  <c r="BK42" i="6"/>
  <c r="BJ42" i="6"/>
  <c r="BI42" i="6"/>
  <c r="BH42" i="6"/>
  <c r="BG42" i="6"/>
  <c r="BF42" i="6"/>
  <c r="BE42" i="6"/>
  <c r="BD42" i="6"/>
  <c r="BC42" i="6"/>
  <c r="BB42" i="6"/>
  <c r="BA42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BM41" i="6"/>
  <c r="BL41" i="6"/>
  <c r="BK41" i="6"/>
  <c r="BJ41" i="6"/>
  <c r="BI41" i="6"/>
  <c r="BH41" i="6"/>
  <c r="BG41" i="6"/>
  <c r="BF41" i="6"/>
  <c r="BE41" i="6"/>
  <c r="BD41" i="6"/>
  <c r="BC41" i="6"/>
  <c r="BB41" i="6"/>
  <c r="BA41" i="6"/>
  <c r="AZ41" i="6"/>
  <c r="AY41" i="6"/>
  <c r="AX41" i="6"/>
  <c r="AW41" i="6"/>
  <c r="AV41" i="6"/>
  <c r="AU41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BM40" i="6"/>
  <c r="BL40" i="6"/>
  <c r="BK40" i="6"/>
  <c r="BJ40" i="6"/>
  <c r="BI40" i="6"/>
  <c r="BH40" i="6"/>
  <c r="BG40" i="6"/>
  <c r="BF40" i="6"/>
  <c r="BE40" i="6"/>
  <c r="BD40" i="6"/>
  <c r="BC40" i="6"/>
  <c r="BB40" i="6"/>
  <c r="BA40" i="6"/>
  <c r="AZ40" i="6"/>
  <c r="AY40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BM39" i="6"/>
  <c r="BL39" i="6"/>
  <c r="BK39" i="6"/>
  <c r="BJ39" i="6"/>
  <c r="BI39" i="6"/>
  <c r="BH39" i="6"/>
  <c r="BG39" i="6"/>
  <c r="BF39" i="6"/>
  <c r="BE39" i="6"/>
  <c r="BD39" i="6"/>
  <c r="BC39" i="6"/>
  <c r="BB39" i="6"/>
  <c r="BA39" i="6"/>
  <c r="AZ39" i="6"/>
  <c r="AY39" i="6"/>
  <c r="AX39" i="6"/>
  <c r="AW39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BM38" i="6"/>
  <c r="BL38" i="6"/>
  <c r="BK38" i="6"/>
  <c r="BJ38" i="6"/>
  <c r="BI38" i="6"/>
  <c r="BH38" i="6"/>
  <c r="BG38" i="6"/>
  <c r="BF38" i="6"/>
  <c r="BE38" i="6"/>
  <c r="BD38" i="6"/>
  <c r="BC38" i="6"/>
  <c r="BB38" i="6"/>
  <c r="BA38" i="6"/>
  <c r="AZ38" i="6"/>
  <c r="AY38" i="6"/>
  <c r="AX38" i="6"/>
  <c r="AW38" i="6"/>
  <c r="AV38" i="6"/>
  <c r="AU38" i="6"/>
  <c r="AT38" i="6"/>
  <c r="AS38" i="6"/>
  <c r="AR38" i="6"/>
  <c r="AQ38" i="6"/>
  <c r="AP38" i="6"/>
  <c r="AO38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BM37" i="6"/>
  <c r="BL37" i="6"/>
  <c r="BK37" i="6"/>
  <c r="BJ37" i="6"/>
  <c r="BI37" i="6"/>
  <c r="BH37" i="6"/>
  <c r="BG37" i="6"/>
  <c r="BF37" i="6"/>
  <c r="BE37" i="6"/>
  <c r="BD37" i="6"/>
  <c r="BC37" i="6"/>
  <c r="BB37" i="6"/>
  <c r="BA37" i="6"/>
  <c r="AZ37" i="6"/>
  <c r="AY37" i="6"/>
  <c r="AX37" i="6"/>
  <c r="AW37" i="6"/>
  <c r="AV37" i="6"/>
  <c r="AU37" i="6"/>
  <c r="AT37" i="6"/>
  <c r="AS37" i="6"/>
  <c r="AR37" i="6"/>
  <c r="AQ37" i="6"/>
  <c r="AP37" i="6"/>
  <c r="AO37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BM36" i="6"/>
  <c r="BL36" i="6"/>
  <c r="BK36" i="6"/>
  <c r="BJ36" i="6"/>
  <c r="BI36" i="6"/>
  <c r="BH36" i="6"/>
  <c r="BG36" i="6"/>
  <c r="BF36" i="6"/>
  <c r="BE36" i="6"/>
  <c r="BD36" i="6"/>
  <c r="BC36" i="6"/>
  <c r="BB36" i="6"/>
  <c r="BA36" i="6"/>
  <c r="AZ36" i="6"/>
  <c r="AY36" i="6"/>
  <c r="AX36" i="6"/>
  <c r="AW36" i="6"/>
  <c r="AV36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BM35" i="6"/>
  <c r="BL35" i="6"/>
  <c r="BK35" i="6"/>
  <c r="BJ35" i="6"/>
  <c r="BI35" i="6"/>
  <c r="BH35" i="6"/>
  <c r="BG35" i="6"/>
  <c r="BF35" i="6"/>
  <c r="BE35" i="6"/>
  <c r="BD35" i="6"/>
  <c r="BC35" i="6"/>
  <c r="BB35" i="6"/>
  <c r="BA35" i="6"/>
  <c r="AZ35" i="6"/>
  <c r="AY35" i="6"/>
  <c r="AX35" i="6"/>
  <c r="AW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BM34" i="6"/>
  <c r="BL34" i="6"/>
  <c r="BK34" i="6"/>
  <c r="BJ34" i="6"/>
  <c r="BI34" i="6"/>
  <c r="BH34" i="6"/>
  <c r="BG34" i="6"/>
  <c r="BF34" i="6"/>
  <c r="BE34" i="6"/>
  <c r="BD34" i="6"/>
  <c r="BC34" i="6"/>
  <c r="BB34" i="6"/>
  <c r="BA34" i="6"/>
  <c r="AZ34" i="6"/>
  <c r="AY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BM33" i="6"/>
  <c r="BL33" i="6"/>
  <c r="BK33" i="6"/>
  <c r="BJ33" i="6"/>
  <c r="BI33" i="6"/>
  <c r="BH33" i="6"/>
  <c r="BG33" i="6"/>
  <c r="BF33" i="6"/>
  <c r="BE33" i="6"/>
  <c r="BD33" i="6"/>
  <c r="BC33" i="6"/>
  <c r="BB33" i="6"/>
  <c r="BA33" i="6"/>
  <c r="AZ33" i="6"/>
  <c r="AY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BM32" i="6"/>
  <c r="BL32" i="6"/>
  <c r="BK32" i="6"/>
  <c r="BJ32" i="6"/>
  <c r="BI32" i="6"/>
  <c r="BH32" i="6"/>
  <c r="BG32" i="6"/>
  <c r="BF32" i="6"/>
  <c r="BE32" i="6"/>
  <c r="BD32" i="6"/>
  <c r="BC32" i="6"/>
  <c r="BB32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BM31" i="6"/>
  <c r="BL31" i="6"/>
  <c r="BK31" i="6"/>
  <c r="BJ31" i="6"/>
  <c r="BI31" i="6"/>
  <c r="BH31" i="6"/>
  <c r="BG31" i="6"/>
  <c r="BF31" i="6"/>
  <c r="BE31" i="6"/>
  <c r="BD31" i="6"/>
  <c r="BC31" i="6"/>
  <c r="BB31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BM30" i="6"/>
  <c r="BM52" i="6" s="1"/>
  <c r="BL30" i="6"/>
  <c r="BL52" i="6" s="1"/>
  <c r="BK30" i="6"/>
  <c r="BK52" i="6" s="1"/>
  <c r="BJ30" i="6"/>
  <c r="BI30" i="6"/>
  <c r="BI52" i="6" s="1"/>
  <c r="BH30" i="6"/>
  <c r="BG30" i="6"/>
  <c r="BG52" i="6" s="1"/>
  <c r="BF30" i="6"/>
  <c r="BF52" i="6" s="1"/>
  <c r="BE30" i="6"/>
  <c r="BE52" i="6" s="1"/>
  <c r="BD30" i="6"/>
  <c r="BD52" i="6" s="1"/>
  <c r="BC30" i="6"/>
  <c r="BC52" i="6" s="1"/>
  <c r="BB30" i="6"/>
  <c r="BA30" i="6"/>
  <c r="BA52" i="6" s="1"/>
  <c r="AZ30" i="6"/>
  <c r="AZ52" i="6" s="1"/>
  <c r="AY30" i="6"/>
  <c r="AY52" i="6" s="1"/>
  <c r="AX30" i="6"/>
  <c r="AW30" i="6"/>
  <c r="AW52" i="6" s="1"/>
  <c r="AV30" i="6"/>
  <c r="AV52" i="6" s="1"/>
  <c r="AU30" i="6"/>
  <c r="AU52" i="6" s="1"/>
  <c r="AT30" i="6"/>
  <c r="AT52" i="6" s="1"/>
  <c r="AS30" i="6"/>
  <c r="AS52" i="6" s="1"/>
  <c r="AR30" i="6"/>
  <c r="AR52" i="6" s="1"/>
  <c r="AQ30" i="6"/>
  <c r="AQ52" i="6" s="1"/>
  <c r="AP30" i="6"/>
  <c r="AP52" i="6" s="1"/>
  <c r="AO30" i="6"/>
  <c r="AO52" i="6" s="1"/>
  <c r="AN30" i="6"/>
  <c r="AN52" i="6" s="1"/>
  <c r="AM30" i="6"/>
  <c r="AM52" i="6" s="1"/>
  <c r="AL30" i="6"/>
  <c r="AK30" i="6"/>
  <c r="AK52" i="6" s="1"/>
  <c r="AJ30" i="6"/>
  <c r="AJ52" i="6" s="1"/>
  <c r="AI30" i="6"/>
  <c r="AI52" i="6" s="1"/>
  <c r="AH30" i="6"/>
  <c r="AH52" i="6" s="1"/>
  <c r="AG30" i="6"/>
  <c r="AG52" i="6" s="1"/>
  <c r="AF30" i="6"/>
  <c r="AF52" i="6" s="1"/>
  <c r="AE30" i="6"/>
  <c r="AE52" i="6" s="1"/>
  <c r="AD30" i="6"/>
  <c r="AD52" i="6" s="1"/>
  <c r="AC30" i="6"/>
  <c r="AC52" i="6" s="1"/>
  <c r="AB30" i="6"/>
  <c r="AB52" i="6" s="1"/>
  <c r="AA30" i="6"/>
  <c r="AA52" i="6" s="1"/>
  <c r="Z30" i="6"/>
  <c r="Z52" i="6" s="1"/>
  <c r="Y30" i="6"/>
  <c r="Y52" i="6" s="1"/>
  <c r="X30" i="6"/>
  <c r="X52" i="6" s="1"/>
  <c r="W30" i="6"/>
  <c r="W52" i="6" s="1"/>
  <c r="V30" i="6"/>
  <c r="U30" i="6"/>
  <c r="U52" i="6" s="1"/>
  <c r="T30" i="6"/>
  <c r="S30" i="6"/>
  <c r="S52" i="6" s="1"/>
  <c r="R30" i="6"/>
  <c r="Q30" i="6"/>
  <c r="Q52" i="6" s="1"/>
  <c r="P30" i="6"/>
  <c r="P52" i="6" s="1"/>
  <c r="O30" i="6"/>
  <c r="O52" i="6" s="1"/>
  <c r="N30" i="6"/>
  <c r="N52" i="6" s="1"/>
  <c r="M30" i="6"/>
  <c r="M52" i="6" s="1"/>
  <c r="L30" i="6"/>
  <c r="L52" i="6" s="1"/>
  <c r="K30" i="6"/>
  <c r="K52" i="6" s="1"/>
  <c r="J30" i="6"/>
  <c r="I30" i="6"/>
  <c r="I52" i="6" s="1"/>
  <c r="H30" i="6"/>
  <c r="H52" i="6" s="1"/>
  <c r="G30" i="6"/>
  <c r="F30" i="6"/>
  <c r="F52" i="6" s="1"/>
  <c r="I77" i="3"/>
  <c r="BO51" i="4"/>
  <c r="BN51" i="4"/>
  <c r="BO50" i="4"/>
  <c r="BN50" i="4"/>
  <c r="BO49" i="4"/>
  <c r="BN49" i="4"/>
  <c r="BO48" i="4"/>
  <c r="BN48" i="4"/>
  <c r="BO47" i="4"/>
  <c r="BN47" i="4"/>
  <c r="BO46" i="4"/>
  <c r="BN46" i="4"/>
  <c r="BO45" i="4"/>
  <c r="BN45" i="4"/>
  <c r="BO44" i="4"/>
  <c r="BN44" i="4"/>
  <c r="BO43" i="4"/>
  <c r="BN43" i="4"/>
  <c r="BO42" i="4"/>
  <c r="BN42" i="4"/>
  <c r="BO41" i="4"/>
  <c r="BN41" i="4"/>
  <c r="BO40" i="4"/>
  <c r="BN40" i="4"/>
  <c r="BO39" i="4"/>
  <c r="BN39" i="4"/>
  <c r="BO38" i="4"/>
  <c r="BN38" i="4"/>
  <c r="BO37" i="4"/>
  <c r="BN37" i="4"/>
  <c r="BO36" i="4"/>
  <c r="BN36" i="4"/>
  <c r="BO35" i="4"/>
  <c r="BN35" i="4"/>
  <c r="BO34" i="4"/>
  <c r="BN34" i="4"/>
  <c r="BO33" i="4"/>
  <c r="BN33" i="4"/>
  <c r="BO32" i="4"/>
  <c r="BN32" i="4"/>
  <c r="BO31" i="4"/>
  <c r="BN31" i="4"/>
  <c r="BO30" i="4"/>
  <c r="BO52" i="4" s="1"/>
  <c r="BN30" i="4"/>
  <c r="BN52" i="4" s="1"/>
  <c r="BM51" i="4"/>
  <c r="BL51" i="4"/>
  <c r="BM50" i="4"/>
  <c r="BL50" i="4"/>
  <c r="BM49" i="4"/>
  <c r="BL49" i="4"/>
  <c r="BM48" i="4"/>
  <c r="BL48" i="4"/>
  <c r="BM47" i="4"/>
  <c r="BL47" i="4"/>
  <c r="BM46" i="4"/>
  <c r="BL46" i="4"/>
  <c r="BM45" i="4"/>
  <c r="BL45" i="4"/>
  <c r="BM44" i="4"/>
  <c r="BL44" i="4"/>
  <c r="BM43" i="4"/>
  <c r="BL43" i="4"/>
  <c r="BM42" i="4"/>
  <c r="BL42" i="4"/>
  <c r="BM41" i="4"/>
  <c r="BL41" i="4"/>
  <c r="BM40" i="4"/>
  <c r="BL40" i="4"/>
  <c r="BM39" i="4"/>
  <c r="BL39" i="4"/>
  <c r="BM38" i="4"/>
  <c r="BL38" i="4"/>
  <c r="BM37" i="4"/>
  <c r="BL37" i="4"/>
  <c r="BM36" i="4"/>
  <c r="BL36" i="4"/>
  <c r="BM35" i="4"/>
  <c r="BL35" i="4"/>
  <c r="BM34" i="4"/>
  <c r="BL34" i="4"/>
  <c r="BM33" i="4"/>
  <c r="BL33" i="4"/>
  <c r="BM32" i="4"/>
  <c r="BL32" i="4"/>
  <c r="BM31" i="4"/>
  <c r="BL31" i="4"/>
  <c r="BM30" i="4"/>
  <c r="BM52" i="4" s="1"/>
  <c r="BL30" i="4"/>
  <c r="BL52" i="4" s="1"/>
  <c r="BK51" i="4"/>
  <c r="BJ51" i="4"/>
  <c r="BK50" i="4"/>
  <c r="BJ50" i="4"/>
  <c r="BK49" i="4"/>
  <c r="BJ49" i="4"/>
  <c r="BK48" i="4"/>
  <c r="BJ48" i="4"/>
  <c r="BK47" i="4"/>
  <c r="BJ47" i="4"/>
  <c r="BK46" i="4"/>
  <c r="BJ46" i="4"/>
  <c r="BK45" i="4"/>
  <c r="BJ45" i="4"/>
  <c r="BK44" i="4"/>
  <c r="BJ44" i="4"/>
  <c r="BK43" i="4"/>
  <c r="BJ43" i="4"/>
  <c r="BK42" i="4"/>
  <c r="BJ42" i="4"/>
  <c r="BK41" i="4"/>
  <c r="BJ41" i="4"/>
  <c r="BK40" i="4"/>
  <c r="BJ40" i="4"/>
  <c r="BK39" i="4"/>
  <c r="BJ39" i="4"/>
  <c r="BK38" i="4"/>
  <c r="BJ38" i="4"/>
  <c r="BK37" i="4"/>
  <c r="BJ37" i="4"/>
  <c r="BK36" i="4"/>
  <c r="BJ36" i="4"/>
  <c r="BK35" i="4"/>
  <c r="BJ35" i="4"/>
  <c r="BK34" i="4"/>
  <c r="BJ34" i="4"/>
  <c r="BK33" i="4"/>
  <c r="BJ33" i="4"/>
  <c r="BK32" i="4"/>
  <c r="BJ32" i="4"/>
  <c r="BK31" i="4"/>
  <c r="BJ31" i="4"/>
  <c r="BK30" i="4"/>
  <c r="BK52" i="4" s="1"/>
  <c r="BJ30" i="4"/>
  <c r="BJ52" i="4" s="1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BI30" i="4"/>
  <c r="BI52" i="4" s="1"/>
  <c r="BH30" i="4"/>
  <c r="BH52" i="4" s="1"/>
  <c r="BG30" i="4"/>
  <c r="BG52" i="4" s="1"/>
  <c r="BF30" i="4"/>
  <c r="BE30" i="4"/>
  <c r="BE52" i="4" s="1"/>
  <c r="BD30" i="4"/>
  <c r="BC30" i="4"/>
  <c r="BC52" i="4" s="1"/>
  <c r="BB30" i="4"/>
  <c r="BB52" i="4" s="1"/>
  <c r="BA30" i="4"/>
  <c r="BA52" i="4" s="1"/>
  <c r="AZ30" i="4"/>
  <c r="AZ52" i="4" s="1"/>
  <c r="AY30" i="4"/>
  <c r="AY52" i="4" s="1"/>
  <c r="AX30" i="4"/>
  <c r="AX52" i="4" s="1"/>
  <c r="AW30" i="4"/>
  <c r="AW52" i="4" s="1"/>
  <c r="AV30" i="4"/>
  <c r="AV52" i="4" s="1"/>
  <c r="AU30" i="4"/>
  <c r="AU52" i="4" s="1"/>
  <c r="AT30" i="4"/>
  <c r="AT52" i="4" s="1"/>
  <c r="AS30" i="4"/>
  <c r="AR30" i="4"/>
  <c r="AQ30" i="4"/>
  <c r="AQ52" i="4" s="1"/>
  <c r="AP30" i="4"/>
  <c r="AP52" i="4" s="1"/>
  <c r="AO30" i="4"/>
  <c r="AO52" i="4" s="1"/>
  <c r="AN30" i="4"/>
  <c r="AM30" i="4"/>
  <c r="AM52" i="4" s="1"/>
  <c r="AL30" i="4"/>
  <c r="AL52" i="4" s="1"/>
  <c r="AK30" i="4"/>
  <c r="AK52" i="4" s="1"/>
  <c r="AJ30" i="4"/>
  <c r="AJ52" i="4" s="1"/>
  <c r="AI30" i="4"/>
  <c r="AI52" i="4" s="1"/>
  <c r="AH30" i="4"/>
  <c r="AH52" i="4" s="1"/>
  <c r="AG30" i="4"/>
  <c r="AG52" i="4" s="1"/>
  <c r="AF30" i="4"/>
  <c r="AF52" i="4" s="1"/>
  <c r="AE30" i="4"/>
  <c r="AE52" i="4" s="1"/>
  <c r="AD30" i="4"/>
  <c r="AD52" i="4" s="1"/>
  <c r="AC30" i="4"/>
  <c r="AC52" i="4" s="1"/>
  <c r="AB30" i="4"/>
  <c r="AB52" i="4" s="1"/>
  <c r="AA30" i="4"/>
  <c r="AA52" i="4" s="1"/>
  <c r="Z30" i="4"/>
  <c r="Z52" i="4" s="1"/>
  <c r="Y30" i="4"/>
  <c r="Y52" i="4" s="1"/>
  <c r="X30" i="4"/>
  <c r="X52" i="4" s="1"/>
  <c r="W30" i="4"/>
  <c r="W52" i="4" s="1"/>
  <c r="V30" i="4"/>
  <c r="V52" i="4" s="1"/>
  <c r="U30" i="4"/>
  <c r="U52" i="4" s="1"/>
  <c r="T30" i="4"/>
  <c r="T52" i="4" s="1"/>
  <c r="S30" i="4"/>
  <c r="S52" i="4" s="1"/>
  <c r="R30" i="4"/>
  <c r="R52" i="4" s="1"/>
  <c r="Q30" i="4"/>
  <c r="Q52" i="4" s="1"/>
  <c r="P30" i="4"/>
  <c r="P52" i="4" s="1"/>
  <c r="O30" i="4"/>
  <c r="O52" i="4" s="1"/>
  <c r="N30" i="4"/>
  <c r="N52" i="4" s="1"/>
  <c r="M30" i="4"/>
  <c r="M52" i="4" s="1"/>
  <c r="L30" i="4"/>
  <c r="L52" i="4" s="1"/>
  <c r="K30" i="4"/>
  <c r="J30" i="4"/>
  <c r="J52" i="4" s="1"/>
  <c r="I30" i="4"/>
  <c r="I52" i="4" s="1"/>
  <c r="H30" i="4"/>
  <c r="G30" i="4"/>
  <c r="F30" i="4"/>
  <c r="BI52" i="3"/>
  <c r="BG52" i="3"/>
  <c r="BE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O52" i="3"/>
  <c r="AM52" i="3"/>
  <c r="AL52" i="3"/>
  <c r="AK52" i="3"/>
  <c r="AJ52" i="3"/>
  <c r="AI52" i="3"/>
  <c r="AH52" i="3"/>
  <c r="AG52" i="3"/>
  <c r="AE52" i="3"/>
  <c r="AD52" i="3"/>
  <c r="AC52" i="3"/>
  <c r="AA52" i="3"/>
  <c r="Y52" i="3"/>
  <c r="X52" i="3"/>
  <c r="W52" i="3"/>
  <c r="V52" i="3"/>
  <c r="U52" i="3"/>
  <c r="T52" i="3"/>
  <c r="S52" i="3"/>
  <c r="R52" i="3"/>
  <c r="Q52" i="3"/>
  <c r="P52" i="3"/>
  <c r="O52" i="3"/>
  <c r="M52" i="3"/>
  <c r="L52" i="3"/>
  <c r="K52" i="3"/>
  <c r="J52" i="3"/>
  <c r="H52" i="3"/>
  <c r="G52" i="3"/>
  <c r="F52" i="3"/>
  <c r="BI51" i="3"/>
  <c r="BH51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BI50" i="3"/>
  <c r="BH50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BI47" i="3"/>
  <c r="BH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BI46" i="3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BI45" i="3"/>
  <c r="BH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BI44" i="3"/>
  <c r="BH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P52" i="3" s="1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N52" i="3" s="1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F52" i="3" s="1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B52" i="3" s="1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N52" i="3" s="1"/>
  <c r="M33" i="3"/>
  <c r="L33" i="3"/>
  <c r="K33" i="3"/>
  <c r="J33" i="3"/>
  <c r="I33" i="3"/>
  <c r="H33" i="3"/>
  <c r="G33" i="3"/>
  <c r="F33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Z52" i="3" s="1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BI30" i="3"/>
  <c r="BH30" i="3"/>
  <c r="BG30" i="3"/>
  <c r="BF30" i="3"/>
  <c r="BF52" i="3" s="1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I52" i="3" s="1"/>
  <c r="H30" i="3"/>
  <c r="G30" i="3"/>
  <c r="F30" i="3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C52" i="1"/>
  <c r="AB52" i="1"/>
  <c r="AA52" i="1"/>
  <c r="Z52" i="1"/>
  <c r="Y52" i="1"/>
  <c r="W52" i="1"/>
  <c r="U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BJ52" i="6" l="1"/>
  <c r="BH52" i="6"/>
  <c r="BB52" i="6"/>
  <c r="AX52" i="6"/>
  <c r="AL52" i="6"/>
  <c r="V52" i="6"/>
  <c r="T52" i="6"/>
  <c r="R52" i="6"/>
  <c r="J52" i="6"/>
  <c r="AS52" i="4"/>
  <c r="G52" i="6"/>
  <c r="BF52" i="4"/>
  <c r="BD52" i="4"/>
  <c r="AR52" i="4"/>
  <c r="AN52" i="4"/>
  <c r="BH52" i="3"/>
  <c r="K52" i="4"/>
  <c r="BJ52" i="3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F48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D52" i="1" s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X52" i="1" s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T52" i="1" s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BN52" i="6" l="1"/>
  <c r="BP52" i="4"/>
  <c r="V52" i="1"/>
  <c r="BP52" i="1" s="1"/>
</calcChain>
</file>

<file path=xl/sharedStrings.xml><?xml version="1.0" encoding="utf-8"?>
<sst xmlns="http://schemas.openxmlformats.org/spreadsheetml/2006/main" count="1457" uniqueCount="81">
  <si>
    <t>15evra/paleti</t>
  </si>
  <si>
    <t>Broj Radnje</t>
  </si>
  <si>
    <t>Telefon Radnje</t>
  </si>
  <si>
    <t>E-mail</t>
  </si>
  <si>
    <t>Tržni centar</t>
  </si>
  <si>
    <t>City</t>
  </si>
  <si>
    <t>Isporuke</t>
  </si>
  <si>
    <t>Povrati</t>
  </si>
  <si>
    <t>XS-01</t>
  </si>
  <si>
    <t>069/3770922</t>
  </si>
  <si>
    <t>serbiabigfashion@madamecoco.com</t>
  </si>
  <si>
    <t>BIG FASHION</t>
  </si>
  <si>
    <t>Beograd</t>
  </si>
  <si>
    <t>XS-02</t>
  </si>
  <si>
    <t>064/5696952</t>
  </si>
  <si>
    <t>serbiabeomall@madamecoco.com</t>
  </si>
  <si>
    <t xml:space="preserve">Beo Shopping Center </t>
  </si>
  <si>
    <t>XS-03</t>
  </si>
  <si>
    <t>063/1776667</t>
  </si>
  <si>
    <t>serbiauscemall@madame.coco</t>
  </si>
  <si>
    <t>BELGRADE USCE</t>
  </si>
  <si>
    <t>XS-04</t>
  </si>
  <si>
    <t>062/8155080</t>
  </si>
  <si>
    <t>serbiapromenada@madamecoco.com</t>
  </si>
  <si>
    <t>PROMENADA NEPI</t>
  </si>
  <si>
    <t>Novi Sad</t>
  </si>
  <si>
    <t>XS-05</t>
  </si>
  <si>
    <t>062/319943</t>
  </si>
  <si>
    <t>serbiazemunpark@madamecoco.com</t>
  </si>
  <si>
    <t>ZEMUN PARK</t>
  </si>
  <si>
    <t>XS-06</t>
  </si>
  <si>
    <t>serbiabignovisad@madamecoco.com</t>
  </si>
  <si>
    <t>BIG Novi Sad</t>
  </si>
  <si>
    <t>XS-07</t>
  </si>
  <si>
    <t>Novi Pazar STREET</t>
  </si>
  <si>
    <t>Novi Pazar</t>
  </si>
  <si>
    <t>XS-08</t>
  </si>
  <si>
    <t>serbiadrum@madamecoco.com</t>
  </si>
  <si>
    <t>DRUM NOVI PAZAR</t>
  </si>
  <si>
    <t>XS09</t>
  </si>
  <si>
    <t>kragujevac@madamecoco.com</t>
  </si>
  <si>
    <t>BIG KG</t>
  </si>
  <si>
    <t>Kragujevac</t>
  </si>
  <si>
    <t>XS10</t>
  </si>
  <si>
    <t>serbiamilanovac@madamecoco.com</t>
  </si>
  <si>
    <t>Gornji Milanovac</t>
  </si>
  <si>
    <t>XS11</t>
  </si>
  <si>
    <t>UB</t>
  </si>
  <si>
    <t>Ub</t>
  </si>
  <si>
    <t>XS12</t>
  </si>
  <si>
    <t>Nis</t>
  </si>
  <si>
    <t>XS-13</t>
  </si>
  <si>
    <t>Kraljevo</t>
  </si>
  <si>
    <t>XS-14</t>
  </si>
  <si>
    <t>Subotica</t>
  </si>
  <si>
    <t>XS-15</t>
  </si>
  <si>
    <t>Pozarevac</t>
  </si>
  <si>
    <t>XS-16</t>
  </si>
  <si>
    <t>Valjevo</t>
  </si>
  <si>
    <t>XS-17</t>
  </si>
  <si>
    <t>Sid</t>
  </si>
  <si>
    <t>XS-22</t>
  </si>
  <si>
    <t>066/366-369</t>
  </si>
  <si>
    <t xml:space="preserve">bigcacak@madamecoco.com </t>
  </si>
  <si>
    <t>Cacak</t>
  </si>
  <si>
    <t>XS-23</t>
  </si>
  <si>
    <t>TC Big</t>
  </si>
  <si>
    <t>Sabac</t>
  </si>
  <si>
    <t>XS-24</t>
  </si>
  <si>
    <t>Bor</t>
  </si>
  <si>
    <t>XS-25</t>
  </si>
  <si>
    <t>TC Fortuna Park</t>
  </si>
  <si>
    <t>Paracin</t>
  </si>
  <si>
    <t>Ukupno:</t>
  </si>
  <si>
    <t>Povrat</t>
  </si>
  <si>
    <t>Novi Pazar CADDE</t>
  </si>
  <si>
    <t>Big Cacak</t>
  </si>
  <si>
    <t>UKUPNO:</t>
  </si>
  <si>
    <t>Bn Boss</t>
  </si>
  <si>
    <t xml:space="preserve">23.4.2026. voze se stakleni lusteri do BN Bosa </t>
  </si>
  <si>
    <t>3pll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</si>
</sst>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EUR]\ #,##0.00"/>
    <numFmt numFmtId="165" formatCode="_([$RSD]\ * #,##0.00_);_([$RSD]\ * \(#,##0.00\);_([$RSD]\ * &quot;-&quot;??_);_(@_)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B0F0"/>
      <name val="Calibri"/>
      <family val="2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6">
    <xf numFmtId="0" fontId="0" fillId="0" borderId="0" xfId="0"/>
    <xf numFmtId="0" fontId="0" fillId="3" borderId="0" xfId="0" applyFill="1" applyAlignment="1">
      <alignment horizontal="center"/>
    </xf>
    <xf numFmtId="0" fontId="0" fillId="4" borderId="2" xfId="0" applyFill="1" applyBorder="1"/>
    <xf numFmtId="0" fontId="4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0" borderId="2" xfId="1" applyBorder="1"/>
    <xf numFmtId="0" fontId="0" fillId="2" borderId="2" xfId="0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/>
    <xf numFmtId="0" fontId="2" fillId="0" borderId="0" xfId="1" applyBorder="1"/>
    <xf numFmtId="0" fontId="7" fillId="0" borderId="0" xfId="0" applyFont="1"/>
    <xf numFmtId="0" fontId="2" fillId="0" borderId="0" xfId="1"/>
    <xf numFmtId="0" fontId="7" fillId="0" borderId="2" xfId="0" applyFont="1" applyBorder="1"/>
    <xf numFmtId="0" fontId="0" fillId="2" borderId="0" xfId="0" applyFill="1"/>
    <xf numFmtId="0" fontId="4" fillId="0" borderId="0" xfId="0" applyFont="1" applyAlignment="1">
      <alignment horizontal="left" vertic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4" fillId="6" borderId="2" xfId="0" applyFont="1" applyFill="1" applyBorder="1" applyAlignment="1">
      <alignment horizontal="center" vertical="center"/>
    </xf>
    <xf numFmtId="0" fontId="1" fillId="0" borderId="0" xfId="0" applyFont="1"/>
    <xf numFmtId="0" fontId="8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2" xfId="0" applyFont="1" applyBorder="1"/>
    <xf numFmtId="0" fontId="10" fillId="7" borderId="2" xfId="0" applyFont="1" applyFill="1" applyBorder="1" applyAlignment="1">
      <alignment vertical="center"/>
    </xf>
    <xf numFmtId="165" fontId="10" fillId="7" borderId="2" xfId="0" applyNumberFormat="1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0" fillId="8" borderId="5" xfId="0" applyFill="1" applyBorder="1" applyAlignment="1">
      <alignment horizontal="center" vertical="center"/>
    </xf>
    <xf numFmtId="0" fontId="0" fillId="8" borderId="5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2" borderId="2" xfId="0" applyFill="1" applyBorder="1"/>
    <xf numFmtId="0" fontId="4" fillId="9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0" fillId="9" borderId="5" xfId="0" applyFill="1" applyBorder="1" applyAlignment="1">
      <alignment horizontal="center" vertical="center"/>
    </xf>
    <xf numFmtId="0" fontId="0" fillId="9" borderId="5" xfId="0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0" fillId="5" borderId="2" xfId="0" applyFill="1" applyBorder="1"/>
    <xf numFmtId="16" fontId="4" fillId="4" borderId="3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5" fontId="10" fillId="7" borderId="2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/>
    </xf>
    <xf numFmtId="16" fontId="4" fillId="8" borderId="3" xfId="0" applyNumberFormat="1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16" fontId="4" fillId="9" borderId="3" xfId="0" applyNumberFormat="1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6192-A64F-4A4D-83D5-A3AAA6409F99}">
  <dimension ref="A3:BQ77"/>
  <sheetViews>
    <sheetView topLeftCell="A4" workbookViewId="0">
      <selection activeCell="I79" sqref="I79"/>
    </sheetView>
  </sheetViews>
  <sheetFormatPr defaultRowHeight="14.4" x14ac:dyDescent="0.3"/>
  <cols>
    <col min="1" max="1" width="20.6640625" customWidth="1"/>
    <col min="2" max="2" width="14.44140625" customWidth="1"/>
    <col min="3" max="3" width="31.6640625" customWidth="1"/>
    <col min="4" max="4" width="19.44140625" customWidth="1"/>
    <col min="5" max="5" width="17.6640625" customWidth="1"/>
    <col min="6" max="6" width="12.88671875" customWidth="1"/>
    <col min="7" max="7" width="17.88671875" customWidth="1"/>
    <col min="8" max="8" width="14.33203125" customWidth="1"/>
    <col min="9" max="9" width="11.33203125" customWidth="1"/>
    <col min="10" max="10" width="12.44140625" customWidth="1"/>
    <col min="12" max="12" width="13.88671875" customWidth="1"/>
    <col min="13" max="13" width="11.21875" customWidth="1"/>
    <col min="14" max="14" width="12.33203125" customWidth="1"/>
    <col min="15" max="15" width="14.44140625" customWidth="1"/>
    <col min="16" max="16" width="13.6640625" customWidth="1"/>
    <col min="17" max="17" width="12" customWidth="1"/>
    <col min="18" max="18" width="10.6640625" customWidth="1"/>
    <col min="20" max="20" width="11.6640625" customWidth="1"/>
    <col min="22" max="22" width="13.77734375" customWidth="1"/>
    <col min="23" max="23" width="12.5546875" customWidth="1"/>
    <col min="24" max="24" width="13.44140625" customWidth="1"/>
    <col min="26" max="26" width="12.33203125" customWidth="1"/>
    <col min="28" max="28" width="11.6640625" customWidth="1"/>
    <col min="30" max="30" width="12.33203125" customWidth="1"/>
    <col min="31" max="31" width="10.88671875" customWidth="1"/>
    <col min="32" max="32" width="11.21875" customWidth="1"/>
    <col min="33" max="33" width="9.77734375" customWidth="1"/>
    <col min="34" max="34" width="10.33203125" customWidth="1"/>
    <col min="35" max="35" width="10.5546875" customWidth="1"/>
    <col min="36" max="36" width="11.109375" customWidth="1"/>
    <col min="37" max="37" width="10.33203125" customWidth="1"/>
    <col min="38" max="38" width="13.21875" customWidth="1"/>
    <col min="39" max="39" width="11.88671875" customWidth="1"/>
    <col min="40" max="40" width="12.109375" customWidth="1"/>
    <col min="42" max="42" width="13.88671875" customWidth="1"/>
    <col min="43" max="43" width="11.21875" customWidth="1"/>
    <col min="44" max="44" width="12.109375" customWidth="1"/>
    <col min="46" max="46" width="12.21875" customWidth="1"/>
    <col min="47" max="47" width="10.5546875" customWidth="1"/>
    <col min="48" max="48" width="11.6640625" customWidth="1"/>
    <col min="49" max="49" width="14.77734375" customWidth="1"/>
    <col min="50" max="50" width="10.44140625" customWidth="1"/>
    <col min="51" max="51" width="11.5546875" customWidth="1"/>
    <col min="52" max="52" width="14.109375" customWidth="1"/>
    <col min="54" max="54" width="12" customWidth="1"/>
    <col min="56" max="56" width="13.6640625" customWidth="1"/>
    <col min="57" max="57" width="9.88671875" customWidth="1"/>
    <col min="58" max="58" width="12" customWidth="1"/>
    <col min="59" max="59" width="10.6640625" customWidth="1"/>
    <col min="60" max="60" width="12.6640625" customWidth="1"/>
    <col min="61" max="61" width="11.77734375" customWidth="1"/>
    <col min="62" max="62" width="12.6640625" customWidth="1"/>
    <col min="64" max="64" width="11.5546875" customWidth="1"/>
    <col min="65" max="65" width="11.44140625" customWidth="1"/>
    <col min="66" max="66" width="14.21875" customWidth="1"/>
    <col min="68" max="68" width="17.21875" customWidth="1"/>
    <col min="69" max="69" width="10.88671875" customWidth="1"/>
  </cols>
  <sheetData>
    <row r="3" spans="1:67" ht="18" x14ac:dyDescent="0.35">
      <c r="A3" s="61"/>
      <c r="B3" s="61"/>
      <c r="C3" s="1" t="s">
        <v>0</v>
      </c>
    </row>
    <row r="4" spans="1:67" x14ac:dyDescent="0.3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57">
        <v>46023</v>
      </c>
      <c r="G4" s="58"/>
      <c r="H4" s="57">
        <v>46024</v>
      </c>
      <c r="I4" s="58"/>
      <c r="J4" s="62">
        <v>46025</v>
      </c>
      <c r="K4" s="63"/>
      <c r="L4" s="62">
        <v>46026</v>
      </c>
      <c r="M4" s="63"/>
      <c r="N4" s="57">
        <v>46027</v>
      </c>
      <c r="O4" s="58"/>
      <c r="P4" s="57">
        <v>46028</v>
      </c>
      <c r="Q4" s="58"/>
      <c r="R4" s="57">
        <v>46029</v>
      </c>
      <c r="S4" s="58"/>
      <c r="T4" s="57">
        <v>46030</v>
      </c>
      <c r="U4" s="58"/>
      <c r="V4" s="57">
        <v>46031</v>
      </c>
      <c r="W4" s="58"/>
      <c r="X4" s="62">
        <v>46032</v>
      </c>
      <c r="Y4" s="63"/>
      <c r="Z4" s="62">
        <v>46033</v>
      </c>
      <c r="AA4" s="63"/>
      <c r="AB4" s="57">
        <v>46034</v>
      </c>
      <c r="AC4" s="58"/>
      <c r="AD4" s="57">
        <v>46035</v>
      </c>
      <c r="AE4" s="58"/>
      <c r="AF4" s="57">
        <v>46036</v>
      </c>
      <c r="AG4" s="58"/>
      <c r="AH4" s="57">
        <v>46037</v>
      </c>
      <c r="AI4" s="58"/>
      <c r="AJ4" s="57">
        <v>46038</v>
      </c>
      <c r="AK4" s="58"/>
      <c r="AL4" s="62">
        <v>46039</v>
      </c>
      <c r="AM4" s="63"/>
      <c r="AN4" s="62">
        <v>46040</v>
      </c>
      <c r="AO4" s="63"/>
      <c r="AP4" s="57">
        <v>46041</v>
      </c>
      <c r="AQ4" s="58"/>
      <c r="AR4" s="57">
        <v>46042</v>
      </c>
      <c r="AS4" s="58"/>
      <c r="AT4" s="57">
        <v>46043</v>
      </c>
      <c r="AU4" s="58"/>
      <c r="AV4" s="57">
        <v>46044</v>
      </c>
      <c r="AW4" s="58"/>
      <c r="AX4" s="57">
        <v>46045</v>
      </c>
      <c r="AY4" s="58"/>
      <c r="AZ4" s="62">
        <v>46046</v>
      </c>
      <c r="BA4" s="63"/>
      <c r="BB4" s="62">
        <v>46047</v>
      </c>
      <c r="BC4" s="63"/>
      <c r="BD4" s="57">
        <v>46048</v>
      </c>
      <c r="BE4" s="58"/>
      <c r="BF4" s="57">
        <v>46049</v>
      </c>
      <c r="BG4" s="58"/>
      <c r="BH4" s="57">
        <v>46050</v>
      </c>
      <c r="BI4" s="58"/>
      <c r="BJ4" s="57">
        <v>46051</v>
      </c>
      <c r="BK4" s="58"/>
      <c r="BL4" s="57">
        <v>46052</v>
      </c>
      <c r="BM4" s="58"/>
      <c r="BN4" s="62">
        <v>46053</v>
      </c>
      <c r="BO4" s="63"/>
    </row>
    <row r="5" spans="1:67" x14ac:dyDescent="0.3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35" t="s">
        <v>6</v>
      </c>
      <c r="K5" s="35" t="s">
        <v>7</v>
      </c>
      <c r="L5" s="35" t="s">
        <v>6</v>
      </c>
      <c r="M5" s="35" t="s">
        <v>7</v>
      </c>
      <c r="N5" s="4" t="s">
        <v>6</v>
      </c>
      <c r="O5" s="4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35" t="s">
        <v>6</v>
      </c>
      <c r="Y5" s="35" t="s">
        <v>7</v>
      </c>
      <c r="Z5" s="35" t="s">
        <v>6</v>
      </c>
      <c r="AA5" s="35" t="s">
        <v>7</v>
      </c>
      <c r="AB5" s="4" t="s">
        <v>6</v>
      </c>
      <c r="AC5" s="4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35" t="s">
        <v>6</v>
      </c>
      <c r="AM5" s="35" t="s">
        <v>7</v>
      </c>
      <c r="AN5" s="35" t="s">
        <v>6</v>
      </c>
      <c r="AO5" s="35" t="s">
        <v>7</v>
      </c>
      <c r="AP5" s="4" t="s">
        <v>6</v>
      </c>
      <c r="AQ5" s="4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35" t="s">
        <v>6</v>
      </c>
      <c r="BA5" s="35" t="s">
        <v>7</v>
      </c>
      <c r="BB5" s="35" t="s">
        <v>6</v>
      </c>
      <c r="BC5" s="35" t="s">
        <v>7</v>
      </c>
      <c r="BD5" s="4" t="s">
        <v>6</v>
      </c>
      <c r="BE5" s="4" t="s">
        <v>7</v>
      </c>
      <c r="BF5" s="5" t="s">
        <v>6</v>
      </c>
      <c r="BG5" s="5" t="s">
        <v>7</v>
      </c>
      <c r="BH5" s="5" t="s">
        <v>6</v>
      </c>
      <c r="BI5" s="5" t="s">
        <v>7</v>
      </c>
      <c r="BJ5" s="4" t="s">
        <v>6</v>
      </c>
      <c r="BK5" s="4" t="s">
        <v>7</v>
      </c>
      <c r="BL5" s="4" t="s">
        <v>6</v>
      </c>
      <c r="BM5" s="4" t="s">
        <v>7</v>
      </c>
      <c r="BN5" s="35" t="s">
        <v>6</v>
      </c>
      <c r="BO5" s="35" t="s">
        <v>7</v>
      </c>
    </row>
    <row r="6" spans="1:67" x14ac:dyDescent="0.3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9"/>
      <c r="G6" s="10"/>
      <c r="H6" s="10"/>
      <c r="I6" s="10"/>
      <c r="J6" s="36"/>
      <c r="K6" s="36"/>
      <c r="L6" s="36"/>
      <c r="M6" s="36"/>
      <c r="N6" s="10"/>
      <c r="O6" s="10"/>
      <c r="P6" s="10"/>
      <c r="Q6" s="10"/>
      <c r="R6" s="10"/>
      <c r="S6" s="10"/>
      <c r="T6" s="10"/>
      <c r="U6" s="10"/>
      <c r="V6" s="10">
        <v>13</v>
      </c>
      <c r="W6" s="10"/>
      <c r="X6" s="36">
        <v>11</v>
      </c>
      <c r="Y6" s="36"/>
      <c r="Z6" s="36"/>
      <c r="AA6" s="36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36"/>
      <c r="AM6" s="36"/>
      <c r="AN6" s="36"/>
      <c r="AO6" s="36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36"/>
      <c r="BA6" s="36"/>
      <c r="BB6" s="36"/>
      <c r="BC6" s="36"/>
      <c r="BD6" s="10"/>
      <c r="BE6" s="10"/>
      <c r="BF6" s="10">
        <v>17</v>
      </c>
      <c r="BG6" s="10">
        <v>1</v>
      </c>
      <c r="BH6" s="10">
        <v>14</v>
      </c>
      <c r="BI6" s="10"/>
      <c r="BJ6" s="10"/>
      <c r="BK6" s="10"/>
      <c r="BL6" s="10"/>
      <c r="BM6" s="10"/>
      <c r="BN6" s="36"/>
      <c r="BO6" s="36"/>
    </row>
    <row r="7" spans="1:67" x14ac:dyDescent="0.3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9"/>
      <c r="G7" s="10"/>
      <c r="H7" s="10"/>
      <c r="I7" s="10"/>
      <c r="J7" s="36"/>
      <c r="K7" s="36"/>
      <c r="L7" s="36"/>
      <c r="M7" s="36"/>
      <c r="N7" s="10"/>
      <c r="O7" s="10"/>
      <c r="P7" s="10"/>
      <c r="Q7" s="10"/>
      <c r="R7" s="10"/>
      <c r="S7" s="10"/>
      <c r="T7" s="10">
        <v>8</v>
      </c>
      <c r="U7" s="10"/>
      <c r="V7" s="10">
        <v>13</v>
      </c>
      <c r="W7" s="10"/>
      <c r="X7" s="36">
        <v>14</v>
      </c>
      <c r="Y7" s="36"/>
      <c r="Z7" s="36"/>
      <c r="AA7" s="36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36"/>
      <c r="AM7" s="36"/>
      <c r="AN7" s="36"/>
      <c r="AO7" s="36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36"/>
      <c r="BA7" s="36"/>
      <c r="BB7" s="36"/>
      <c r="BC7" s="36"/>
      <c r="BD7" s="10"/>
      <c r="BE7" s="10"/>
      <c r="BF7" s="10">
        <v>17</v>
      </c>
      <c r="BG7" s="10"/>
      <c r="BH7" s="10">
        <v>20</v>
      </c>
      <c r="BI7" s="10"/>
      <c r="BJ7" s="10"/>
      <c r="BK7" s="10"/>
      <c r="BL7" s="10"/>
      <c r="BM7" s="10"/>
      <c r="BN7" s="36"/>
      <c r="BO7" s="36"/>
    </row>
    <row r="8" spans="1:67" x14ac:dyDescent="0.3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9"/>
      <c r="G8" s="10"/>
      <c r="H8" s="10"/>
      <c r="I8" s="10"/>
      <c r="J8" s="36"/>
      <c r="K8" s="36"/>
      <c r="L8" s="36"/>
      <c r="M8" s="36"/>
      <c r="N8" s="10"/>
      <c r="O8" s="10"/>
      <c r="P8" s="10"/>
      <c r="Q8" s="10"/>
      <c r="R8" s="10"/>
      <c r="S8" s="10"/>
      <c r="T8" s="10"/>
      <c r="U8" s="10"/>
      <c r="V8" s="10">
        <v>9</v>
      </c>
      <c r="W8" s="10"/>
      <c r="X8" s="36">
        <v>6</v>
      </c>
      <c r="Y8" s="36"/>
      <c r="Z8" s="36"/>
      <c r="AA8" s="36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36"/>
      <c r="AM8" s="36"/>
      <c r="AN8" s="36"/>
      <c r="AO8" s="36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36"/>
      <c r="BA8" s="36"/>
      <c r="BB8" s="36"/>
      <c r="BC8" s="36"/>
      <c r="BD8" s="10"/>
      <c r="BE8" s="10"/>
      <c r="BF8" s="10"/>
      <c r="BG8" s="10"/>
      <c r="BH8" s="10">
        <v>11</v>
      </c>
      <c r="BI8" s="10">
        <v>2</v>
      </c>
      <c r="BJ8" s="10">
        <v>15</v>
      </c>
      <c r="BK8" s="10"/>
      <c r="BL8" s="10"/>
      <c r="BM8" s="10"/>
      <c r="BN8" s="36"/>
      <c r="BO8" s="36"/>
    </row>
    <row r="9" spans="1:67" x14ac:dyDescent="0.3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9"/>
      <c r="G9" s="10"/>
      <c r="H9" s="10"/>
      <c r="I9" s="10"/>
      <c r="J9" s="36"/>
      <c r="K9" s="36"/>
      <c r="L9" s="36"/>
      <c r="M9" s="36"/>
      <c r="N9" s="10"/>
      <c r="O9" s="10"/>
      <c r="P9" s="10"/>
      <c r="Q9" s="10"/>
      <c r="R9" s="10"/>
      <c r="S9" s="10"/>
      <c r="T9" s="10"/>
      <c r="U9" s="10"/>
      <c r="V9" s="10"/>
      <c r="W9" s="10"/>
      <c r="X9" s="36">
        <v>15</v>
      </c>
      <c r="Y9" s="36"/>
      <c r="Z9" s="36"/>
      <c r="AA9" s="36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36"/>
      <c r="AM9" s="36"/>
      <c r="AN9" s="36"/>
      <c r="AO9" s="36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36"/>
      <c r="BA9" s="36"/>
      <c r="BB9" s="36"/>
      <c r="BC9" s="36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36"/>
      <c r="BO9" s="36"/>
    </row>
    <row r="10" spans="1:67" x14ac:dyDescent="0.3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9"/>
      <c r="G10" s="10"/>
      <c r="H10" s="10"/>
      <c r="I10" s="12"/>
      <c r="J10" s="36"/>
      <c r="K10" s="37"/>
      <c r="L10" s="36"/>
      <c r="M10" s="37"/>
      <c r="N10" s="10"/>
      <c r="O10" s="12"/>
      <c r="P10" s="10"/>
      <c r="Q10" s="12"/>
      <c r="R10" s="12"/>
      <c r="S10" s="12"/>
      <c r="T10" s="12"/>
      <c r="U10" s="12"/>
      <c r="V10" s="12"/>
      <c r="W10" s="12"/>
      <c r="X10" s="37">
        <v>14</v>
      </c>
      <c r="Y10" s="37"/>
      <c r="Z10" s="37"/>
      <c r="AA10" s="37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37"/>
      <c r="AM10" s="37"/>
      <c r="AN10" s="37"/>
      <c r="AO10" s="37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37"/>
      <c r="BA10" s="37"/>
      <c r="BB10" s="37"/>
      <c r="BC10" s="37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37"/>
      <c r="BO10" s="37"/>
    </row>
    <row r="11" spans="1:67" x14ac:dyDescent="0.3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13"/>
      <c r="G11" s="10"/>
      <c r="H11" s="10"/>
      <c r="I11" s="12"/>
      <c r="J11" s="36"/>
      <c r="K11" s="37"/>
      <c r="L11" s="36"/>
      <c r="M11" s="37"/>
      <c r="N11" s="10"/>
      <c r="O11" s="12"/>
      <c r="P11" s="12"/>
      <c r="Q11" s="12"/>
      <c r="R11" s="12"/>
      <c r="S11" s="12"/>
      <c r="T11" s="12"/>
      <c r="U11" s="12"/>
      <c r="V11" s="12"/>
      <c r="W11" s="12"/>
      <c r="X11" s="37">
        <v>15</v>
      </c>
      <c r="Y11" s="37"/>
      <c r="Z11" s="37"/>
      <c r="AA11" s="37"/>
      <c r="AB11" s="12"/>
      <c r="AC11" s="12"/>
      <c r="AD11" s="12">
        <v>7</v>
      </c>
      <c r="AE11" s="12"/>
      <c r="AF11" s="12"/>
      <c r="AG11" s="12"/>
      <c r="AH11" s="12"/>
      <c r="AI11" s="12"/>
      <c r="AJ11" s="12"/>
      <c r="AK11" s="12"/>
      <c r="AL11" s="37"/>
      <c r="AM11" s="37"/>
      <c r="AN11" s="37"/>
      <c r="AO11" s="37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37"/>
      <c r="BA11" s="37"/>
      <c r="BB11" s="37"/>
      <c r="BC11" s="37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37"/>
      <c r="BO11" s="37"/>
    </row>
    <row r="12" spans="1:67" x14ac:dyDescent="0.3">
      <c r="A12" s="6" t="s">
        <v>33</v>
      </c>
      <c r="C12" s="11"/>
      <c r="D12" s="6" t="s">
        <v>34</v>
      </c>
      <c r="E12" s="8" t="s">
        <v>35</v>
      </c>
      <c r="F12" s="13"/>
      <c r="G12" s="10"/>
      <c r="H12" s="10"/>
      <c r="I12" s="12"/>
      <c r="J12" s="36"/>
      <c r="K12" s="37"/>
      <c r="L12" s="36"/>
      <c r="M12" s="37"/>
      <c r="N12" s="10"/>
      <c r="O12" s="12"/>
      <c r="P12" s="12"/>
      <c r="Q12" s="12"/>
      <c r="R12" s="12"/>
      <c r="S12" s="12"/>
      <c r="T12" s="12"/>
      <c r="U12" s="12"/>
      <c r="V12" s="12"/>
      <c r="W12" s="12"/>
      <c r="X12" s="37"/>
      <c r="Y12" s="37"/>
      <c r="Z12" s="37"/>
      <c r="AA12" s="37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37"/>
      <c r="AM12" s="37"/>
      <c r="AN12" s="37"/>
      <c r="AO12" s="37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37"/>
      <c r="BA12" s="37"/>
      <c r="BB12" s="37"/>
      <c r="BC12" s="37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37"/>
      <c r="BO12" s="37"/>
    </row>
    <row r="13" spans="1:67" x14ac:dyDescent="0.3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9"/>
      <c r="G13" s="10"/>
      <c r="H13" s="10"/>
      <c r="I13" s="12"/>
      <c r="J13" s="36"/>
      <c r="K13" s="37"/>
      <c r="L13" s="36"/>
      <c r="M13" s="37"/>
      <c r="N13" s="10"/>
      <c r="O13" s="12"/>
      <c r="P13" s="12"/>
      <c r="Q13" s="12"/>
      <c r="R13" s="12"/>
      <c r="S13" s="12"/>
      <c r="T13" s="12"/>
      <c r="U13" s="12"/>
      <c r="V13" s="12"/>
      <c r="W13" s="12"/>
      <c r="X13" s="37"/>
      <c r="Y13" s="37"/>
      <c r="Z13" s="37"/>
      <c r="AA13" s="37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37"/>
      <c r="AM13" s="37"/>
      <c r="AN13" s="37"/>
      <c r="AO13" s="37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37"/>
      <c r="BA13" s="37"/>
      <c r="BB13" s="37"/>
      <c r="BC13" s="37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37"/>
      <c r="BO13" s="37"/>
    </row>
    <row r="14" spans="1:67" x14ac:dyDescent="0.3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9"/>
      <c r="G14" s="10"/>
      <c r="H14" s="10"/>
      <c r="I14" s="12"/>
      <c r="J14" s="36"/>
      <c r="K14" s="37"/>
      <c r="L14" s="36"/>
      <c r="M14" s="37"/>
      <c r="N14" s="10"/>
      <c r="O14" s="12"/>
      <c r="P14" s="12"/>
      <c r="Q14" s="12"/>
      <c r="R14" s="12"/>
      <c r="S14" s="12"/>
      <c r="T14" s="12"/>
      <c r="U14" s="12"/>
      <c r="V14" s="12"/>
      <c r="W14" s="12"/>
      <c r="X14" s="37"/>
      <c r="Y14" s="37"/>
      <c r="Z14" s="37"/>
      <c r="AA14" s="37"/>
      <c r="AB14" s="12"/>
      <c r="AC14" s="12"/>
      <c r="AD14" s="12">
        <v>17</v>
      </c>
      <c r="AE14" s="12"/>
      <c r="AF14" s="12"/>
      <c r="AG14" s="12"/>
      <c r="AH14" s="12"/>
      <c r="AI14" s="12"/>
      <c r="AJ14" s="12"/>
      <c r="AK14" s="12"/>
      <c r="AL14" s="37"/>
      <c r="AM14" s="37"/>
      <c r="AN14" s="37"/>
      <c r="AO14" s="37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37"/>
      <c r="BA14" s="37"/>
      <c r="BB14" s="37"/>
      <c r="BC14" s="37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37"/>
      <c r="BO14" s="37"/>
    </row>
    <row r="15" spans="1:67" x14ac:dyDescent="0.3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13"/>
      <c r="G15" s="10"/>
      <c r="H15" s="14"/>
      <c r="I15" s="15"/>
      <c r="J15" s="38"/>
      <c r="K15" s="39"/>
      <c r="L15" s="38"/>
      <c r="M15" s="39"/>
      <c r="N15" s="14"/>
      <c r="O15" s="15"/>
      <c r="P15" s="15"/>
      <c r="Q15" s="15"/>
      <c r="R15" s="15"/>
      <c r="S15" s="15"/>
      <c r="T15" s="15"/>
      <c r="U15" s="15"/>
      <c r="V15" s="15"/>
      <c r="W15" s="15"/>
      <c r="X15" s="39"/>
      <c r="Y15" s="39"/>
      <c r="Z15" s="39"/>
      <c r="AA15" s="39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39"/>
      <c r="AM15" s="39"/>
      <c r="AN15" s="39"/>
      <c r="AO15" s="39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39"/>
      <c r="BA15" s="39"/>
      <c r="BB15" s="39"/>
      <c r="BC15" s="39"/>
      <c r="BD15" s="15"/>
      <c r="BE15" s="15"/>
      <c r="BF15" s="15"/>
      <c r="BG15" s="15"/>
      <c r="BH15" s="15"/>
      <c r="BI15" s="15"/>
      <c r="BJ15" s="15"/>
      <c r="BK15" s="15"/>
      <c r="BL15" s="12"/>
      <c r="BM15" s="12"/>
      <c r="BN15" s="37"/>
      <c r="BO15" s="37"/>
    </row>
    <row r="16" spans="1:67" x14ac:dyDescent="0.3">
      <c r="A16" s="6" t="s">
        <v>46</v>
      </c>
      <c r="B16" s="6"/>
      <c r="C16" s="11"/>
      <c r="D16" s="6" t="s">
        <v>47</v>
      </c>
      <c r="E16" s="8" t="s">
        <v>48</v>
      </c>
      <c r="F16" s="9"/>
      <c r="G16" s="10"/>
      <c r="H16" s="14"/>
      <c r="I16" s="15"/>
      <c r="J16" s="38"/>
      <c r="K16" s="39"/>
      <c r="L16" s="38"/>
      <c r="M16" s="39"/>
      <c r="N16" s="14"/>
      <c r="O16" s="15"/>
      <c r="P16" s="15"/>
      <c r="Q16" s="15"/>
      <c r="R16" s="15"/>
      <c r="S16" s="15"/>
      <c r="T16" s="15"/>
      <c r="U16" s="15"/>
      <c r="V16" s="15"/>
      <c r="W16" s="15"/>
      <c r="X16" s="39"/>
      <c r="Y16" s="39"/>
      <c r="Z16" s="39"/>
      <c r="AA16" s="39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39"/>
      <c r="AM16" s="39"/>
      <c r="AN16" s="39"/>
      <c r="AO16" s="39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39"/>
      <c r="BA16" s="39"/>
      <c r="BB16" s="39"/>
      <c r="BC16" s="39"/>
      <c r="BD16" s="15"/>
      <c r="BE16" s="15"/>
      <c r="BF16" s="15"/>
      <c r="BG16" s="15"/>
      <c r="BH16" s="15"/>
      <c r="BI16" s="15"/>
      <c r="BJ16" s="15"/>
      <c r="BK16" s="15"/>
      <c r="BL16" s="12"/>
      <c r="BM16" s="12"/>
      <c r="BN16" s="37"/>
      <c r="BO16" s="37"/>
    </row>
    <row r="17" spans="1:67" x14ac:dyDescent="0.3">
      <c r="A17" s="6" t="s">
        <v>49</v>
      </c>
      <c r="B17" s="6"/>
      <c r="C17" s="11"/>
      <c r="D17" s="6" t="s">
        <v>50</v>
      </c>
      <c r="E17" s="8" t="s">
        <v>50</v>
      </c>
      <c r="F17" s="9"/>
      <c r="G17" s="10"/>
      <c r="H17" s="14"/>
      <c r="I17" s="15"/>
      <c r="J17" s="38"/>
      <c r="K17" s="39"/>
      <c r="L17" s="38"/>
      <c r="M17" s="39"/>
      <c r="N17" s="14"/>
      <c r="O17" s="15"/>
      <c r="P17" s="15"/>
      <c r="Q17" s="15"/>
      <c r="R17" s="15"/>
      <c r="S17" s="15"/>
      <c r="T17" s="15"/>
      <c r="U17" s="15"/>
      <c r="V17" s="15"/>
      <c r="W17" s="15"/>
      <c r="X17" s="39"/>
      <c r="Y17" s="39"/>
      <c r="Z17" s="39"/>
      <c r="AA17" s="39"/>
      <c r="AB17" s="15"/>
      <c r="AC17" s="15"/>
      <c r="AD17" s="15">
        <v>14</v>
      </c>
      <c r="AE17" s="15"/>
      <c r="AF17" s="15"/>
      <c r="AG17" s="15"/>
      <c r="AH17" s="15"/>
      <c r="AI17" s="15"/>
      <c r="AJ17" s="15"/>
      <c r="AK17" s="15"/>
      <c r="AL17" s="39"/>
      <c r="AM17" s="39"/>
      <c r="AN17" s="39"/>
      <c r="AO17" s="39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39"/>
      <c r="BA17" s="39"/>
      <c r="BB17" s="39"/>
      <c r="BC17" s="39"/>
      <c r="BD17" s="15"/>
      <c r="BE17" s="15"/>
      <c r="BF17" s="15"/>
      <c r="BG17" s="15"/>
      <c r="BH17" s="15"/>
      <c r="BI17" s="15"/>
      <c r="BJ17" s="15"/>
      <c r="BK17" s="15"/>
      <c r="BL17" s="12"/>
      <c r="BM17" s="12"/>
      <c r="BN17" s="37"/>
      <c r="BO17" s="37"/>
    </row>
    <row r="18" spans="1:67" x14ac:dyDescent="0.3">
      <c r="A18" s="6" t="s">
        <v>51</v>
      </c>
      <c r="B18" s="6"/>
      <c r="C18" s="11"/>
      <c r="D18" s="6" t="s">
        <v>52</v>
      </c>
      <c r="E18" s="16" t="s">
        <v>52</v>
      </c>
      <c r="F18" s="9"/>
      <c r="G18" s="10"/>
      <c r="H18" s="14"/>
      <c r="I18" s="15"/>
      <c r="J18" s="38"/>
      <c r="K18" s="39"/>
      <c r="L18" s="38"/>
      <c r="M18" s="39"/>
      <c r="N18" s="14"/>
      <c r="O18" s="15"/>
      <c r="P18" s="15"/>
      <c r="Q18" s="15"/>
      <c r="R18" s="15"/>
      <c r="S18" s="15"/>
      <c r="T18" s="15"/>
      <c r="U18" s="15"/>
      <c r="V18" s="15"/>
      <c r="W18" s="15"/>
      <c r="X18" s="39"/>
      <c r="Y18" s="39"/>
      <c r="Z18" s="39"/>
      <c r="AA18" s="39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39"/>
      <c r="AM18" s="39"/>
      <c r="AN18" s="39"/>
      <c r="AO18" s="39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39"/>
      <c r="BA18" s="39"/>
      <c r="BB18" s="39"/>
      <c r="BC18" s="39"/>
      <c r="BD18" s="15"/>
      <c r="BE18" s="15"/>
      <c r="BF18" s="15"/>
      <c r="BG18" s="15"/>
      <c r="BH18" s="15"/>
      <c r="BI18" s="15"/>
      <c r="BJ18" s="15"/>
      <c r="BK18" s="15"/>
      <c r="BL18" s="12"/>
      <c r="BM18" s="12"/>
      <c r="BN18" s="37"/>
      <c r="BO18" s="37"/>
    </row>
    <row r="19" spans="1:67" x14ac:dyDescent="0.3">
      <c r="A19" s="6" t="s">
        <v>53</v>
      </c>
      <c r="B19" s="6"/>
      <c r="C19" s="11"/>
      <c r="D19" s="6" t="s">
        <v>54</v>
      </c>
      <c r="E19" s="16" t="s">
        <v>54</v>
      </c>
      <c r="F19" s="9"/>
      <c r="G19" s="10"/>
      <c r="H19" s="14"/>
      <c r="I19" s="15"/>
      <c r="J19" s="38"/>
      <c r="K19" s="39"/>
      <c r="L19" s="38"/>
      <c r="M19" s="39"/>
      <c r="N19" s="14"/>
      <c r="O19" s="15"/>
      <c r="P19" s="15"/>
      <c r="Q19" s="15"/>
      <c r="R19" s="15"/>
      <c r="S19" s="15"/>
      <c r="T19" s="15"/>
      <c r="U19" s="15"/>
      <c r="V19" s="15"/>
      <c r="W19" s="15"/>
      <c r="X19" s="39"/>
      <c r="Y19" s="39"/>
      <c r="Z19" s="39"/>
      <c r="AA19" s="39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39"/>
      <c r="AM19" s="39"/>
      <c r="AN19" s="39"/>
      <c r="AO19" s="39"/>
      <c r="AP19" s="15"/>
      <c r="AQ19" s="15"/>
      <c r="AR19" s="15"/>
      <c r="AS19" s="15"/>
      <c r="AT19" s="15"/>
      <c r="AU19" s="15"/>
      <c r="AV19" s="15"/>
      <c r="AW19" s="15">
        <v>1</v>
      </c>
      <c r="AX19" s="15"/>
      <c r="AY19" s="15"/>
      <c r="AZ19" s="39"/>
      <c r="BA19" s="39"/>
      <c r="BB19" s="39"/>
      <c r="BC19" s="39"/>
      <c r="BD19" s="15"/>
      <c r="BE19" s="15"/>
      <c r="BF19" s="15"/>
      <c r="BG19" s="15"/>
      <c r="BH19" s="15"/>
      <c r="BI19" s="15"/>
      <c r="BJ19" s="15"/>
      <c r="BK19" s="15"/>
      <c r="BL19" s="12"/>
      <c r="BM19" s="12"/>
      <c r="BN19" s="37"/>
      <c r="BO19" s="37"/>
    </row>
    <row r="20" spans="1:67" x14ac:dyDescent="0.3">
      <c r="A20" s="6" t="s">
        <v>55</v>
      </c>
      <c r="B20" s="6"/>
      <c r="C20" s="11"/>
      <c r="D20" s="6" t="s">
        <v>56</v>
      </c>
      <c r="E20" s="16" t="s">
        <v>56</v>
      </c>
      <c r="F20" s="9"/>
      <c r="G20" s="10"/>
      <c r="H20" s="14"/>
      <c r="I20" s="15"/>
      <c r="J20" s="38"/>
      <c r="K20" s="39"/>
      <c r="L20" s="38"/>
      <c r="M20" s="39"/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39"/>
      <c r="Y20" s="39"/>
      <c r="Z20" s="39"/>
      <c r="AA20" s="39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39"/>
      <c r="AM20" s="39"/>
      <c r="AN20" s="39"/>
      <c r="AO20" s="39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39"/>
      <c r="BA20" s="39"/>
      <c r="BB20" s="39"/>
      <c r="BC20" s="39"/>
      <c r="BD20" s="15"/>
      <c r="BE20" s="15"/>
      <c r="BF20" s="15"/>
      <c r="BG20" s="15"/>
      <c r="BH20" s="15"/>
      <c r="BI20" s="15"/>
      <c r="BJ20" s="15"/>
      <c r="BK20" s="15"/>
      <c r="BL20" s="12"/>
      <c r="BM20" s="12"/>
      <c r="BN20" s="37"/>
      <c r="BO20" s="37"/>
    </row>
    <row r="21" spans="1:67" x14ac:dyDescent="0.3">
      <c r="A21" s="6" t="s">
        <v>57</v>
      </c>
      <c r="B21" s="6"/>
      <c r="C21" s="11"/>
      <c r="D21" s="6" t="s">
        <v>58</v>
      </c>
      <c r="E21" s="16" t="s">
        <v>58</v>
      </c>
      <c r="F21" s="9"/>
      <c r="G21" s="10"/>
      <c r="H21" s="14"/>
      <c r="I21" s="15"/>
      <c r="J21" s="38"/>
      <c r="K21" s="39"/>
      <c r="L21" s="38"/>
      <c r="M21" s="39"/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39"/>
      <c r="Y21" s="39"/>
      <c r="Z21" s="39"/>
      <c r="AA21" s="39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39"/>
      <c r="AM21" s="39"/>
      <c r="AN21" s="39"/>
      <c r="AO21" s="39"/>
      <c r="AP21" s="15"/>
      <c r="AQ21" s="15"/>
      <c r="AR21" s="15"/>
      <c r="AS21" s="15"/>
      <c r="AT21" s="15"/>
      <c r="AU21" s="15"/>
      <c r="AV21" s="15"/>
      <c r="AW21" s="15">
        <v>1</v>
      </c>
      <c r="AX21" s="15"/>
      <c r="AY21" s="15"/>
      <c r="AZ21" s="39"/>
      <c r="BA21" s="39"/>
      <c r="BB21" s="39"/>
      <c r="BC21" s="39"/>
      <c r="BD21" s="15"/>
      <c r="BE21" s="15"/>
      <c r="BF21" s="15"/>
      <c r="BG21" s="15"/>
      <c r="BH21" s="15"/>
      <c r="BI21" s="15"/>
      <c r="BJ21" s="15"/>
      <c r="BK21" s="15"/>
      <c r="BL21" s="12"/>
      <c r="BM21" s="12"/>
      <c r="BN21" s="37"/>
      <c r="BO21" s="37"/>
    </row>
    <row r="22" spans="1:67" x14ac:dyDescent="0.3">
      <c r="A22" s="17" t="s">
        <v>59</v>
      </c>
      <c r="C22" s="18"/>
      <c r="D22" s="17" t="s">
        <v>60</v>
      </c>
      <c r="E22" s="16" t="s">
        <v>60</v>
      </c>
      <c r="F22" s="9"/>
      <c r="G22" s="10"/>
      <c r="H22" s="14"/>
      <c r="I22" s="15"/>
      <c r="J22" s="38"/>
      <c r="K22" s="39"/>
      <c r="L22" s="38"/>
      <c r="M22" s="39"/>
      <c r="N22" s="14"/>
      <c r="O22" s="15"/>
      <c r="P22" s="15"/>
      <c r="Q22" s="15"/>
      <c r="R22" s="15"/>
      <c r="S22" s="15"/>
      <c r="T22" s="15"/>
      <c r="U22" s="15"/>
      <c r="V22" s="15"/>
      <c r="W22" s="15"/>
      <c r="X22" s="39"/>
      <c r="Y22" s="39"/>
      <c r="Z22" s="39"/>
      <c r="AA22" s="39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39"/>
      <c r="AM22" s="39"/>
      <c r="AN22" s="39"/>
      <c r="AO22" s="39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39"/>
      <c r="BA22" s="39"/>
      <c r="BB22" s="39"/>
      <c r="BC22" s="39"/>
      <c r="BD22" s="15"/>
      <c r="BE22" s="15"/>
      <c r="BF22" s="15"/>
      <c r="BG22" s="15"/>
      <c r="BH22" s="15"/>
      <c r="BI22" s="15"/>
      <c r="BJ22" s="15"/>
      <c r="BK22" s="15"/>
      <c r="BL22" s="12"/>
      <c r="BM22" s="12"/>
      <c r="BN22" s="37"/>
      <c r="BO22" s="37"/>
    </row>
    <row r="23" spans="1:67" ht="15.6" x14ac:dyDescent="0.3">
      <c r="A23" s="17" t="s">
        <v>61</v>
      </c>
      <c r="B23" s="19" t="s">
        <v>62</v>
      </c>
      <c r="C23" s="20" t="s">
        <v>63</v>
      </c>
      <c r="D23" s="17" t="s">
        <v>64</v>
      </c>
      <c r="E23" s="16" t="s">
        <v>64</v>
      </c>
      <c r="F23" s="9"/>
      <c r="G23" s="10"/>
      <c r="H23" s="14"/>
      <c r="I23" s="15"/>
      <c r="J23" s="38"/>
      <c r="K23" s="39"/>
      <c r="L23" s="38"/>
      <c r="M23" s="39"/>
      <c r="N23" s="14"/>
      <c r="O23" s="15"/>
      <c r="P23" s="15"/>
      <c r="Q23" s="15"/>
      <c r="R23" s="15"/>
      <c r="S23" s="15"/>
      <c r="T23" s="15"/>
      <c r="U23" s="15"/>
      <c r="V23" s="15"/>
      <c r="W23" s="15"/>
      <c r="X23" s="39"/>
      <c r="Y23" s="39"/>
      <c r="Z23" s="39"/>
      <c r="AA23" s="39"/>
      <c r="AB23" s="15"/>
      <c r="AC23" s="15"/>
      <c r="AD23" s="15">
        <v>10</v>
      </c>
      <c r="AE23" s="15"/>
      <c r="AF23" s="15"/>
      <c r="AG23" s="15"/>
      <c r="AH23" s="15"/>
      <c r="AI23" s="15"/>
      <c r="AJ23" s="15"/>
      <c r="AK23" s="15"/>
      <c r="AL23" s="39"/>
      <c r="AM23" s="39"/>
      <c r="AN23" s="39"/>
      <c r="AO23" s="39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39"/>
      <c r="BA23" s="39"/>
      <c r="BB23" s="39"/>
      <c r="BC23" s="39"/>
      <c r="BD23" s="15"/>
      <c r="BE23" s="15"/>
      <c r="BF23" s="15"/>
      <c r="BG23" s="15"/>
      <c r="BH23" s="15"/>
      <c r="BI23" s="15"/>
      <c r="BJ23" s="15"/>
      <c r="BK23" s="15"/>
      <c r="BL23" s="12"/>
      <c r="BM23" s="12"/>
      <c r="BN23" s="37"/>
      <c r="BO23" s="37"/>
    </row>
    <row r="24" spans="1:67" ht="15.6" x14ac:dyDescent="0.3">
      <c r="A24" s="6" t="s">
        <v>65</v>
      </c>
      <c r="B24" s="21"/>
      <c r="C24" s="11"/>
      <c r="D24" s="6" t="s">
        <v>66</v>
      </c>
      <c r="E24" s="16" t="s">
        <v>69</v>
      </c>
      <c r="F24" s="9"/>
      <c r="G24" s="10"/>
      <c r="H24" s="14"/>
      <c r="I24" s="15"/>
      <c r="J24" s="38"/>
      <c r="K24" s="39"/>
      <c r="L24" s="38"/>
      <c r="M24" s="39"/>
      <c r="N24" s="14"/>
      <c r="O24" s="15"/>
      <c r="P24" s="15">
        <v>1</v>
      </c>
      <c r="Q24" s="15">
        <v>7</v>
      </c>
      <c r="R24" s="15"/>
      <c r="S24" s="15"/>
      <c r="T24" s="15"/>
      <c r="U24" s="15"/>
      <c r="V24" s="15"/>
      <c r="W24" s="15"/>
      <c r="X24" s="39"/>
      <c r="Y24" s="39"/>
      <c r="Z24" s="39"/>
      <c r="AA24" s="39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39"/>
      <c r="AM24" s="39"/>
      <c r="AN24" s="39"/>
      <c r="AO24" s="39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39"/>
      <c r="BA24" s="39"/>
      <c r="BB24" s="39"/>
      <c r="BC24" s="39"/>
      <c r="BD24" s="15"/>
      <c r="BE24" s="15"/>
      <c r="BF24" s="15"/>
      <c r="BG24" s="15"/>
      <c r="BH24" s="15"/>
      <c r="BI24" s="15"/>
      <c r="BJ24" s="15"/>
      <c r="BK24" s="15"/>
      <c r="BL24" s="12"/>
      <c r="BM24" s="12"/>
      <c r="BN24" s="37"/>
      <c r="BO24" s="37"/>
    </row>
    <row r="25" spans="1:67" ht="15.6" x14ac:dyDescent="0.3">
      <c r="A25" s="6" t="s">
        <v>68</v>
      </c>
      <c r="B25" s="21"/>
      <c r="C25" s="11"/>
      <c r="D25" s="6" t="s">
        <v>66</v>
      </c>
      <c r="E25" s="16" t="s">
        <v>67</v>
      </c>
      <c r="F25" s="9"/>
      <c r="G25" s="10"/>
      <c r="H25" s="14"/>
      <c r="I25" s="15"/>
      <c r="J25" s="38"/>
      <c r="K25" s="39"/>
      <c r="L25" s="38"/>
      <c r="M25" s="39"/>
      <c r="N25" s="14"/>
      <c r="O25" s="15"/>
      <c r="P25" s="15"/>
      <c r="Q25" s="15"/>
      <c r="R25" s="15"/>
      <c r="S25" s="15"/>
      <c r="T25" s="15"/>
      <c r="U25" s="15"/>
      <c r="V25" s="15"/>
      <c r="W25" s="15"/>
      <c r="X25" s="39"/>
      <c r="Y25" s="39"/>
      <c r="Z25" s="39"/>
      <c r="AA25" s="39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39"/>
      <c r="AM25" s="39"/>
      <c r="AN25" s="39"/>
      <c r="AO25" s="39"/>
      <c r="AP25" s="15"/>
      <c r="AQ25" s="15"/>
      <c r="AR25" s="15"/>
      <c r="AS25" s="15"/>
      <c r="AT25" s="15"/>
      <c r="AU25" s="15"/>
      <c r="AV25" s="15"/>
      <c r="AW25" s="15">
        <v>1</v>
      </c>
      <c r="AX25" s="15"/>
      <c r="AY25" s="15"/>
      <c r="AZ25" s="39"/>
      <c r="BA25" s="39"/>
      <c r="BB25" s="39"/>
      <c r="BC25" s="39"/>
      <c r="BD25" s="15"/>
      <c r="BE25" s="15"/>
      <c r="BF25" s="15"/>
      <c r="BG25" s="15"/>
      <c r="BH25" s="15"/>
      <c r="BI25" s="15"/>
      <c r="BJ25" s="15"/>
      <c r="BK25" s="15"/>
      <c r="BL25" s="12"/>
      <c r="BM25" s="12"/>
      <c r="BN25" s="37"/>
      <c r="BO25" s="37"/>
    </row>
    <row r="26" spans="1:67" ht="15.6" x14ac:dyDescent="0.3">
      <c r="A26" s="6" t="s">
        <v>70</v>
      </c>
      <c r="B26" s="21"/>
      <c r="C26" s="11"/>
      <c r="D26" s="6" t="s">
        <v>71</v>
      </c>
      <c r="E26" s="16" t="s">
        <v>72</v>
      </c>
      <c r="F26" s="9"/>
      <c r="G26" s="10"/>
      <c r="H26" s="14"/>
      <c r="I26" s="15"/>
      <c r="J26" s="38"/>
      <c r="K26" s="39"/>
      <c r="L26" s="38"/>
      <c r="M26" s="39"/>
      <c r="N26" s="14"/>
      <c r="O26" s="15"/>
      <c r="P26" s="15"/>
      <c r="Q26" s="15"/>
      <c r="R26" s="15"/>
      <c r="S26" s="15"/>
      <c r="T26" s="15"/>
      <c r="U26" s="15"/>
      <c r="V26" s="15"/>
      <c r="W26" s="15"/>
      <c r="X26" s="39"/>
      <c r="Y26" s="39"/>
      <c r="Z26" s="39"/>
      <c r="AA26" s="39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39"/>
      <c r="AM26" s="39"/>
      <c r="AN26" s="39"/>
      <c r="AO26" s="39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39"/>
      <c r="BA26" s="39"/>
      <c r="BB26" s="39"/>
      <c r="BC26" s="39"/>
      <c r="BD26" s="15"/>
      <c r="BE26" s="15"/>
      <c r="BF26" s="15"/>
      <c r="BG26" s="15"/>
      <c r="BH26" s="15"/>
      <c r="BI26" s="15"/>
      <c r="BJ26" s="15"/>
      <c r="BK26" s="15"/>
      <c r="BL26" s="12"/>
      <c r="BM26" s="12"/>
      <c r="BN26" s="37"/>
      <c r="BO26" s="37"/>
    </row>
    <row r="27" spans="1:67" ht="15.6" x14ac:dyDescent="0.3">
      <c r="A27" s="6" t="s">
        <v>78</v>
      </c>
      <c r="B27" s="21"/>
      <c r="C27" s="11"/>
      <c r="D27" s="6"/>
      <c r="E27" s="16"/>
      <c r="F27" s="9"/>
      <c r="G27" s="10"/>
      <c r="H27" s="14"/>
      <c r="I27" s="15"/>
      <c r="J27" s="38"/>
      <c r="K27" s="39"/>
      <c r="L27" s="38"/>
      <c r="M27" s="39"/>
      <c r="N27" s="14"/>
      <c r="O27" s="15"/>
      <c r="P27" s="15"/>
      <c r="Q27" s="15"/>
      <c r="R27" s="15"/>
      <c r="S27" s="15"/>
      <c r="T27" s="15"/>
      <c r="U27" s="15"/>
      <c r="V27" s="15"/>
      <c r="W27" s="15"/>
      <c r="X27" s="39"/>
      <c r="Y27" s="39"/>
      <c r="Z27" s="39"/>
      <c r="AA27" s="39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39"/>
      <c r="AM27" s="39"/>
      <c r="AN27" s="39"/>
      <c r="AO27" s="39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39"/>
      <c r="BA27" s="39"/>
      <c r="BB27" s="39"/>
      <c r="BC27" s="39"/>
      <c r="BD27" s="15"/>
      <c r="BE27" s="15"/>
      <c r="BF27" s="15">
        <v>39</v>
      </c>
      <c r="BG27" s="15"/>
      <c r="BH27" s="15"/>
      <c r="BI27" s="15"/>
      <c r="BJ27" s="15"/>
      <c r="BK27" s="15"/>
      <c r="BL27" s="12"/>
      <c r="BM27" s="12"/>
      <c r="BN27" s="37"/>
      <c r="BO27" s="37"/>
    </row>
    <row r="28" spans="1:67" ht="18.600000000000001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x14ac:dyDescent="0.3">
      <c r="BB29" s="22"/>
      <c r="BC29" s="22"/>
      <c r="BD29" s="22"/>
      <c r="BE29" s="22"/>
    </row>
    <row r="30" spans="1:67" x14ac:dyDescent="0.3">
      <c r="D30" s="59" t="s">
        <v>11</v>
      </c>
      <c r="E30" s="59"/>
      <c r="F30" s="24">
        <f t="shared" ref="F30:AK30" si="0">F6*15</f>
        <v>0</v>
      </c>
      <c r="G30" s="24">
        <f t="shared" si="0"/>
        <v>0</v>
      </c>
      <c r="H30" s="24">
        <f t="shared" si="0"/>
        <v>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0</v>
      </c>
      <c r="S30" s="24">
        <f t="shared" si="0"/>
        <v>0</v>
      </c>
      <c r="T30" s="24">
        <f t="shared" si="0"/>
        <v>0</v>
      </c>
      <c r="U30" s="24">
        <f t="shared" si="0"/>
        <v>0</v>
      </c>
      <c r="V30" s="24">
        <f t="shared" si="0"/>
        <v>195</v>
      </c>
      <c r="W30" s="24">
        <f t="shared" si="0"/>
        <v>0</v>
      </c>
      <c r="X30" s="24">
        <f t="shared" si="0"/>
        <v>165</v>
      </c>
      <c r="Y30" s="24">
        <f t="shared" si="0"/>
        <v>0</v>
      </c>
      <c r="Z30" s="24">
        <f t="shared" si="0"/>
        <v>0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0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0</v>
      </c>
      <c r="AK30" s="24">
        <f t="shared" si="0"/>
        <v>0</v>
      </c>
      <c r="AL30" s="24">
        <f t="shared" ref="AL30:BO30" si="1">AL6*15</f>
        <v>0</v>
      </c>
      <c r="AM30" s="24">
        <f t="shared" si="1"/>
        <v>0</v>
      </c>
      <c r="AN30" s="24">
        <f t="shared" si="1"/>
        <v>0</v>
      </c>
      <c r="AO30" s="24">
        <f t="shared" si="1"/>
        <v>0</v>
      </c>
      <c r="AP30" s="24">
        <f t="shared" si="1"/>
        <v>0</v>
      </c>
      <c r="AQ30" s="24">
        <f t="shared" si="1"/>
        <v>0</v>
      </c>
      <c r="AR30" s="24">
        <f t="shared" si="1"/>
        <v>0</v>
      </c>
      <c r="AS30" s="24">
        <f t="shared" si="1"/>
        <v>0</v>
      </c>
      <c r="AT30" s="24">
        <f t="shared" si="1"/>
        <v>0</v>
      </c>
      <c r="AU30" s="24">
        <f t="shared" si="1"/>
        <v>0</v>
      </c>
      <c r="AV30" s="24">
        <f t="shared" si="1"/>
        <v>0</v>
      </c>
      <c r="AW30" s="24">
        <f t="shared" si="1"/>
        <v>0</v>
      </c>
      <c r="AX30" s="24">
        <f t="shared" si="1"/>
        <v>0</v>
      </c>
      <c r="AY30" s="24">
        <f t="shared" si="1"/>
        <v>0</v>
      </c>
      <c r="AZ30" s="24">
        <f t="shared" si="1"/>
        <v>0</v>
      </c>
      <c r="BA30" s="24">
        <f t="shared" si="1"/>
        <v>0</v>
      </c>
      <c r="BB30" s="24">
        <f t="shared" si="1"/>
        <v>0</v>
      </c>
      <c r="BC30" s="24">
        <f t="shared" si="1"/>
        <v>0</v>
      </c>
      <c r="BD30" s="24">
        <f t="shared" si="1"/>
        <v>0</v>
      </c>
      <c r="BE30" s="24">
        <f t="shared" si="1"/>
        <v>0</v>
      </c>
      <c r="BF30" s="24">
        <f t="shared" si="1"/>
        <v>255</v>
      </c>
      <c r="BG30" s="24">
        <f t="shared" si="1"/>
        <v>15</v>
      </c>
      <c r="BH30" s="24">
        <f t="shared" si="1"/>
        <v>210</v>
      </c>
      <c r="BI30" s="24">
        <f t="shared" si="1"/>
        <v>0</v>
      </c>
      <c r="BJ30" s="24">
        <f t="shared" si="1"/>
        <v>0</v>
      </c>
      <c r="BK30" s="24">
        <f t="shared" si="1"/>
        <v>0</v>
      </c>
      <c r="BL30" s="24">
        <f t="shared" si="1"/>
        <v>0</v>
      </c>
      <c r="BM30" s="24">
        <f t="shared" si="1"/>
        <v>0</v>
      </c>
      <c r="BN30" s="24">
        <f t="shared" si="1"/>
        <v>0</v>
      </c>
      <c r="BO30" s="24">
        <f t="shared" si="1"/>
        <v>0</v>
      </c>
    </row>
    <row r="31" spans="1:67" x14ac:dyDescent="0.3">
      <c r="D31" s="59" t="s">
        <v>16</v>
      </c>
      <c r="E31" s="59"/>
      <c r="F31" s="24">
        <f t="shared" ref="F31:AK31" si="2">F7*15</f>
        <v>0</v>
      </c>
      <c r="G31" s="24">
        <f t="shared" si="2"/>
        <v>0</v>
      </c>
      <c r="H31" s="24">
        <f t="shared" si="2"/>
        <v>0</v>
      </c>
      <c r="I31" s="24">
        <f t="shared" si="2"/>
        <v>0</v>
      </c>
      <c r="J31" s="24">
        <f t="shared" si="2"/>
        <v>0</v>
      </c>
      <c r="K31" s="24">
        <f t="shared" si="2"/>
        <v>0</v>
      </c>
      <c r="L31" s="24">
        <f t="shared" si="2"/>
        <v>0</v>
      </c>
      <c r="M31" s="24">
        <f t="shared" si="2"/>
        <v>0</v>
      </c>
      <c r="N31" s="24">
        <f t="shared" si="2"/>
        <v>0</v>
      </c>
      <c r="O31" s="24">
        <f t="shared" si="2"/>
        <v>0</v>
      </c>
      <c r="P31" s="24">
        <f t="shared" si="2"/>
        <v>0</v>
      </c>
      <c r="Q31" s="24">
        <f t="shared" si="2"/>
        <v>0</v>
      </c>
      <c r="R31" s="24">
        <f t="shared" si="2"/>
        <v>0</v>
      </c>
      <c r="S31" s="24">
        <f t="shared" si="2"/>
        <v>0</v>
      </c>
      <c r="T31" s="24">
        <f t="shared" si="2"/>
        <v>120</v>
      </c>
      <c r="U31" s="24">
        <f t="shared" si="2"/>
        <v>0</v>
      </c>
      <c r="V31" s="24">
        <f t="shared" si="2"/>
        <v>195</v>
      </c>
      <c r="W31" s="24">
        <f t="shared" si="2"/>
        <v>0</v>
      </c>
      <c r="X31" s="24">
        <f t="shared" si="2"/>
        <v>210</v>
      </c>
      <c r="Y31" s="24">
        <f t="shared" si="2"/>
        <v>0</v>
      </c>
      <c r="Z31" s="24">
        <f t="shared" si="2"/>
        <v>0</v>
      </c>
      <c r="AA31" s="24">
        <f t="shared" si="2"/>
        <v>0</v>
      </c>
      <c r="AB31" s="24">
        <f t="shared" si="2"/>
        <v>0</v>
      </c>
      <c r="AC31" s="24">
        <f t="shared" si="2"/>
        <v>0</v>
      </c>
      <c r="AD31" s="24">
        <f t="shared" si="2"/>
        <v>0</v>
      </c>
      <c r="AE31" s="24">
        <f t="shared" si="2"/>
        <v>0</v>
      </c>
      <c r="AF31" s="24">
        <f t="shared" si="2"/>
        <v>0</v>
      </c>
      <c r="AG31" s="24">
        <f t="shared" si="2"/>
        <v>0</v>
      </c>
      <c r="AH31" s="24">
        <f t="shared" si="2"/>
        <v>0</v>
      </c>
      <c r="AI31" s="24">
        <f t="shared" si="2"/>
        <v>0</v>
      </c>
      <c r="AJ31" s="24">
        <f t="shared" si="2"/>
        <v>0</v>
      </c>
      <c r="AK31" s="24">
        <f t="shared" si="2"/>
        <v>0</v>
      </c>
      <c r="AL31" s="24">
        <f t="shared" ref="AL31:BO31" si="3">AL7*15</f>
        <v>0</v>
      </c>
      <c r="AM31" s="24">
        <f t="shared" si="3"/>
        <v>0</v>
      </c>
      <c r="AN31" s="24">
        <f t="shared" si="3"/>
        <v>0</v>
      </c>
      <c r="AO31" s="24">
        <f t="shared" si="3"/>
        <v>0</v>
      </c>
      <c r="AP31" s="24">
        <f t="shared" si="3"/>
        <v>0</v>
      </c>
      <c r="AQ31" s="24">
        <f t="shared" si="3"/>
        <v>0</v>
      </c>
      <c r="AR31" s="24">
        <f t="shared" si="3"/>
        <v>0</v>
      </c>
      <c r="AS31" s="24">
        <f t="shared" si="3"/>
        <v>0</v>
      </c>
      <c r="AT31" s="24">
        <f t="shared" si="3"/>
        <v>0</v>
      </c>
      <c r="AU31" s="24">
        <f t="shared" si="3"/>
        <v>0</v>
      </c>
      <c r="AV31" s="24">
        <f t="shared" si="3"/>
        <v>0</v>
      </c>
      <c r="AW31" s="24">
        <f t="shared" si="3"/>
        <v>0</v>
      </c>
      <c r="AX31" s="24">
        <f t="shared" si="3"/>
        <v>0</v>
      </c>
      <c r="AY31" s="24">
        <f t="shared" si="3"/>
        <v>0</v>
      </c>
      <c r="AZ31" s="24">
        <f t="shared" si="3"/>
        <v>0</v>
      </c>
      <c r="BA31" s="24">
        <f t="shared" si="3"/>
        <v>0</v>
      </c>
      <c r="BB31" s="24">
        <f t="shared" si="3"/>
        <v>0</v>
      </c>
      <c r="BC31" s="24">
        <f t="shared" si="3"/>
        <v>0</v>
      </c>
      <c r="BD31" s="24">
        <f t="shared" si="3"/>
        <v>0</v>
      </c>
      <c r="BE31" s="24">
        <f t="shared" si="3"/>
        <v>0</v>
      </c>
      <c r="BF31" s="24">
        <f t="shared" si="3"/>
        <v>255</v>
      </c>
      <c r="BG31" s="24">
        <f t="shared" si="3"/>
        <v>0</v>
      </c>
      <c r="BH31" s="24">
        <f t="shared" si="3"/>
        <v>300</v>
      </c>
      <c r="BI31" s="24">
        <f t="shared" si="3"/>
        <v>0</v>
      </c>
      <c r="BJ31" s="24">
        <f t="shared" si="3"/>
        <v>0</v>
      </c>
      <c r="BK31" s="24">
        <f t="shared" si="3"/>
        <v>0</v>
      </c>
      <c r="BL31" s="24">
        <f t="shared" si="3"/>
        <v>0</v>
      </c>
      <c r="BM31" s="24">
        <f t="shared" si="3"/>
        <v>0</v>
      </c>
      <c r="BN31" s="24">
        <f t="shared" si="3"/>
        <v>0</v>
      </c>
      <c r="BO31" s="24">
        <f t="shared" si="3"/>
        <v>0</v>
      </c>
    </row>
    <row r="32" spans="1:67" x14ac:dyDescent="0.3">
      <c r="D32" s="59" t="s">
        <v>20</v>
      </c>
      <c r="E32" s="59"/>
      <c r="F32" s="24">
        <f t="shared" ref="F32:AK32" si="4">F8*15</f>
        <v>0</v>
      </c>
      <c r="G32" s="24">
        <f t="shared" si="4"/>
        <v>0</v>
      </c>
      <c r="H32" s="24">
        <f t="shared" si="4"/>
        <v>0</v>
      </c>
      <c r="I32" s="24">
        <f t="shared" si="4"/>
        <v>0</v>
      </c>
      <c r="J32" s="24">
        <f t="shared" si="4"/>
        <v>0</v>
      </c>
      <c r="K32" s="24">
        <f t="shared" si="4"/>
        <v>0</v>
      </c>
      <c r="L32" s="24">
        <f t="shared" si="4"/>
        <v>0</v>
      </c>
      <c r="M32" s="24">
        <f t="shared" si="4"/>
        <v>0</v>
      </c>
      <c r="N32" s="24">
        <f t="shared" si="4"/>
        <v>0</v>
      </c>
      <c r="O32" s="24">
        <f t="shared" si="4"/>
        <v>0</v>
      </c>
      <c r="P32" s="24">
        <f t="shared" si="4"/>
        <v>0</v>
      </c>
      <c r="Q32" s="24">
        <f t="shared" si="4"/>
        <v>0</v>
      </c>
      <c r="R32" s="24">
        <f t="shared" si="4"/>
        <v>0</v>
      </c>
      <c r="S32" s="24">
        <f t="shared" si="4"/>
        <v>0</v>
      </c>
      <c r="T32" s="24">
        <f t="shared" si="4"/>
        <v>0</v>
      </c>
      <c r="U32" s="24">
        <f t="shared" si="4"/>
        <v>0</v>
      </c>
      <c r="V32" s="24">
        <f t="shared" si="4"/>
        <v>135</v>
      </c>
      <c r="W32" s="24">
        <f t="shared" si="4"/>
        <v>0</v>
      </c>
      <c r="X32" s="24">
        <f t="shared" si="4"/>
        <v>90</v>
      </c>
      <c r="Y32" s="24">
        <f t="shared" si="4"/>
        <v>0</v>
      </c>
      <c r="Z32" s="24">
        <f t="shared" si="4"/>
        <v>0</v>
      </c>
      <c r="AA32" s="24">
        <f t="shared" si="4"/>
        <v>0</v>
      </c>
      <c r="AB32" s="24">
        <f t="shared" si="4"/>
        <v>0</v>
      </c>
      <c r="AC32" s="24">
        <f t="shared" si="4"/>
        <v>0</v>
      </c>
      <c r="AD32" s="24">
        <f t="shared" si="4"/>
        <v>0</v>
      </c>
      <c r="AE32" s="24">
        <f t="shared" si="4"/>
        <v>0</v>
      </c>
      <c r="AF32" s="24">
        <f t="shared" si="4"/>
        <v>0</v>
      </c>
      <c r="AG32" s="24">
        <f t="shared" si="4"/>
        <v>0</v>
      </c>
      <c r="AH32" s="24">
        <f t="shared" si="4"/>
        <v>0</v>
      </c>
      <c r="AI32" s="24">
        <f t="shared" si="4"/>
        <v>0</v>
      </c>
      <c r="AJ32" s="24">
        <f t="shared" si="4"/>
        <v>0</v>
      </c>
      <c r="AK32" s="24">
        <f t="shared" si="4"/>
        <v>0</v>
      </c>
      <c r="AL32" s="24">
        <f t="shared" ref="AL32:BO32" si="5">AL8*15</f>
        <v>0</v>
      </c>
      <c r="AM32" s="24">
        <f t="shared" si="5"/>
        <v>0</v>
      </c>
      <c r="AN32" s="24">
        <f t="shared" si="5"/>
        <v>0</v>
      </c>
      <c r="AO32" s="24">
        <f t="shared" si="5"/>
        <v>0</v>
      </c>
      <c r="AP32" s="24">
        <f t="shared" si="5"/>
        <v>0</v>
      </c>
      <c r="AQ32" s="24">
        <f t="shared" si="5"/>
        <v>0</v>
      </c>
      <c r="AR32" s="24">
        <f t="shared" si="5"/>
        <v>0</v>
      </c>
      <c r="AS32" s="24">
        <f t="shared" si="5"/>
        <v>0</v>
      </c>
      <c r="AT32" s="24">
        <f t="shared" si="5"/>
        <v>0</v>
      </c>
      <c r="AU32" s="24">
        <f t="shared" si="5"/>
        <v>0</v>
      </c>
      <c r="AV32" s="24">
        <f t="shared" si="5"/>
        <v>0</v>
      </c>
      <c r="AW32" s="24">
        <f t="shared" si="5"/>
        <v>0</v>
      </c>
      <c r="AX32" s="24">
        <f t="shared" si="5"/>
        <v>0</v>
      </c>
      <c r="AY32" s="24">
        <f t="shared" si="5"/>
        <v>0</v>
      </c>
      <c r="AZ32" s="24">
        <f t="shared" si="5"/>
        <v>0</v>
      </c>
      <c r="BA32" s="24">
        <f t="shared" si="5"/>
        <v>0</v>
      </c>
      <c r="BB32" s="24">
        <f t="shared" si="5"/>
        <v>0</v>
      </c>
      <c r="BC32" s="24">
        <f t="shared" si="5"/>
        <v>0</v>
      </c>
      <c r="BD32" s="24">
        <f t="shared" si="5"/>
        <v>0</v>
      </c>
      <c r="BE32" s="24">
        <f t="shared" si="5"/>
        <v>0</v>
      </c>
      <c r="BF32" s="24">
        <f t="shared" si="5"/>
        <v>0</v>
      </c>
      <c r="BG32" s="24">
        <f t="shared" si="5"/>
        <v>0</v>
      </c>
      <c r="BH32" s="24">
        <f t="shared" si="5"/>
        <v>165</v>
      </c>
      <c r="BI32" s="24">
        <f t="shared" si="5"/>
        <v>30</v>
      </c>
      <c r="BJ32" s="24">
        <f t="shared" si="5"/>
        <v>225</v>
      </c>
      <c r="BK32" s="24">
        <f t="shared" si="5"/>
        <v>0</v>
      </c>
      <c r="BL32" s="24">
        <f t="shared" si="5"/>
        <v>0</v>
      </c>
      <c r="BM32" s="24">
        <f t="shared" si="5"/>
        <v>0</v>
      </c>
      <c r="BN32" s="24">
        <f t="shared" si="5"/>
        <v>0</v>
      </c>
      <c r="BO32" s="24">
        <f t="shared" si="5"/>
        <v>0</v>
      </c>
    </row>
    <row r="33" spans="4:67" x14ac:dyDescent="0.3">
      <c r="D33" s="59" t="s">
        <v>24</v>
      </c>
      <c r="E33" s="59"/>
      <c r="F33" s="24">
        <f t="shared" ref="F33:AK33" si="6">F9*15</f>
        <v>0</v>
      </c>
      <c r="G33" s="24">
        <f t="shared" si="6"/>
        <v>0</v>
      </c>
      <c r="H33" s="24">
        <f t="shared" si="6"/>
        <v>0</v>
      </c>
      <c r="I33" s="24">
        <f t="shared" si="6"/>
        <v>0</v>
      </c>
      <c r="J33" s="24">
        <f t="shared" si="6"/>
        <v>0</v>
      </c>
      <c r="K33" s="24">
        <f t="shared" si="6"/>
        <v>0</v>
      </c>
      <c r="L33" s="24">
        <f t="shared" si="6"/>
        <v>0</v>
      </c>
      <c r="M33" s="24">
        <f t="shared" si="6"/>
        <v>0</v>
      </c>
      <c r="N33" s="24">
        <f t="shared" si="6"/>
        <v>0</v>
      </c>
      <c r="O33" s="24">
        <f t="shared" si="6"/>
        <v>0</v>
      </c>
      <c r="P33" s="24">
        <f t="shared" si="6"/>
        <v>0</v>
      </c>
      <c r="Q33" s="24">
        <f t="shared" si="6"/>
        <v>0</v>
      </c>
      <c r="R33" s="24">
        <f t="shared" si="6"/>
        <v>0</v>
      </c>
      <c r="S33" s="24">
        <f t="shared" si="6"/>
        <v>0</v>
      </c>
      <c r="T33" s="24">
        <f t="shared" si="6"/>
        <v>0</v>
      </c>
      <c r="U33" s="24">
        <f t="shared" si="6"/>
        <v>0</v>
      </c>
      <c r="V33" s="24">
        <f t="shared" si="6"/>
        <v>0</v>
      </c>
      <c r="W33" s="24">
        <f t="shared" si="6"/>
        <v>0</v>
      </c>
      <c r="X33" s="24">
        <f t="shared" si="6"/>
        <v>225</v>
      </c>
      <c r="Y33" s="24">
        <f t="shared" si="6"/>
        <v>0</v>
      </c>
      <c r="Z33" s="24">
        <f t="shared" si="6"/>
        <v>0</v>
      </c>
      <c r="AA33" s="24">
        <f t="shared" si="6"/>
        <v>0</v>
      </c>
      <c r="AB33" s="24">
        <f t="shared" si="6"/>
        <v>0</v>
      </c>
      <c r="AC33" s="24">
        <f t="shared" si="6"/>
        <v>0</v>
      </c>
      <c r="AD33" s="24">
        <f t="shared" si="6"/>
        <v>0</v>
      </c>
      <c r="AE33" s="24">
        <f t="shared" si="6"/>
        <v>0</v>
      </c>
      <c r="AF33" s="24">
        <f t="shared" si="6"/>
        <v>0</v>
      </c>
      <c r="AG33" s="24">
        <f t="shared" si="6"/>
        <v>0</v>
      </c>
      <c r="AH33" s="24">
        <f t="shared" si="6"/>
        <v>0</v>
      </c>
      <c r="AI33" s="24">
        <f t="shared" si="6"/>
        <v>0</v>
      </c>
      <c r="AJ33" s="24">
        <f t="shared" si="6"/>
        <v>0</v>
      </c>
      <c r="AK33" s="24">
        <f t="shared" si="6"/>
        <v>0</v>
      </c>
      <c r="AL33" s="24">
        <f t="shared" ref="AL33:BO33" si="7">AL9*15</f>
        <v>0</v>
      </c>
      <c r="AM33" s="24">
        <f t="shared" si="7"/>
        <v>0</v>
      </c>
      <c r="AN33" s="24">
        <f t="shared" si="7"/>
        <v>0</v>
      </c>
      <c r="AO33" s="24">
        <f t="shared" si="7"/>
        <v>0</v>
      </c>
      <c r="AP33" s="24">
        <f t="shared" si="7"/>
        <v>0</v>
      </c>
      <c r="AQ33" s="24">
        <f t="shared" si="7"/>
        <v>0</v>
      </c>
      <c r="AR33" s="24">
        <f t="shared" si="7"/>
        <v>0</v>
      </c>
      <c r="AS33" s="24">
        <f t="shared" si="7"/>
        <v>0</v>
      </c>
      <c r="AT33" s="24">
        <f t="shared" si="7"/>
        <v>0</v>
      </c>
      <c r="AU33" s="24">
        <f t="shared" si="7"/>
        <v>0</v>
      </c>
      <c r="AV33" s="24">
        <f t="shared" si="7"/>
        <v>0</v>
      </c>
      <c r="AW33" s="24">
        <f t="shared" si="7"/>
        <v>0</v>
      </c>
      <c r="AX33" s="24">
        <f t="shared" si="7"/>
        <v>0</v>
      </c>
      <c r="AY33" s="24">
        <f t="shared" si="7"/>
        <v>0</v>
      </c>
      <c r="AZ33" s="24">
        <f t="shared" si="7"/>
        <v>0</v>
      </c>
      <c r="BA33" s="24">
        <f t="shared" si="7"/>
        <v>0</v>
      </c>
      <c r="BB33" s="24">
        <f t="shared" si="7"/>
        <v>0</v>
      </c>
      <c r="BC33" s="24">
        <f t="shared" si="7"/>
        <v>0</v>
      </c>
      <c r="BD33" s="24">
        <f t="shared" si="7"/>
        <v>0</v>
      </c>
      <c r="BE33" s="24">
        <f t="shared" si="7"/>
        <v>0</v>
      </c>
      <c r="BF33" s="24">
        <f t="shared" si="7"/>
        <v>0</v>
      </c>
      <c r="BG33" s="24">
        <f t="shared" si="7"/>
        <v>0</v>
      </c>
      <c r="BH33" s="24">
        <f t="shared" si="7"/>
        <v>0</v>
      </c>
      <c r="BI33" s="24">
        <f t="shared" si="7"/>
        <v>0</v>
      </c>
      <c r="BJ33" s="24">
        <f t="shared" si="7"/>
        <v>0</v>
      </c>
      <c r="BK33" s="24">
        <f t="shared" si="7"/>
        <v>0</v>
      </c>
      <c r="BL33" s="24">
        <f t="shared" si="7"/>
        <v>0</v>
      </c>
      <c r="BM33" s="24">
        <f t="shared" si="7"/>
        <v>0</v>
      </c>
      <c r="BN33" s="24">
        <f t="shared" si="7"/>
        <v>0</v>
      </c>
      <c r="BO33" s="24">
        <f t="shared" si="7"/>
        <v>0</v>
      </c>
    </row>
    <row r="34" spans="4:67" x14ac:dyDescent="0.3">
      <c r="D34" t="s">
        <v>29</v>
      </c>
      <c r="E34" s="25"/>
      <c r="F34" s="24">
        <f t="shared" ref="F34:AK34" si="8">F10*15</f>
        <v>0</v>
      </c>
      <c r="G34" s="24">
        <f t="shared" si="8"/>
        <v>0</v>
      </c>
      <c r="H34" s="24">
        <f t="shared" si="8"/>
        <v>0</v>
      </c>
      <c r="I34" s="24">
        <f t="shared" si="8"/>
        <v>0</v>
      </c>
      <c r="J34" s="24">
        <f t="shared" si="8"/>
        <v>0</v>
      </c>
      <c r="K34" s="24">
        <f t="shared" si="8"/>
        <v>0</v>
      </c>
      <c r="L34" s="24">
        <f t="shared" si="8"/>
        <v>0</v>
      </c>
      <c r="M34" s="24">
        <f t="shared" si="8"/>
        <v>0</v>
      </c>
      <c r="N34" s="24">
        <f t="shared" si="8"/>
        <v>0</v>
      </c>
      <c r="O34" s="24">
        <f t="shared" si="8"/>
        <v>0</v>
      </c>
      <c r="P34" s="24">
        <f t="shared" si="8"/>
        <v>0</v>
      </c>
      <c r="Q34" s="24">
        <f t="shared" si="8"/>
        <v>0</v>
      </c>
      <c r="R34" s="24">
        <f t="shared" si="8"/>
        <v>0</v>
      </c>
      <c r="S34" s="24">
        <f t="shared" si="8"/>
        <v>0</v>
      </c>
      <c r="T34" s="24">
        <f t="shared" si="8"/>
        <v>0</v>
      </c>
      <c r="U34" s="24">
        <f t="shared" si="8"/>
        <v>0</v>
      </c>
      <c r="V34" s="24">
        <f t="shared" si="8"/>
        <v>0</v>
      </c>
      <c r="W34" s="24">
        <f t="shared" si="8"/>
        <v>0</v>
      </c>
      <c r="X34" s="24">
        <f t="shared" si="8"/>
        <v>210</v>
      </c>
      <c r="Y34" s="24">
        <f t="shared" si="8"/>
        <v>0</v>
      </c>
      <c r="Z34" s="24">
        <f t="shared" si="8"/>
        <v>0</v>
      </c>
      <c r="AA34" s="24">
        <f t="shared" si="8"/>
        <v>0</v>
      </c>
      <c r="AB34" s="24">
        <f t="shared" si="8"/>
        <v>0</v>
      </c>
      <c r="AC34" s="24">
        <f t="shared" si="8"/>
        <v>0</v>
      </c>
      <c r="AD34" s="24">
        <f t="shared" si="8"/>
        <v>0</v>
      </c>
      <c r="AE34" s="24">
        <f t="shared" si="8"/>
        <v>0</v>
      </c>
      <c r="AF34" s="24">
        <f t="shared" si="8"/>
        <v>0</v>
      </c>
      <c r="AG34" s="24">
        <f t="shared" si="8"/>
        <v>0</v>
      </c>
      <c r="AH34" s="24">
        <f t="shared" si="8"/>
        <v>0</v>
      </c>
      <c r="AI34" s="24">
        <f t="shared" si="8"/>
        <v>0</v>
      </c>
      <c r="AJ34" s="24">
        <f t="shared" si="8"/>
        <v>0</v>
      </c>
      <c r="AK34" s="24">
        <f t="shared" si="8"/>
        <v>0</v>
      </c>
      <c r="AL34" s="24">
        <f t="shared" ref="AL34:BO34" si="9">AL10*15</f>
        <v>0</v>
      </c>
      <c r="AM34" s="24">
        <f t="shared" si="9"/>
        <v>0</v>
      </c>
      <c r="AN34" s="24">
        <f t="shared" si="9"/>
        <v>0</v>
      </c>
      <c r="AO34" s="24">
        <f t="shared" si="9"/>
        <v>0</v>
      </c>
      <c r="AP34" s="24">
        <f t="shared" si="9"/>
        <v>0</v>
      </c>
      <c r="AQ34" s="24">
        <f t="shared" si="9"/>
        <v>0</v>
      </c>
      <c r="AR34" s="24">
        <f t="shared" si="9"/>
        <v>0</v>
      </c>
      <c r="AS34" s="24">
        <f t="shared" si="9"/>
        <v>0</v>
      </c>
      <c r="AT34" s="24">
        <f t="shared" si="9"/>
        <v>0</v>
      </c>
      <c r="AU34" s="24">
        <f t="shared" si="9"/>
        <v>0</v>
      </c>
      <c r="AV34" s="24">
        <f t="shared" si="9"/>
        <v>0</v>
      </c>
      <c r="AW34" s="24">
        <f t="shared" si="9"/>
        <v>0</v>
      </c>
      <c r="AX34" s="24">
        <f t="shared" si="9"/>
        <v>0</v>
      </c>
      <c r="AY34" s="24">
        <f t="shared" si="9"/>
        <v>0</v>
      </c>
      <c r="AZ34" s="24">
        <f t="shared" si="9"/>
        <v>0</v>
      </c>
      <c r="BA34" s="24">
        <f t="shared" si="9"/>
        <v>0</v>
      </c>
      <c r="BB34" s="24">
        <f t="shared" si="9"/>
        <v>0</v>
      </c>
      <c r="BC34" s="24">
        <f t="shared" si="9"/>
        <v>0</v>
      </c>
      <c r="BD34" s="24">
        <f t="shared" si="9"/>
        <v>0</v>
      </c>
      <c r="BE34" s="24">
        <f t="shared" si="9"/>
        <v>0</v>
      </c>
      <c r="BF34" s="24">
        <f t="shared" si="9"/>
        <v>0</v>
      </c>
      <c r="BG34" s="24">
        <f t="shared" si="9"/>
        <v>0</v>
      </c>
      <c r="BH34" s="24">
        <f t="shared" si="9"/>
        <v>0</v>
      </c>
      <c r="BI34" s="24">
        <f t="shared" si="9"/>
        <v>0</v>
      </c>
      <c r="BJ34" s="24">
        <f t="shared" si="9"/>
        <v>0</v>
      </c>
      <c r="BK34" s="24">
        <f t="shared" si="9"/>
        <v>0</v>
      </c>
      <c r="BL34" s="24">
        <f t="shared" si="9"/>
        <v>0</v>
      </c>
      <c r="BM34" s="24">
        <f t="shared" si="9"/>
        <v>0</v>
      </c>
      <c r="BN34" s="24">
        <f t="shared" si="9"/>
        <v>0</v>
      </c>
      <c r="BO34" s="24">
        <f t="shared" si="9"/>
        <v>0</v>
      </c>
    </row>
    <row r="35" spans="4:67" x14ac:dyDescent="0.3">
      <c r="D35" t="s">
        <v>32</v>
      </c>
      <c r="E35" s="25"/>
      <c r="F35" s="24">
        <f t="shared" ref="F35:AK35" si="10">F11*15</f>
        <v>0</v>
      </c>
      <c r="G35" s="24">
        <f t="shared" si="10"/>
        <v>0</v>
      </c>
      <c r="H35" s="24">
        <f t="shared" si="10"/>
        <v>0</v>
      </c>
      <c r="I35" s="24">
        <f t="shared" si="10"/>
        <v>0</v>
      </c>
      <c r="J35" s="24">
        <f t="shared" si="10"/>
        <v>0</v>
      </c>
      <c r="K35" s="24">
        <f t="shared" si="10"/>
        <v>0</v>
      </c>
      <c r="L35" s="24">
        <f t="shared" si="10"/>
        <v>0</v>
      </c>
      <c r="M35" s="24">
        <f t="shared" si="10"/>
        <v>0</v>
      </c>
      <c r="N35" s="24">
        <f t="shared" si="10"/>
        <v>0</v>
      </c>
      <c r="O35" s="24">
        <f t="shared" si="10"/>
        <v>0</v>
      </c>
      <c r="P35" s="24">
        <f t="shared" si="10"/>
        <v>0</v>
      </c>
      <c r="Q35" s="24">
        <f t="shared" si="10"/>
        <v>0</v>
      </c>
      <c r="R35" s="24">
        <f t="shared" si="10"/>
        <v>0</v>
      </c>
      <c r="S35" s="24">
        <f t="shared" si="10"/>
        <v>0</v>
      </c>
      <c r="T35" s="24">
        <f t="shared" si="10"/>
        <v>0</v>
      </c>
      <c r="U35" s="24">
        <f t="shared" si="10"/>
        <v>0</v>
      </c>
      <c r="V35" s="24">
        <f t="shared" si="10"/>
        <v>0</v>
      </c>
      <c r="W35" s="24">
        <f t="shared" si="10"/>
        <v>0</v>
      </c>
      <c r="X35" s="24">
        <f t="shared" si="10"/>
        <v>225</v>
      </c>
      <c r="Y35" s="24">
        <f t="shared" si="10"/>
        <v>0</v>
      </c>
      <c r="Z35" s="24">
        <f t="shared" si="10"/>
        <v>0</v>
      </c>
      <c r="AA35" s="24">
        <f t="shared" si="10"/>
        <v>0</v>
      </c>
      <c r="AB35" s="24">
        <f t="shared" si="10"/>
        <v>0</v>
      </c>
      <c r="AC35" s="24">
        <f t="shared" si="10"/>
        <v>0</v>
      </c>
      <c r="AD35" s="24">
        <f t="shared" si="10"/>
        <v>105</v>
      </c>
      <c r="AE35" s="24">
        <f t="shared" si="10"/>
        <v>0</v>
      </c>
      <c r="AF35" s="24">
        <f t="shared" si="10"/>
        <v>0</v>
      </c>
      <c r="AG35" s="24">
        <f t="shared" si="10"/>
        <v>0</v>
      </c>
      <c r="AH35" s="24">
        <f t="shared" si="10"/>
        <v>0</v>
      </c>
      <c r="AI35" s="24">
        <f t="shared" si="10"/>
        <v>0</v>
      </c>
      <c r="AJ35" s="24">
        <f t="shared" si="10"/>
        <v>0</v>
      </c>
      <c r="AK35" s="24">
        <f t="shared" si="10"/>
        <v>0</v>
      </c>
      <c r="AL35" s="24">
        <f t="shared" ref="AL35:BO35" si="11">AL11*15</f>
        <v>0</v>
      </c>
      <c r="AM35" s="24">
        <f t="shared" si="11"/>
        <v>0</v>
      </c>
      <c r="AN35" s="24">
        <f t="shared" si="11"/>
        <v>0</v>
      </c>
      <c r="AO35" s="24">
        <f t="shared" si="11"/>
        <v>0</v>
      </c>
      <c r="AP35" s="24">
        <f t="shared" si="11"/>
        <v>0</v>
      </c>
      <c r="AQ35" s="24">
        <f t="shared" si="11"/>
        <v>0</v>
      </c>
      <c r="AR35" s="24">
        <f t="shared" si="11"/>
        <v>0</v>
      </c>
      <c r="AS35" s="24">
        <f t="shared" si="11"/>
        <v>0</v>
      </c>
      <c r="AT35" s="24">
        <f t="shared" si="11"/>
        <v>0</v>
      </c>
      <c r="AU35" s="24">
        <f t="shared" si="11"/>
        <v>0</v>
      </c>
      <c r="AV35" s="24">
        <f t="shared" si="11"/>
        <v>0</v>
      </c>
      <c r="AW35" s="24">
        <f t="shared" si="11"/>
        <v>0</v>
      </c>
      <c r="AX35" s="24">
        <f t="shared" si="11"/>
        <v>0</v>
      </c>
      <c r="AY35" s="24">
        <f t="shared" si="11"/>
        <v>0</v>
      </c>
      <c r="AZ35" s="24">
        <f t="shared" si="11"/>
        <v>0</v>
      </c>
      <c r="BA35" s="24">
        <f t="shared" si="11"/>
        <v>0</v>
      </c>
      <c r="BB35" s="24">
        <f t="shared" si="11"/>
        <v>0</v>
      </c>
      <c r="BC35" s="24">
        <f t="shared" si="11"/>
        <v>0</v>
      </c>
      <c r="BD35" s="24">
        <f t="shared" si="11"/>
        <v>0</v>
      </c>
      <c r="BE35" s="24">
        <f t="shared" si="11"/>
        <v>0</v>
      </c>
      <c r="BF35" s="24">
        <f t="shared" si="11"/>
        <v>0</v>
      </c>
      <c r="BG35" s="24">
        <f t="shared" si="11"/>
        <v>0</v>
      </c>
      <c r="BH35" s="24">
        <f t="shared" si="11"/>
        <v>0</v>
      </c>
      <c r="BI35" s="24">
        <f t="shared" si="11"/>
        <v>0</v>
      </c>
      <c r="BJ35" s="24">
        <f t="shared" si="11"/>
        <v>0</v>
      </c>
      <c r="BK35" s="24">
        <f t="shared" si="11"/>
        <v>0</v>
      </c>
      <c r="BL35" s="24">
        <f t="shared" si="11"/>
        <v>0</v>
      </c>
      <c r="BM35" s="24">
        <f t="shared" si="11"/>
        <v>0</v>
      </c>
      <c r="BN35" s="24">
        <f t="shared" si="11"/>
        <v>0</v>
      </c>
      <c r="BO35" s="24">
        <f t="shared" si="11"/>
        <v>0</v>
      </c>
    </row>
    <row r="36" spans="4:67" x14ac:dyDescent="0.3">
      <c r="D36" s="23" t="s">
        <v>35</v>
      </c>
      <c r="E36" s="25"/>
      <c r="F36" s="24">
        <f t="shared" ref="F36:AK36" si="12">F13*40</f>
        <v>0</v>
      </c>
      <c r="G36" s="24">
        <f t="shared" si="12"/>
        <v>0</v>
      </c>
      <c r="H36" s="24">
        <f t="shared" si="12"/>
        <v>0</v>
      </c>
      <c r="I36" s="24">
        <f t="shared" si="12"/>
        <v>0</v>
      </c>
      <c r="J36" s="24">
        <f t="shared" si="12"/>
        <v>0</v>
      </c>
      <c r="K36" s="24">
        <f t="shared" si="12"/>
        <v>0</v>
      </c>
      <c r="L36" s="24">
        <f t="shared" si="12"/>
        <v>0</v>
      </c>
      <c r="M36" s="24">
        <f t="shared" si="12"/>
        <v>0</v>
      </c>
      <c r="N36" s="24">
        <f t="shared" si="12"/>
        <v>0</v>
      </c>
      <c r="O36" s="24">
        <f t="shared" si="12"/>
        <v>0</v>
      </c>
      <c r="P36" s="24">
        <f t="shared" si="12"/>
        <v>0</v>
      </c>
      <c r="Q36" s="24">
        <f t="shared" si="12"/>
        <v>0</v>
      </c>
      <c r="R36" s="24">
        <f t="shared" si="12"/>
        <v>0</v>
      </c>
      <c r="S36" s="24">
        <f t="shared" si="12"/>
        <v>0</v>
      </c>
      <c r="T36" s="24">
        <f t="shared" si="12"/>
        <v>0</v>
      </c>
      <c r="U36" s="24">
        <f t="shared" si="12"/>
        <v>0</v>
      </c>
      <c r="V36" s="24">
        <f t="shared" si="12"/>
        <v>0</v>
      </c>
      <c r="W36" s="24">
        <f t="shared" si="12"/>
        <v>0</v>
      </c>
      <c r="X36" s="24">
        <f t="shared" si="12"/>
        <v>0</v>
      </c>
      <c r="Y36" s="24">
        <f t="shared" si="12"/>
        <v>0</v>
      </c>
      <c r="Z36" s="24">
        <f t="shared" si="12"/>
        <v>0</v>
      </c>
      <c r="AA36" s="24">
        <f t="shared" si="12"/>
        <v>0</v>
      </c>
      <c r="AB36" s="24">
        <f t="shared" si="12"/>
        <v>0</v>
      </c>
      <c r="AC36" s="24">
        <f t="shared" si="12"/>
        <v>0</v>
      </c>
      <c r="AD36" s="24">
        <f t="shared" si="12"/>
        <v>0</v>
      </c>
      <c r="AE36" s="24">
        <f t="shared" si="12"/>
        <v>0</v>
      </c>
      <c r="AF36" s="24">
        <f t="shared" si="12"/>
        <v>0</v>
      </c>
      <c r="AG36" s="24">
        <f t="shared" si="12"/>
        <v>0</v>
      </c>
      <c r="AH36" s="24">
        <f t="shared" si="12"/>
        <v>0</v>
      </c>
      <c r="AI36" s="24">
        <f t="shared" si="12"/>
        <v>0</v>
      </c>
      <c r="AJ36" s="24">
        <f t="shared" si="12"/>
        <v>0</v>
      </c>
      <c r="AK36" s="24">
        <f t="shared" si="12"/>
        <v>0</v>
      </c>
      <c r="AL36" s="24">
        <f t="shared" ref="AL36:BO36" si="13">AL13*40</f>
        <v>0</v>
      </c>
      <c r="AM36" s="24">
        <f t="shared" si="13"/>
        <v>0</v>
      </c>
      <c r="AN36" s="24">
        <f t="shared" si="13"/>
        <v>0</v>
      </c>
      <c r="AO36" s="24">
        <f t="shared" si="13"/>
        <v>0</v>
      </c>
      <c r="AP36" s="24">
        <f t="shared" si="13"/>
        <v>0</v>
      </c>
      <c r="AQ36" s="24">
        <f t="shared" si="13"/>
        <v>0</v>
      </c>
      <c r="AR36" s="24">
        <f t="shared" si="13"/>
        <v>0</v>
      </c>
      <c r="AS36" s="24">
        <f t="shared" si="13"/>
        <v>0</v>
      </c>
      <c r="AT36" s="24">
        <f t="shared" si="13"/>
        <v>0</v>
      </c>
      <c r="AU36" s="24">
        <f t="shared" si="13"/>
        <v>0</v>
      </c>
      <c r="AV36" s="24">
        <f t="shared" si="13"/>
        <v>0</v>
      </c>
      <c r="AW36" s="24">
        <f t="shared" si="13"/>
        <v>0</v>
      </c>
      <c r="AX36" s="24">
        <f t="shared" si="13"/>
        <v>0</v>
      </c>
      <c r="AY36" s="24">
        <f t="shared" si="13"/>
        <v>0</v>
      </c>
      <c r="AZ36" s="24">
        <f t="shared" si="13"/>
        <v>0</v>
      </c>
      <c r="BA36" s="24">
        <f t="shared" si="13"/>
        <v>0</v>
      </c>
      <c r="BB36" s="24">
        <f t="shared" si="13"/>
        <v>0</v>
      </c>
      <c r="BC36" s="24">
        <f t="shared" si="13"/>
        <v>0</v>
      </c>
      <c r="BD36" s="24">
        <f t="shared" si="13"/>
        <v>0</v>
      </c>
      <c r="BE36" s="24">
        <f t="shared" si="13"/>
        <v>0</v>
      </c>
      <c r="BF36" s="24">
        <f t="shared" si="13"/>
        <v>0</v>
      </c>
      <c r="BG36" s="24">
        <f t="shared" si="13"/>
        <v>0</v>
      </c>
      <c r="BH36" s="24">
        <f t="shared" si="13"/>
        <v>0</v>
      </c>
      <c r="BI36" s="24">
        <f t="shared" si="13"/>
        <v>0</v>
      </c>
      <c r="BJ36" s="24">
        <f t="shared" si="13"/>
        <v>0</v>
      </c>
      <c r="BK36" s="24">
        <f t="shared" si="13"/>
        <v>0</v>
      </c>
      <c r="BL36" s="24">
        <f t="shared" si="13"/>
        <v>0</v>
      </c>
      <c r="BM36" s="24">
        <f t="shared" si="13"/>
        <v>0</v>
      </c>
      <c r="BN36" s="24">
        <f t="shared" si="13"/>
        <v>0</v>
      </c>
      <c r="BO36" s="24">
        <f t="shared" si="13"/>
        <v>0</v>
      </c>
    </row>
    <row r="37" spans="4:67" x14ac:dyDescent="0.3">
      <c r="D37" s="23" t="s">
        <v>35</v>
      </c>
      <c r="E37" s="25"/>
      <c r="F37" s="24">
        <f t="shared" ref="F37:AK37" si="14">F12*40</f>
        <v>0</v>
      </c>
      <c r="G37" s="24">
        <f t="shared" si="14"/>
        <v>0</v>
      </c>
      <c r="H37" s="24">
        <f t="shared" si="14"/>
        <v>0</v>
      </c>
      <c r="I37" s="24">
        <f t="shared" si="14"/>
        <v>0</v>
      </c>
      <c r="J37" s="24">
        <f t="shared" si="14"/>
        <v>0</v>
      </c>
      <c r="K37" s="24">
        <f t="shared" si="14"/>
        <v>0</v>
      </c>
      <c r="L37" s="24">
        <f t="shared" si="14"/>
        <v>0</v>
      </c>
      <c r="M37" s="24">
        <f t="shared" si="14"/>
        <v>0</v>
      </c>
      <c r="N37" s="24">
        <f t="shared" si="14"/>
        <v>0</v>
      </c>
      <c r="O37" s="24">
        <f t="shared" si="14"/>
        <v>0</v>
      </c>
      <c r="P37" s="24">
        <f t="shared" si="14"/>
        <v>0</v>
      </c>
      <c r="Q37" s="24">
        <f t="shared" si="14"/>
        <v>0</v>
      </c>
      <c r="R37" s="24">
        <f t="shared" si="14"/>
        <v>0</v>
      </c>
      <c r="S37" s="24">
        <f t="shared" si="14"/>
        <v>0</v>
      </c>
      <c r="T37" s="24">
        <f t="shared" si="14"/>
        <v>0</v>
      </c>
      <c r="U37" s="24">
        <f t="shared" si="14"/>
        <v>0</v>
      </c>
      <c r="V37" s="24">
        <f t="shared" si="14"/>
        <v>0</v>
      </c>
      <c r="W37" s="24">
        <f t="shared" si="14"/>
        <v>0</v>
      </c>
      <c r="X37" s="24">
        <f t="shared" si="14"/>
        <v>0</v>
      </c>
      <c r="Y37" s="24">
        <f t="shared" si="14"/>
        <v>0</v>
      </c>
      <c r="Z37" s="24">
        <f t="shared" si="14"/>
        <v>0</v>
      </c>
      <c r="AA37" s="24">
        <f t="shared" si="14"/>
        <v>0</v>
      </c>
      <c r="AB37" s="24">
        <f t="shared" si="14"/>
        <v>0</v>
      </c>
      <c r="AC37" s="24">
        <f t="shared" si="14"/>
        <v>0</v>
      </c>
      <c r="AD37" s="24">
        <f t="shared" si="14"/>
        <v>0</v>
      </c>
      <c r="AE37" s="24">
        <f t="shared" si="14"/>
        <v>0</v>
      </c>
      <c r="AF37" s="24">
        <f t="shared" si="14"/>
        <v>0</v>
      </c>
      <c r="AG37" s="24">
        <f t="shared" si="14"/>
        <v>0</v>
      </c>
      <c r="AH37" s="24">
        <f t="shared" si="14"/>
        <v>0</v>
      </c>
      <c r="AI37" s="24">
        <f t="shared" si="14"/>
        <v>0</v>
      </c>
      <c r="AJ37" s="24">
        <f t="shared" si="14"/>
        <v>0</v>
      </c>
      <c r="AK37" s="24">
        <f t="shared" si="14"/>
        <v>0</v>
      </c>
      <c r="AL37" s="24">
        <f t="shared" ref="AL37:BO37" si="15">AL12*40</f>
        <v>0</v>
      </c>
      <c r="AM37" s="24">
        <f t="shared" si="15"/>
        <v>0</v>
      </c>
      <c r="AN37" s="24">
        <f t="shared" si="15"/>
        <v>0</v>
      </c>
      <c r="AO37" s="24">
        <f t="shared" si="15"/>
        <v>0</v>
      </c>
      <c r="AP37" s="24">
        <f t="shared" si="15"/>
        <v>0</v>
      </c>
      <c r="AQ37" s="24">
        <f t="shared" si="15"/>
        <v>0</v>
      </c>
      <c r="AR37" s="24">
        <f t="shared" si="15"/>
        <v>0</v>
      </c>
      <c r="AS37" s="24">
        <f t="shared" si="15"/>
        <v>0</v>
      </c>
      <c r="AT37" s="24">
        <f t="shared" si="15"/>
        <v>0</v>
      </c>
      <c r="AU37" s="24">
        <f t="shared" si="15"/>
        <v>0</v>
      </c>
      <c r="AV37" s="24">
        <f t="shared" si="15"/>
        <v>0</v>
      </c>
      <c r="AW37" s="24">
        <f t="shared" si="15"/>
        <v>0</v>
      </c>
      <c r="AX37" s="24">
        <f t="shared" si="15"/>
        <v>0</v>
      </c>
      <c r="AY37" s="24">
        <f t="shared" si="15"/>
        <v>0</v>
      </c>
      <c r="AZ37" s="24">
        <f t="shared" si="15"/>
        <v>0</v>
      </c>
      <c r="BA37" s="24">
        <f t="shared" si="15"/>
        <v>0</v>
      </c>
      <c r="BB37" s="24">
        <f t="shared" si="15"/>
        <v>0</v>
      </c>
      <c r="BC37" s="24">
        <f t="shared" si="15"/>
        <v>0</v>
      </c>
      <c r="BD37" s="24">
        <f t="shared" si="15"/>
        <v>0</v>
      </c>
      <c r="BE37" s="24">
        <f t="shared" si="15"/>
        <v>0</v>
      </c>
      <c r="BF37" s="24">
        <f t="shared" si="15"/>
        <v>0</v>
      </c>
      <c r="BG37" s="24">
        <f t="shared" si="15"/>
        <v>0</v>
      </c>
      <c r="BH37" s="24">
        <f t="shared" si="15"/>
        <v>0</v>
      </c>
      <c r="BI37" s="24">
        <f t="shared" si="15"/>
        <v>0</v>
      </c>
      <c r="BJ37" s="24">
        <f t="shared" si="15"/>
        <v>0</v>
      </c>
      <c r="BK37" s="24">
        <f t="shared" si="15"/>
        <v>0</v>
      </c>
      <c r="BL37" s="24">
        <f t="shared" si="15"/>
        <v>0</v>
      </c>
      <c r="BM37" s="24">
        <f t="shared" si="15"/>
        <v>0</v>
      </c>
      <c r="BN37" s="24">
        <f t="shared" si="15"/>
        <v>0</v>
      </c>
      <c r="BO37" s="24">
        <f t="shared" si="15"/>
        <v>0</v>
      </c>
    </row>
    <row r="38" spans="4:67" x14ac:dyDescent="0.3">
      <c r="D38" s="23" t="s">
        <v>42</v>
      </c>
      <c r="E38" s="25"/>
      <c r="F38" s="24">
        <f t="shared" ref="F38:AK38" si="16">F14*30</f>
        <v>0</v>
      </c>
      <c r="G38" s="24">
        <f t="shared" si="16"/>
        <v>0</v>
      </c>
      <c r="H38" s="24">
        <f t="shared" si="16"/>
        <v>0</v>
      </c>
      <c r="I38" s="24">
        <f t="shared" si="16"/>
        <v>0</v>
      </c>
      <c r="J38" s="24">
        <f t="shared" si="16"/>
        <v>0</v>
      </c>
      <c r="K38" s="24">
        <f t="shared" si="16"/>
        <v>0</v>
      </c>
      <c r="L38" s="24">
        <f t="shared" si="16"/>
        <v>0</v>
      </c>
      <c r="M38" s="24">
        <f t="shared" si="16"/>
        <v>0</v>
      </c>
      <c r="N38" s="24">
        <f t="shared" si="16"/>
        <v>0</v>
      </c>
      <c r="O38" s="24">
        <f t="shared" si="16"/>
        <v>0</v>
      </c>
      <c r="P38" s="24">
        <f t="shared" si="16"/>
        <v>0</v>
      </c>
      <c r="Q38" s="24">
        <f t="shared" si="16"/>
        <v>0</v>
      </c>
      <c r="R38" s="24">
        <f t="shared" si="16"/>
        <v>0</v>
      </c>
      <c r="S38" s="24">
        <f t="shared" si="16"/>
        <v>0</v>
      </c>
      <c r="T38" s="24">
        <f t="shared" si="16"/>
        <v>0</v>
      </c>
      <c r="U38" s="24">
        <f t="shared" si="16"/>
        <v>0</v>
      </c>
      <c r="V38" s="24">
        <f t="shared" si="16"/>
        <v>0</v>
      </c>
      <c r="W38" s="24">
        <f t="shared" si="16"/>
        <v>0</v>
      </c>
      <c r="X38" s="24">
        <f t="shared" si="16"/>
        <v>0</v>
      </c>
      <c r="Y38" s="24">
        <f t="shared" si="16"/>
        <v>0</v>
      </c>
      <c r="Z38" s="24">
        <f t="shared" si="16"/>
        <v>0</v>
      </c>
      <c r="AA38" s="24">
        <f t="shared" si="16"/>
        <v>0</v>
      </c>
      <c r="AB38" s="24">
        <f t="shared" si="16"/>
        <v>0</v>
      </c>
      <c r="AC38" s="24">
        <f t="shared" si="16"/>
        <v>0</v>
      </c>
      <c r="AD38" s="24">
        <f t="shared" si="16"/>
        <v>510</v>
      </c>
      <c r="AE38" s="24">
        <f t="shared" si="16"/>
        <v>0</v>
      </c>
      <c r="AF38" s="24">
        <f t="shared" si="16"/>
        <v>0</v>
      </c>
      <c r="AG38" s="24">
        <f t="shared" si="16"/>
        <v>0</v>
      </c>
      <c r="AH38" s="24">
        <f t="shared" si="16"/>
        <v>0</v>
      </c>
      <c r="AI38" s="24">
        <f t="shared" si="16"/>
        <v>0</v>
      </c>
      <c r="AJ38" s="24">
        <f t="shared" si="16"/>
        <v>0</v>
      </c>
      <c r="AK38" s="24">
        <f t="shared" si="16"/>
        <v>0</v>
      </c>
      <c r="AL38" s="24">
        <f t="shared" ref="AL38:BO38" si="17">AL14*30</f>
        <v>0</v>
      </c>
      <c r="AM38" s="24">
        <f t="shared" si="17"/>
        <v>0</v>
      </c>
      <c r="AN38" s="24">
        <f t="shared" si="17"/>
        <v>0</v>
      </c>
      <c r="AO38" s="24">
        <f t="shared" si="17"/>
        <v>0</v>
      </c>
      <c r="AP38" s="24">
        <f t="shared" si="17"/>
        <v>0</v>
      </c>
      <c r="AQ38" s="24">
        <f t="shared" si="17"/>
        <v>0</v>
      </c>
      <c r="AR38" s="24">
        <f t="shared" si="17"/>
        <v>0</v>
      </c>
      <c r="AS38" s="24">
        <f t="shared" si="17"/>
        <v>0</v>
      </c>
      <c r="AT38" s="24">
        <f t="shared" si="17"/>
        <v>0</v>
      </c>
      <c r="AU38" s="24">
        <f t="shared" si="17"/>
        <v>0</v>
      </c>
      <c r="AV38" s="24">
        <f t="shared" si="17"/>
        <v>0</v>
      </c>
      <c r="AW38" s="24">
        <f t="shared" si="17"/>
        <v>0</v>
      </c>
      <c r="AX38" s="24">
        <f t="shared" si="17"/>
        <v>0</v>
      </c>
      <c r="AY38" s="24">
        <f t="shared" si="17"/>
        <v>0</v>
      </c>
      <c r="AZ38" s="24">
        <f t="shared" si="17"/>
        <v>0</v>
      </c>
      <c r="BA38" s="24">
        <f t="shared" si="17"/>
        <v>0</v>
      </c>
      <c r="BB38" s="24">
        <f t="shared" si="17"/>
        <v>0</v>
      </c>
      <c r="BC38" s="24">
        <f t="shared" si="17"/>
        <v>0</v>
      </c>
      <c r="BD38" s="24">
        <f t="shared" si="17"/>
        <v>0</v>
      </c>
      <c r="BE38" s="24">
        <f t="shared" si="17"/>
        <v>0</v>
      </c>
      <c r="BF38" s="24">
        <f t="shared" si="17"/>
        <v>0</v>
      </c>
      <c r="BG38" s="24">
        <f t="shared" si="17"/>
        <v>0</v>
      </c>
      <c r="BH38" s="24">
        <f t="shared" si="17"/>
        <v>0</v>
      </c>
      <c r="BI38" s="24">
        <f t="shared" si="17"/>
        <v>0</v>
      </c>
      <c r="BJ38" s="24">
        <f t="shared" si="17"/>
        <v>0</v>
      </c>
      <c r="BK38" s="24">
        <f t="shared" si="17"/>
        <v>0</v>
      </c>
      <c r="BL38" s="24">
        <f t="shared" si="17"/>
        <v>0</v>
      </c>
      <c r="BM38" s="24">
        <f t="shared" si="17"/>
        <v>0</v>
      </c>
      <c r="BN38" s="24">
        <f t="shared" si="17"/>
        <v>0</v>
      </c>
      <c r="BO38" s="24">
        <f t="shared" si="17"/>
        <v>0</v>
      </c>
    </row>
    <row r="39" spans="4:67" x14ac:dyDescent="0.3">
      <c r="D39" s="23" t="s">
        <v>45</v>
      </c>
      <c r="E39" s="25"/>
      <c r="F39" s="24">
        <f t="shared" ref="F39:AK39" si="18">F15*30</f>
        <v>0</v>
      </c>
      <c r="G39" s="24">
        <f t="shared" si="18"/>
        <v>0</v>
      </c>
      <c r="H39" s="24">
        <f t="shared" si="18"/>
        <v>0</v>
      </c>
      <c r="I39" s="24">
        <f t="shared" si="18"/>
        <v>0</v>
      </c>
      <c r="J39" s="24">
        <f t="shared" si="18"/>
        <v>0</v>
      </c>
      <c r="K39" s="24">
        <f t="shared" si="18"/>
        <v>0</v>
      </c>
      <c r="L39" s="24">
        <f t="shared" si="18"/>
        <v>0</v>
      </c>
      <c r="M39" s="24">
        <f t="shared" si="18"/>
        <v>0</v>
      </c>
      <c r="N39" s="24">
        <f t="shared" si="18"/>
        <v>0</v>
      </c>
      <c r="O39" s="24">
        <f t="shared" si="18"/>
        <v>0</v>
      </c>
      <c r="P39" s="24">
        <f t="shared" si="18"/>
        <v>0</v>
      </c>
      <c r="Q39" s="24">
        <f t="shared" si="18"/>
        <v>0</v>
      </c>
      <c r="R39" s="24">
        <f t="shared" si="18"/>
        <v>0</v>
      </c>
      <c r="S39" s="24">
        <f t="shared" si="18"/>
        <v>0</v>
      </c>
      <c r="T39" s="24">
        <f t="shared" si="18"/>
        <v>0</v>
      </c>
      <c r="U39" s="24">
        <f t="shared" si="18"/>
        <v>0</v>
      </c>
      <c r="V39" s="24">
        <f t="shared" si="18"/>
        <v>0</v>
      </c>
      <c r="W39" s="24">
        <f t="shared" si="18"/>
        <v>0</v>
      </c>
      <c r="X39" s="24">
        <f t="shared" si="18"/>
        <v>0</v>
      </c>
      <c r="Y39" s="24">
        <f t="shared" si="18"/>
        <v>0</v>
      </c>
      <c r="Z39" s="24">
        <f t="shared" si="18"/>
        <v>0</v>
      </c>
      <c r="AA39" s="24">
        <f t="shared" si="18"/>
        <v>0</v>
      </c>
      <c r="AB39" s="24">
        <f t="shared" si="18"/>
        <v>0</v>
      </c>
      <c r="AC39" s="24">
        <f t="shared" si="18"/>
        <v>0</v>
      </c>
      <c r="AD39" s="24">
        <f t="shared" si="18"/>
        <v>0</v>
      </c>
      <c r="AE39" s="24">
        <f t="shared" si="18"/>
        <v>0</v>
      </c>
      <c r="AF39" s="24">
        <f t="shared" si="18"/>
        <v>0</v>
      </c>
      <c r="AG39" s="24">
        <f t="shared" si="18"/>
        <v>0</v>
      </c>
      <c r="AH39" s="24">
        <f t="shared" si="18"/>
        <v>0</v>
      </c>
      <c r="AI39" s="24">
        <f t="shared" si="18"/>
        <v>0</v>
      </c>
      <c r="AJ39" s="24">
        <f t="shared" si="18"/>
        <v>0</v>
      </c>
      <c r="AK39" s="24">
        <f t="shared" si="18"/>
        <v>0</v>
      </c>
      <c r="AL39" s="24">
        <f t="shared" ref="AL39:BO39" si="19">AL15*30</f>
        <v>0</v>
      </c>
      <c r="AM39" s="24">
        <f t="shared" si="19"/>
        <v>0</v>
      </c>
      <c r="AN39" s="24">
        <f t="shared" si="19"/>
        <v>0</v>
      </c>
      <c r="AO39" s="24">
        <f t="shared" si="19"/>
        <v>0</v>
      </c>
      <c r="AP39" s="24">
        <f t="shared" si="19"/>
        <v>0</v>
      </c>
      <c r="AQ39" s="24">
        <f t="shared" si="19"/>
        <v>0</v>
      </c>
      <c r="AR39" s="24">
        <f t="shared" si="19"/>
        <v>0</v>
      </c>
      <c r="AS39" s="24">
        <f t="shared" si="19"/>
        <v>0</v>
      </c>
      <c r="AT39" s="24">
        <f t="shared" si="19"/>
        <v>0</v>
      </c>
      <c r="AU39" s="24">
        <f t="shared" si="19"/>
        <v>0</v>
      </c>
      <c r="AV39" s="24">
        <f t="shared" si="19"/>
        <v>0</v>
      </c>
      <c r="AW39" s="24">
        <f t="shared" si="19"/>
        <v>0</v>
      </c>
      <c r="AX39" s="24">
        <f t="shared" si="19"/>
        <v>0</v>
      </c>
      <c r="AY39" s="24">
        <f t="shared" si="19"/>
        <v>0</v>
      </c>
      <c r="AZ39" s="24">
        <f t="shared" si="19"/>
        <v>0</v>
      </c>
      <c r="BA39" s="24">
        <f t="shared" si="19"/>
        <v>0</v>
      </c>
      <c r="BB39" s="24">
        <f t="shared" si="19"/>
        <v>0</v>
      </c>
      <c r="BC39" s="24">
        <f t="shared" si="19"/>
        <v>0</v>
      </c>
      <c r="BD39" s="24">
        <f t="shared" si="19"/>
        <v>0</v>
      </c>
      <c r="BE39" s="24">
        <f t="shared" si="19"/>
        <v>0</v>
      </c>
      <c r="BF39" s="24">
        <f t="shared" si="19"/>
        <v>0</v>
      </c>
      <c r="BG39" s="24">
        <f t="shared" si="19"/>
        <v>0</v>
      </c>
      <c r="BH39" s="24">
        <f t="shared" si="19"/>
        <v>0</v>
      </c>
      <c r="BI39" s="24">
        <f t="shared" si="19"/>
        <v>0</v>
      </c>
      <c r="BJ39" s="24">
        <f t="shared" si="19"/>
        <v>0</v>
      </c>
      <c r="BK39" s="24">
        <f t="shared" si="19"/>
        <v>0</v>
      </c>
      <c r="BL39" s="24">
        <f t="shared" si="19"/>
        <v>0</v>
      </c>
      <c r="BM39" s="24">
        <f t="shared" si="19"/>
        <v>0</v>
      </c>
      <c r="BN39" s="24">
        <f t="shared" si="19"/>
        <v>0</v>
      </c>
      <c r="BO39" s="24">
        <f t="shared" si="19"/>
        <v>0</v>
      </c>
    </row>
    <row r="40" spans="4:67" x14ac:dyDescent="0.3">
      <c r="D40" s="23" t="s">
        <v>47</v>
      </c>
      <c r="E40" s="25"/>
      <c r="F40" s="24">
        <f t="shared" ref="F40:AK40" si="20">F16*30</f>
        <v>0</v>
      </c>
      <c r="G40" s="24">
        <f t="shared" si="20"/>
        <v>0</v>
      </c>
      <c r="H40" s="24">
        <f t="shared" si="20"/>
        <v>0</v>
      </c>
      <c r="I40" s="24">
        <f t="shared" si="20"/>
        <v>0</v>
      </c>
      <c r="J40" s="24">
        <f t="shared" si="20"/>
        <v>0</v>
      </c>
      <c r="K40" s="24">
        <f t="shared" si="20"/>
        <v>0</v>
      </c>
      <c r="L40" s="24">
        <f t="shared" si="20"/>
        <v>0</v>
      </c>
      <c r="M40" s="24">
        <f t="shared" si="20"/>
        <v>0</v>
      </c>
      <c r="N40" s="24">
        <f t="shared" si="20"/>
        <v>0</v>
      </c>
      <c r="O40" s="24">
        <f t="shared" si="20"/>
        <v>0</v>
      </c>
      <c r="P40" s="24">
        <f t="shared" si="20"/>
        <v>0</v>
      </c>
      <c r="Q40" s="24">
        <f t="shared" si="20"/>
        <v>0</v>
      </c>
      <c r="R40" s="24">
        <f t="shared" si="20"/>
        <v>0</v>
      </c>
      <c r="S40" s="24">
        <f t="shared" si="20"/>
        <v>0</v>
      </c>
      <c r="T40" s="24">
        <f t="shared" si="20"/>
        <v>0</v>
      </c>
      <c r="U40" s="24">
        <f t="shared" si="20"/>
        <v>0</v>
      </c>
      <c r="V40" s="24">
        <f t="shared" si="20"/>
        <v>0</v>
      </c>
      <c r="W40" s="24">
        <f t="shared" si="20"/>
        <v>0</v>
      </c>
      <c r="X40" s="24">
        <f t="shared" si="20"/>
        <v>0</v>
      </c>
      <c r="Y40" s="24">
        <f t="shared" si="20"/>
        <v>0</v>
      </c>
      <c r="Z40" s="24">
        <f t="shared" si="20"/>
        <v>0</v>
      </c>
      <c r="AA40" s="24">
        <f t="shared" si="20"/>
        <v>0</v>
      </c>
      <c r="AB40" s="24">
        <f t="shared" si="20"/>
        <v>0</v>
      </c>
      <c r="AC40" s="24">
        <f t="shared" si="20"/>
        <v>0</v>
      </c>
      <c r="AD40" s="24">
        <f t="shared" si="20"/>
        <v>0</v>
      </c>
      <c r="AE40" s="24">
        <f t="shared" si="20"/>
        <v>0</v>
      </c>
      <c r="AF40" s="24">
        <f t="shared" si="20"/>
        <v>0</v>
      </c>
      <c r="AG40" s="24">
        <f t="shared" si="20"/>
        <v>0</v>
      </c>
      <c r="AH40" s="24">
        <f t="shared" si="20"/>
        <v>0</v>
      </c>
      <c r="AI40" s="24">
        <f t="shared" si="20"/>
        <v>0</v>
      </c>
      <c r="AJ40" s="24">
        <f t="shared" si="20"/>
        <v>0</v>
      </c>
      <c r="AK40" s="24">
        <f t="shared" si="20"/>
        <v>0</v>
      </c>
      <c r="AL40" s="24">
        <f t="shared" ref="AL40:BO40" si="21">AL16*30</f>
        <v>0</v>
      </c>
      <c r="AM40" s="24">
        <f t="shared" si="21"/>
        <v>0</v>
      </c>
      <c r="AN40" s="24">
        <f t="shared" si="21"/>
        <v>0</v>
      </c>
      <c r="AO40" s="24">
        <f t="shared" si="21"/>
        <v>0</v>
      </c>
      <c r="AP40" s="24">
        <f t="shared" si="21"/>
        <v>0</v>
      </c>
      <c r="AQ40" s="24">
        <f t="shared" si="21"/>
        <v>0</v>
      </c>
      <c r="AR40" s="24">
        <f t="shared" si="21"/>
        <v>0</v>
      </c>
      <c r="AS40" s="24">
        <f t="shared" si="21"/>
        <v>0</v>
      </c>
      <c r="AT40" s="24">
        <f t="shared" si="21"/>
        <v>0</v>
      </c>
      <c r="AU40" s="24">
        <f t="shared" si="21"/>
        <v>0</v>
      </c>
      <c r="AV40" s="24">
        <f t="shared" si="21"/>
        <v>0</v>
      </c>
      <c r="AW40" s="24">
        <f t="shared" si="21"/>
        <v>0</v>
      </c>
      <c r="AX40" s="24">
        <f t="shared" si="21"/>
        <v>0</v>
      </c>
      <c r="AY40" s="24">
        <f t="shared" si="21"/>
        <v>0</v>
      </c>
      <c r="AZ40" s="24">
        <f t="shared" si="21"/>
        <v>0</v>
      </c>
      <c r="BA40" s="24">
        <f t="shared" si="21"/>
        <v>0</v>
      </c>
      <c r="BB40" s="24">
        <f t="shared" si="21"/>
        <v>0</v>
      </c>
      <c r="BC40" s="24">
        <f t="shared" si="21"/>
        <v>0</v>
      </c>
      <c r="BD40" s="24">
        <f t="shared" si="21"/>
        <v>0</v>
      </c>
      <c r="BE40" s="24">
        <f t="shared" si="21"/>
        <v>0</v>
      </c>
      <c r="BF40" s="24">
        <f t="shared" si="21"/>
        <v>0</v>
      </c>
      <c r="BG40" s="24">
        <f t="shared" si="21"/>
        <v>0</v>
      </c>
      <c r="BH40" s="24">
        <f t="shared" si="21"/>
        <v>0</v>
      </c>
      <c r="BI40" s="24">
        <f t="shared" si="21"/>
        <v>0</v>
      </c>
      <c r="BJ40" s="24">
        <f t="shared" si="21"/>
        <v>0</v>
      </c>
      <c r="BK40" s="24">
        <f t="shared" si="21"/>
        <v>0</v>
      </c>
      <c r="BL40" s="24">
        <f t="shared" si="21"/>
        <v>0</v>
      </c>
      <c r="BM40" s="24">
        <f t="shared" si="21"/>
        <v>0</v>
      </c>
      <c r="BN40" s="24">
        <f t="shared" si="21"/>
        <v>0</v>
      </c>
      <c r="BO40" s="24">
        <f t="shared" si="21"/>
        <v>0</v>
      </c>
    </row>
    <row r="41" spans="4:67" x14ac:dyDescent="0.3">
      <c r="D41" s="23" t="s">
        <v>50</v>
      </c>
      <c r="E41" s="25"/>
      <c r="F41" s="24">
        <f t="shared" ref="F41:AK41" si="22">F17*40</f>
        <v>0</v>
      </c>
      <c r="G41" s="24">
        <f t="shared" si="22"/>
        <v>0</v>
      </c>
      <c r="H41" s="24">
        <f t="shared" si="22"/>
        <v>0</v>
      </c>
      <c r="I41" s="24">
        <f t="shared" si="22"/>
        <v>0</v>
      </c>
      <c r="J41" s="24">
        <f t="shared" si="22"/>
        <v>0</v>
      </c>
      <c r="K41" s="24">
        <f t="shared" si="22"/>
        <v>0</v>
      </c>
      <c r="L41" s="24">
        <f t="shared" si="22"/>
        <v>0</v>
      </c>
      <c r="M41" s="24">
        <f t="shared" si="22"/>
        <v>0</v>
      </c>
      <c r="N41" s="24">
        <f t="shared" si="22"/>
        <v>0</v>
      </c>
      <c r="O41" s="24">
        <f t="shared" si="22"/>
        <v>0</v>
      </c>
      <c r="P41" s="24">
        <f t="shared" si="22"/>
        <v>0</v>
      </c>
      <c r="Q41" s="24">
        <f t="shared" si="22"/>
        <v>0</v>
      </c>
      <c r="R41" s="24">
        <f t="shared" si="22"/>
        <v>0</v>
      </c>
      <c r="S41" s="24">
        <f t="shared" si="22"/>
        <v>0</v>
      </c>
      <c r="T41" s="24">
        <f t="shared" si="22"/>
        <v>0</v>
      </c>
      <c r="U41" s="24">
        <f t="shared" si="22"/>
        <v>0</v>
      </c>
      <c r="V41" s="24">
        <f t="shared" si="22"/>
        <v>0</v>
      </c>
      <c r="W41" s="24">
        <f t="shared" si="22"/>
        <v>0</v>
      </c>
      <c r="X41" s="24">
        <f t="shared" si="22"/>
        <v>0</v>
      </c>
      <c r="Y41" s="24">
        <f t="shared" si="22"/>
        <v>0</v>
      </c>
      <c r="Z41" s="24">
        <f t="shared" si="22"/>
        <v>0</v>
      </c>
      <c r="AA41" s="24">
        <f t="shared" si="22"/>
        <v>0</v>
      </c>
      <c r="AB41" s="24">
        <f t="shared" si="22"/>
        <v>0</v>
      </c>
      <c r="AC41" s="24">
        <f t="shared" si="22"/>
        <v>0</v>
      </c>
      <c r="AD41" s="24">
        <f t="shared" si="22"/>
        <v>560</v>
      </c>
      <c r="AE41" s="24">
        <f t="shared" si="22"/>
        <v>0</v>
      </c>
      <c r="AF41" s="24">
        <f t="shared" si="22"/>
        <v>0</v>
      </c>
      <c r="AG41" s="24">
        <f t="shared" si="22"/>
        <v>0</v>
      </c>
      <c r="AH41" s="24">
        <f t="shared" si="22"/>
        <v>0</v>
      </c>
      <c r="AI41" s="24">
        <f t="shared" si="22"/>
        <v>0</v>
      </c>
      <c r="AJ41" s="24">
        <f t="shared" si="22"/>
        <v>0</v>
      </c>
      <c r="AK41" s="24">
        <f t="shared" si="22"/>
        <v>0</v>
      </c>
      <c r="AL41" s="24">
        <f t="shared" ref="AL41:BO41" si="23">AL17*40</f>
        <v>0</v>
      </c>
      <c r="AM41" s="24">
        <f t="shared" si="23"/>
        <v>0</v>
      </c>
      <c r="AN41" s="24">
        <f t="shared" si="23"/>
        <v>0</v>
      </c>
      <c r="AO41" s="24">
        <f t="shared" si="23"/>
        <v>0</v>
      </c>
      <c r="AP41" s="24">
        <f t="shared" si="23"/>
        <v>0</v>
      </c>
      <c r="AQ41" s="24">
        <f t="shared" si="23"/>
        <v>0</v>
      </c>
      <c r="AR41" s="24">
        <f t="shared" si="23"/>
        <v>0</v>
      </c>
      <c r="AS41" s="24">
        <f t="shared" si="23"/>
        <v>0</v>
      </c>
      <c r="AT41" s="24">
        <f t="shared" si="23"/>
        <v>0</v>
      </c>
      <c r="AU41" s="24">
        <f t="shared" si="23"/>
        <v>0</v>
      </c>
      <c r="AV41" s="24">
        <f t="shared" si="23"/>
        <v>0</v>
      </c>
      <c r="AW41" s="24">
        <f t="shared" si="23"/>
        <v>0</v>
      </c>
      <c r="AX41" s="24">
        <f t="shared" si="23"/>
        <v>0</v>
      </c>
      <c r="AY41" s="24">
        <f t="shared" si="23"/>
        <v>0</v>
      </c>
      <c r="AZ41" s="24">
        <f t="shared" si="23"/>
        <v>0</v>
      </c>
      <c r="BA41" s="24">
        <f t="shared" si="23"/>
        <v>0</v>
      </c>
      <c r="BB41" s="24">
        <f t="shared" si="23"/>
        <v>0</v>
      </c>
      <c r="BC41" s="24">
        <f t="shared" si="23"/>
        <v>0</v>
      </c>
      <c r="BD41" s="24">
        <f t="shared" si="23"/>
        <v>0</v>
      </c>
      <c r="BE41" s="24">
        <f t="shared" si="23"/>
        <v>0</v>
      </c>
      <c r="BF41" s="24">
        <f t="shared" si="23"/>
        <v>0</v>
      </c>
      <c r="BG41" s="24">
        <f t="shared" si="23"/>
        <v>0</v>
      </c>
      <c r="BH41" s="24">
        <f t="shared" si="23"/>
        <v>0</v>
      </c>
      <c r="BI41" s="24">
        <f t="shared" si="23"/>
        <v>0</v>
      </c>
      <c r="BJ41" s="24">
        <f t="shared" si="23"/>
        <v>0</v>
      </c>
      <c r="BK41" s="24">
        <f t="shared" si="23"/>
        <v>0</v>
      </c>
      <c r="BL41" s="24">
        <f t="shared" si="23"/>
        <v>0</v>
      </c>
      <c r="BM41" s="24">
        <f t="shared" si="23"/>
        <v>0</v>
      </c>
      <c r="BN41" s="24">
        <f t="shared" si="23"/>
        <v>0</v>
      </c>
      <c r="BO41" s="24">
        <f t="shared" si="23"/>
        <v>0</v>
      </c>
    </row>
    <row r="42" spans="4:67" x14ac:dyDescent="0.3">
      <c r="D42" s="23" t="s">
        <v>52</v>
      </c>
      <c r="E42" s="25"/>
      <c r="F42" s="24">
        <f t="shared" ref="F42:AK42" si="24">F18*35</f>
        <v>0</v>
      </c>
      <c r="G42" s="24">
        <f t="shared" si="24"/>
        <v>0</v>
      </c>
      <c r="H42" s="24">
        <f t="shared" si="24"/>
        <v>0</v>
      </c>
      <c r="I42" s="24">
        <f t="shared" si="24"/>
        <v>0</v>
      </c>
      <c r="J42" s="24">
        <f t="shared" si="24"/>
        <v>0</v>
      </c>
      <c r="K42" s="24">
        <f t="shared" si="24"/>
        <v>0</v>
      </c>
      <c r="L42" s="24">
        <f t="shared" si="24"/>
        <v>0</v>
      </c>
      <c r="M42" s="24">
        <f t="shared" si="24"/>
        <v>0</v>
      </c>
      <c r="N42" s="24">
        <f t="shared" si="24"/>
        <v>0</v>
      </c>
      <c r="O42" s="24">
        <f t="shared" si="24"/>
        <v>0</v>
      </c>
      <c r="P42" s="24">
        <f t="shared" si="24"/>
        <v>0</v>
      </c>
      <c r="Q42" s="24">
        <f t="shared" si="24"/>
        <v>0</v>
      </c>
      <c r="R42" s="24">
        <f t="shared" si="24"/>
        <v>0</v>
      </c>
      <c r="S42" s="24">
        <f t="shared" si="24"/>
        <v>0</v>
      </c>
      <c r="T42" s="24">
        <f t="shared" si="24"/>
        <v>0</v>
      </c>
      <c r="U42" s="24">
        <f t="shared" si="24"/>
        <v>0</v>
      </c>
      <c r="V42" s="24">
        <f t="shared" si="24"/>
        <v>0</v>
      </c>
      <c r="W42" s="24">
        <f t="shared" si="24"/>
        <v>0</v>
      </c>
      <c r="X42" s="24">
        <f t="shared" si="24"/>
        <v>0</v>
      </c>
      <c r="Y42" s="24">
        <f t="shared" si="24"/>
        <v>0</v>
      </c>
      <c r="Z42" s="24">
        <f t="shared" si="24"/>
        <v>0</v>
      </c>
      <c r="AA42" s="24">
        <f t="shared" si="24"/>
        <v>0</v>
      </c>
      <c r="AB42" s="24">
        <f t="shared" si="24"/>
        <v>0</v>
      </c>
      <c r="AC42" s="24">
        <f t="shared" si="24"/>
        <v>0</v>
      </c>
      <c r="AD42" s="24">
        <f t="shared" si="24"/>
        <v>0</v>
      </c>
      <c r="AE42" s="24">
        <f t="shared" si="24"/>
        <v>0</v>
      </c>
      <c r="AF42" s="24">
        <f t="shared" si="24"/>
        <v>0</v>
      </c>
      <c r="AG42" s="24">
        <f t="shared" si="24"/>
        <v>0</v>
      </c>
      <c r="AH42" s="24">
        <f t="shared" si="24"/>
        <v>0</v>
      </c>
      <c r="AI42" s="24">
        <f t="shared" si="24"/>
        <v>0</v>
      </c>
      <c r="AJ42" s="24">
        <f t="shared" si="24"/>
        <v>0</v>
      </c>
      <c r="AK42" s="24">
        <f t="shared" si="24"/>
        <v>0</v>
      </c>
      <c r="AL42" s="24">
        <f t="shared" ref="AL42:BO42" si="25">AL18*35</f>
        <v>0</v>
      </c>
      <c r="AM42" s="24">
        <f t="shared" si="25"/>
        <v>0</v>
      </c>
      <c r="AN42" s="24">
        <f t="shared" si="25"/>
        <v>0</v>
      </c>
      <c r="AO42" s="24">
        <f t="shared" si="25"/>
        <v>0</v>
      </c>
      <c r="AP42" s="24">
        <f t="shared" si="25"/>
        <v>0</v>
      </c>
      <c r="AQ42" s="24">
        <f t="shared" si="25"/>
        <v>0</v>
      </c>
      <c r="AR42" s="24">
        <f t="shared" si="25"/>
        <v>0</v>
      </c>
      <c r="AS42" s="24">
        <f t="shared" si="25"/>
        <v>0</v>
      </c>
      <c r="AT42" s="24">
        <f t="shared" si="25"/>
        <v>0</v>
      </c>
      <c r="AU42" s="24">
        <f t="shared" si="25"/>
        <v>0</v>
      </c>
      <c r="AV42" s="24">
        <f t="shared" si="25"/>
        <v>0</v>
      </c>
      <c r="AW42" s="24">
        <f t="shared" si="25"/>
        <v>0</v>
      </c>
      <c r="AX42" s="24">
        <f t="shared" si="25"/>
        <v>0</v>
      </c>
      <c r="AY42" s="24">
        <f t="shared" si="25"/>
        <v>0</v>
      </c>
      <c r="AZ42" s="24">
        <f t="shared" si="25"/>
        <v>0</v>
      </c>
      <c r="BA42" s="24">
        <f t="shared" si="25"/>
        <v>0</v>
      </c>
      <c r="BB42" s="24">
        <f t="shared" si="25"/>
        <v>0</v>
      </c>
      <c r="BC42" s="24">
        <f t="shared" si="25"/>
        <v>0</v>
      </c>
      <c r="BD42" s="24">
        <f t="shared" si="25"/>
        <v>0</v>
      </c>
      <c r="BE42" s="24">
        <f t="shared" si="25"/>
        <v>0</v>
      </c>
      <c r="BF42" s="24">
        <f t="shared" si="25"/>
        <v>0</v>
      </c>
      <c r="BG42" s="24">
        <f t="shared" si="25"/>
        <v>0</v>
      </c>
      <c r="BH42" s="24">
        <f t="shared" si="25"/>
        <v>0</v>
      </c>
      <c r="BI42" s="24">
        <f t="shared" si="25"/>
        <v>0</v>
      </c>
      <c r="BJ42" s="24">
        <f t="shared" si="25"/>
        <v>0</v>
      </c>
      <c r="BK42" s="24">
        <f t="shared" si="25"/>
        <v>0</v>
      </c>
      <c r="BL42" s="24">
        <f t="shared" si="25"/>
        <v>0</v>
      </c>
      <c r="BM42" s="24">
        <f t="shared" si="25"/>
        <v>0</v>
      </c>
      <c r="BN42" s="24">
        <f t="shared" si="25"/>
        <v>0</v>
      </c>
      <c r="BO42" s="24">
        <f t="shared" si="25"/>
        <v>0</v>
      </c>
    </row>
    <row r="43" spans="4:67" x14ac:dyDescent="0.3">
      <c r="D43" s="23" t="s">
        <v>54</v>
      </c>
      <c r="E43" s="25"/>
      <c r="F43" s="24">
        <f t="shared" ref="F43:AK43" si="26">F19*35</f>
        <v>0</v>
      </c>
      <c r="G43" s="24">
        <f t="shared" si="26"/>
        <v>0</v>
      </c>
      <c r="H43" s="24">
        <f t="shared" si="26"/>
        <v>0</v>
      </c>
      <c r="I43" s="24">
        <f t="shared" si="26"/>
        <v>0</v>
      </c>
      <c r="J43" s="24">
        <f t="shared" si="26"/>
        <v>0</v>
      </c>
      <c r="K43" s="24">
        <f t="shared" si="26"/>
        <v>0</v>
      </c>
      <c r="L43" s="24">
        <f t="shared" si="26"/>
        <v>0</v>
      </c>
      <c r="M43" s="24">
        <f t="shared" si="26"/>
        <v>0</v>
      </c>
      <c r="N43" s="24">
        <f t="shared" si="26"/>
        <v>0</v>
      </c>
      <c r="O43" s="24">
        <f t="shared" si="26"/>
        <v>0</v>
      </c>
      <c r="P43" s="24">
        <f t="shared" si="26"/>
        <v>0</v>
      </c>
      <c r="Q43" s="24">
        <f t="shared" si="26"/>
        <v>0</v>
      </c>
      <c r="R43" s="24">
        <f t="shared" si="26"/>
        <v>0</v>
      </c>
      <c r="S43" s="24">
        <f t="shared" si="26"/>
        <v>0</v>
      </c>
      <c r="T43" s="24">
        <f t="shared" si="26"/>
        <v>0</v>
      </c>
      <c r="U43" s="24">
        <f t="shared" si="26"/>
        <v>0</v>
      </c>
      <c r="V43" s="24">
        <f t="shared" si="26"/>
        <v>0</v>
      </c>
      <c r="W43" s="24">
        <f t="shared" si="26"/>
        <v>0</v>
      </c>
      <c r="X43" s="24">
        <f t="shared" si="26"/>
        <v>0</v>
      </c>
      <c r="Y43" s="24">
        <f t="shared" si="26"/>
        <v>0</v>
      </c>
      <c r="Z43" s="24">
        <f t="shared" si="26"/>
        <v>0</v>
      </c>
      <c r="AA43" s="24">
        <f t="shared" si="26"/>
        <v>0</v>
      </c>
      <c r="AB43" s="24">
        <f t="shared" si="26"/>
        <v>0</v>
      </c>
      <c r="AC43" s="24">
        <f t="shared" si="26"/>
        <v>0</v>
      </c>
      <c r="AD43" s="24">
        <f t="shared" si="26"/>
        <v>0</v>
      </c>
      <c r="AE43" s="24">
        <f t="shared" si="26"/>
        <v>0</v>
      </c>
      <c r="AF43" s="24">
        <f t="shared" si="26"/>
        <v>0</v>
      </c>
      <c r="AG43" s="24">
        <f t="shared" si="26"/>
        <v>0</v>
      </c>
      <c r="AH43" s="24">
        <f t="shared" si="26"/>
        <v>0</v>
      </c>
      <c r="AI43" s="24">
        <f t="shared" si="26"/>
        <v>0</v>
      </c>
      <c r="AJ43" s="24">
        <f t="shared" si="26"/>
        <v>0</v>
      </c>
      <c r="AK43" s="24">
        <f t="shared" si="26"/>
        <v>0</v>
      </c>
      <c r="AL43" s="24">
        <f t="shared" ref="AL43:BO43" si="27">AL19*35</f>
        <v>0</v>
      </c>
      <c r="AM43" s="24">
        <f t="shared" si="27"/>
        <v>0</v>
      </c>
      <c r="AN43" s="24">
        <f t="shared" si="27"/>
        <v>0</v>
      </c>
      <c r="AO43" s="24">
        <f t="shared" si="27"/>
        <v>0</v>
      </c>
      <c r="AP43" s="24">
        <f t="shared" si="27"/>
        <v>0</v>
      </c>
      <c r="AQ43" s="24">
        <f t="shared" si="27"/>
        <v>0</v>
      </c>
      <c r="AR43" s="24">
        <f t="shared" si="27"/>
        <v>0</v>
      </c>
      <c r="AS43" s="24">
        <f t="shared" si="27"/>
        <v>0</v>
      </c>
      <c r="AT43" s="24">
        <f t="shared" si="27"/>
        <v>0</v>
      </c>
      <c r="AU43" s="24">
        <f t="shared" si="27"/>
        <v>0</v>
      </c>
      <c r="AV43" s="24">
        <f t="shared" si="27"/>
        <v>0</v>
      </c>
      <c r="AW43" s="24">
        <f t="shared" si="27"/>
        <v>35</v>
      </c>
      <c r="AX43" s="24">
        <f t="shared" si="27"/>
        <v>0</v>
      </c>
      <c r="AY43" s="24">
        <f t="shared" si="27"/>
        <v>0</v>
      </c>
      <c r="AZ43" s="24">
        <f t="shared" si="27"/>
        <v>0</v>
      </c>
      <c r="BA43" s="24">
        <f t="shared" si="27"/>
        <v>0</v>
      </c>
      <c r="BB43" s="24">
        <f t="shared" si="27"/>
        <v>0</v>
      </c>
      <c r="BC43" s="24">
        <f t="shared" si="27"/>
        <v>0</v>
      </c>
      <c r="BD43" s="24">
        <f t="shared" si="27"/>
        <v>0</v>
      </c>
      <c r="BE43" s="24">
        <f t="shared" si="27"/>
        <v>0</v>
      </c>
      <c r="BF43" s="24">
        <f t="shared" si="27"/>
        <v>0</v>
      </c>
      <c r="BG43" s="24">
        <f t="shared" si="27"/>
        <v>0</v>
      </c>
      <c r="BH43" s="24">
        <f t="shared" si="27"/>
        <v>0</v>
      </c>
      <c r="BI43" s="24">
        <f t="shared" si="27"/>
        <v>0</v>
      </c>
      <c r="BJ43" s="24">
        <f t="shared" si="27"/>
        <v>0</v>
      </c>
      <c r="BK43" s="24">
        <f t="shared" si="27"/>
        <v>0</v>
      </c>
      <c r="BL43" s="24">
        <f t="shared" si="27"/>
        <v>0</v>
      </c>
      <c r="BM43" s="24">
        <f t="shared" si="27"/>
        <v>0</v>
      </c>
      <c r="BN43" s="24">
        <f t="shared" si="27"/>
        <v>0</v>
      </c>
      <c r="BO43" s="24">
        <f t="shared" si="27"/>
        <v>0</v>
      </c>
    </row>
    <row r="44" spans="4:67" x14ac:dyDescent="0.3">
      <c r="D44" s="6" t="s">
        <v>56</v>
      </c>
      <c r="E44" s="25"/>
      <c r="F44" s="24">
        <f t="shared" ref="F44:AK44" si="28">F20*35</f>
        <v>0</v>
      </c>
      <c r="G44" s="24">
        <f t="shared" si="28"/>
        <v>0</v>
      </c>
      <c r="H44" s="24">
        <f t="shared" si="28"/>
        <v>0</v>
      </c>
      <c r="I44" s="24">
        <f t="shared" si="28"/>
        <v>0</v>
      </c>
      <c r="J44" s="24">
        <f t="shared" si="28"/>
        <v>0</v>
      </c>
      <c r="K44" s="24">
        <f t="shared" si="28"/>
        <v>0</v>
      </c>
      <c r="L44" s="24">
        <f t="shared" si="28"/>
        <v>0</v>
      </c>
      <c r="M44" s="24">
        <f t="shared" si="28"/>
        <v>0</v>
      </c>
      <c r="N44" s="24">
        <f t="shared" si="28"/>
        <v>0</v>
      </c>
      <c r="O44" s="24">
        <f t="shared" si="28"/>
        <v>0</v>
      </c>
      <c r="P44" s="24">
        <f t="shared" si="28"/>
        <v>0</v>
      </c>
      <c r="Q44" s="24">
        <f t="shared" si="28"/>
        <v>0</v>
      </c>
      <c r="R44" s="24">
        <f t="shared" si="28"/>
        <v>0</v>
      </c>
      <c r="S44" s="24">
        <f t="shared" si="28"/>
        <v>0</v>
      </c>
      <c r="T44" s="24">
        <f t="shared" si="28"/>
        <v>0</v>
      </c>
      <c r="U44" s="24">
        <f t="shared" si="28"/>
        <v>0</v>
      </c>
      <c r="V44" s="24">
        <f t="shared" si="28"/>
        <v>0</v>
      </c>
      <c r="W44" s="24">
        <f t="shared" si="28"/>
        <v>0</v>
      </c>
      <c r="X44" s="24">
        <f t="shared" si="28"/>
        <v>0</v>
      </c>
      <c r="Y44" s="24">
        <f t="shared" si="28"/>
        <v>0</v>
      </c>
      <c r="Z44" s="24">
        <f t="shared" si="28"/>
        <v>0</v>
      </c>
      <c r="AA44" s="24">
        <f t="shared" si="28"/>
        <v>0</v>
      </c>
      <c r="AB44" s="24">
        <f t="shared" si="28"/>
        <v>0</v>
      </c>
      <c r="AC44" s="24">
        <f t="shared" si="28"/>
        <v>0</v>
      </c>
      <c r="AD44" s="24">
        <f t="shared" si="28"/>
        <v>0</v>
      </c>
      <c r="AE44" s="24">
        <f t="shared" si="28"/>
        <v>0</v>
      </c>
      <c r="AF44" s="24">
        <f t="shared" si="28"/>
        <v>0</v>
      </c>
      <c r="AG44" s="24">
        <f t="shared" si="28"/>
        <v>0</v>
      </c>
      <c r="AH44" s="24">
        <f t="shared" si="28"/>
        <v>0</v>
      </c>
      <c r="AI44" s="24">
        <f t="shared" si="28"/>
        <v>0</v>
      </c>
      <c r="AJ44" s="24">
        <f t="shared" si="28"/>
        <v>0</v>
      </c>
      <c r="AK44" s="24">
        <f t="shared" si="28"/>
        <v>0</v>
      </c>
      <c r="AL44" s="24">
        <f t="shared" ref="AL44:BO44" si="29">AL20*35</f>
        <v>0</v>
      </c>
      <c r="AM44" s="24">
        <f t="shared" si="29"/>
        <v>0</v>
      </c>
      <c r="AN44" s="24">
        <f t="shared" si="29"/>
        <v>0</v>
      </c>
      <c r="AO44" s="24">
        <f t="shared" si="29"/>
        <v>0</v>
      </c>
      <c r="AP44" s="24">
        <f t="shared" si="29"/>
        <v>0</v>
      </c>
      <c r="AQ44" s="24">
        <f t="shared" si="29"/>
        <v>0</v>
      </c>
      <c r="AR44" s="24">
        <f t="shared" si="29"/>
        <v>0</v>
      </c>
      <c r="AS44" s="24">
        <f t="shared" si="29"/>
        <v>0</v>
      </c>
      <c r="AT44" s="24">
        <f t="shared" si="29"/>
        <v>0</v>
      </c>
      <c r="AU44" s="24">
        <f t="shared" si="29"/>
        <v>0</v>
      </c>
      <c r="AV44" s="24">
        <f t="shared" si="29"/>
        <v>0</v>
      </c>
      <c r="AW44" s="24">
        <f t="shared" si="29"/>
        <v>0</v>
      </c>
      <c r="AX44" s="24">
        <f t="shared" si="29"/>
        <v>0</v>
      </c>
      <c r="AY44" s="24">
        <f t="shared" si="29"/>
        <v>0</v>
      </c>
      <c r="AZ44" s="24">
        <f t="shared" si="29"/>
        <v>0</v>
      </c>
      <c r="BA44" s="24">
        <f t="shared" si="29"/>
        <v>0</v>
      </c>
      <c r="BB44" s="24">
        <f t="shared" si="29"/>
        <v>0</v>
      </c>
      <c r="BC44" s="24">
        <f t="shared" si="29"/>
        <v>0</v>
      </c>
      <c r="BD44" s="24">
        <f t="shared" si="29"/>
        <v>0</v>
      </c>
      <c r="BE44" s="24">
        <f t="shared" si="29"/>
        <v>0</v>
      </c>
      <c r="BF44" s="24">
        <f t="shared" si="29"/>
        <v>0</v>
      </c>
      <c r="BG44" s="24">
        <f t="shared" si="29"/>
        <v>0</v>
      </c>
      <c r="BH44" s="24">
        <f t="shared" si="29"/>
        <v>0</v>
      </c>
      <c r="BI44" s="24">
        <f t="shared" si="29"/>
        <v>0</v>
      </c>
      <c r="BJ44" s="24">
        <f t="shared" si="29"/>
        <v>0</v>
      </c>
      <c r="BK44" s="24">
        <f t="shared" si="29"/>
        <v>0</v>
      </c>
      <c r="BL44" s="24">
        <f t="shared" si="29"/>
        <v>0</v>
      </c>
      <c r="BM44" s="24">
        <f t="shared" si="29"/>
        <v>0</v>
      </c>
      <c r="BN44" s="24">
        <f t="shared" si="29"/>
        <v>0</v>
      </c>
      <c r="BO44" s="24">
        <f t="shared" si="29"/>
        <v>0</v>
      </c>
    </row>
    <row r="45" spans="4:67" x14ac:dyDescent="0.3">
      <c r="D45" s="6" t="s">
        <v>58</v>
      </c>
      <c r="E45" s="25"/>
      <c r="F45" s="24">
        <f t="shared" ref="F45:AK45" si="30">F21*35</f>
        <v>0</v>
      </c>
      <c r="G45" s="24">
        <f t="shared" si="30"/>
        <v>0</v>
      </c>
      <c r="H45" s="24">
        <f t="shared" si="30"/>
        <v>0</v>
      </c>
      <c r="I45" s="24">
        <f t="shared" si="30"/>
        <v>0</v>
      </c>
      <c r="J45" s="24">
        <f t="shared" si="30"/>
        <v>0</v>
      </c>
      <c r="K45" s="24">
        <f t="shared" si="30"/>
        <v>0</v>
      </c>
      <c r="L45" s="24">
        <f t="shared" si="30"/>
        <v>0</v>
      </c>
      <c r="M45" s="24">
        <f t="shared" si="30"/>
        <v>0</v>
      </c>
      <c r="N45" s="24">
        <f t="shared" si="30"/>
        <v>0</v>
      </c>
      <c r="O45" s="24">
        <f t="shared" si="30"/>
        <v>0</v>
      </c>
      <c r="P45" s="24">
        <f t="shared" si="30"/>
        <v>0</v>
      </c>
      <c r="Q45" s="24">
        <f t="shared" si="30"/>
        <v>0</v>
      </c>
      <c r="R45" s="24">
        <f t="shared" si="30"/>
        <v>0</v>
      </c>
      <c r="S45" s="24">
        <f t="shared" si="30"/>
        <v>0</v>
      </c>
      <c r="T45" s="24">
        <f t="shared" si="30"/>
        <v>0</v>
      </c>
      <c r="U45" s="24">
        <f t="shared" si="30"/>
        <v>0</v>
      </c>
      <c r="V45" s="24">
        <f t="shared" si="30"/>
        <v>0</v>
      </c>
      <c r="W45" s="24">
        <f t="shared" si="30"/>
        <v>0</v>
      </c>
      <c r="X45" s="24">
        <f t="shared" si="30"/>
        <v>0</v>
      </c>
      <c r="Y45" s="24">
        <f t="shared" si="30"/>
        <v>0</v>
      </c>
      <c r="Z45" s="24">
        <f t="shared" si="30"/>
        <v>0</v>
      </c>
      <c r="AA45" s="24">
        <f t="shared" si="30"/>
        <v>0</v>
      </c>
      <c r="AB45" s="24">
        <f t="shared" si="30"/>
        <v>0</v>
      </c>
      <c r="AC45" s="24">
        <f t="shared" si="30"/>
        <v>0</v>
      </c>
      <c r="AD45" s="24">
        <f t="shared" si="30"/>
        <v>0</v>
      </c>
      <c r="AE45" s="24">
        <f t="shared" si="30"/>
        <v>0</v>
      </c>
      <c r="AF45" s="24">
        <f t="shared" si="30"/>
        <v>0</v>
      </c>
      <c r="AG45" s="24">
        <f t="shared" si="30"/>
        <v>0</v>
      </c>
      <c r="AH45" s="24">
        <f t="shared" si="30"/>
        <v>0</v>
      </c>
      <c r="AI45" s="24">
        <f t="shared" si="30"/>
        <v>0</v>
      </c>
      <c r="AJ45" s="24">
        <f t="shared" si="30"/>
        <v>0</v>
      </c>
      <c r="AK45" s="24">
        <f t="shared" si="30"/>
        <v>0</v>
      </c>
      <c r="AL45" s="24">
        <f t="shared" ref="AL45:BO45" si="31">AL21*35</f>
        <v>0</v>
      </c>
      <c r="AM45" s="24">
        <f t="shared" si="31"/>
        <v>0</v>
      </c>
      <c r="AN45" s="24">
        <f t="shared" si="31"/>
        <v>0</v>
      </c>
      <c r="AO45" s="24">
        <f t="shared" si="31"/>
        <v>0</v>
      </c>
      <c r="AP45" s="24">
        <f t="shared" si="31"/>
        <v>0</v>
      </c>
      <c r="AQ45" s="24">
        <f t="shared" si="31"/>
        <v>0</v>
      </c>
      <c r="AR45" s="24">
        <f t="shared" si="31"/>
        <v>0</v>
      </c>
      <c r="AS45" s="24">
        <f t="shared" si="31"/>
        <v>0</v>
      </c>
      <c r="AT45" s="24">
        <f t="shared" si="31"/>
        <v>0</v>
      </c>
      <c r="AU45" s="24">
        <f t="shared" si="31"/>
        <v>0</v>
      </c>
      <c r="AV45" s="24">
        <f t="shared" si="31"/>
        <v>0</v>
      </c>
      <c r="AW45" s="24">
        <f t="shared" si="31"/>
        <v>35</v>
      </c>
      <c r="AX45" s="24">
        <f t="shared" si="31"/>
        <v>0</v>
      </c>
      <c r="AY45" s="24">
        <f t="shared" si="31"/>
        <v>0</v>
      </c>
      <c r="AZ45" s="24">
        <f t="shared" si="31"/>
        <v>0</v>
      </c>
      <c r="BA45" s="24">
        <f t="shared" si="31"/>
        <v>0</v>
      </c>
      <c r="BB45" s="24">
        <f t="shared" si="31"/>
        <v>0</v>
      </c>
      <c r="BC45" s="24">
        <f t="shared" si="31"/>
        <v>0</v>
      </c>
      <c r="BD45" s="24">
        <f t="shared" si="31"/>
        <v>0</v>
      </c>
      <c r="BE45" s="24">
        <f t="shared" si="31"/>
        <v>0</v>
      </c>
      <c r="BF45" s="24">
        <f t="shared" si="31"/>
        <v>0</v>
      </c>
      <c r="BG45" s="24">
        <f t="shared" si="31"/>
        <v>0</v>
      </c>
      <c r="BH45" s="24">
        <f t="shared" si="31"/>
        <v>0</v>
      </c>
      <c r="BI45" s="24">
        <f t="shared" si="31"/>
        <v>0</v>
      </c>
      <c r="BJ45" s="24">
        <f t="shared" si="31"/>
        <v>0</v>
      </c>
      <c r="BK45" s="24">
        <f t="shared" si="31"/>
        <v>0</v>
      </c>
      <c r="BL45" s="24">
        <f t="shared" si="31"/>
        <v>0</v>
      </c>
      <c r="BM45" s="24">
        <f t="shared" si="31"/>
        <v>0</v>
      </c>
      <c r="BN45" s="24">
        <f t="shared" si="31"/>
        <v>0</v>
      </c>
      <c r="BO45" s="24">
        <f t="shared" si="31"/>
        <v>0</v>
      </c>
    </row>
    <row r="46" spans="4:67" x14ac:dyDescent="0.3">
      <c r="D46" s="23" t="s">
        <v>60</v>
      </c>
      <c r="E46" s="25"/>
      <c r="F46" s="24">
        <f t="shared" ref="F46:AK46" si="32">F22*35</f>
        <v>0</v>
      </c>
      <c r="G46" s="24">
        <f t="shared" si="32"/>
        <v>0</v>
      </c>
      <c r="H46" s="24">
        <f t="shared" si="32"/>
        <v>0</v>
      </c>
      <c r="I46" s="24">
        <f t="shared" si="32"/>
        <v>0</v>
      </c>
      <c r="J46" s="24">
        <f t="shared" si="32"/>
        <v>0</v>
      </c>
      <c r="K46" s="24">
        <f t="shared" si="32"/>
        <v>0</v>
      </c>
      <c r="L46" s="24">
        <f t="shared" si="32"/>
        <v>0</v>
      </c>
      <c r="M46" s="24">
        <f t="shared" si="32"/>
        <v>0</v>
      </c>
      <c r="N46" s="24">
        <f t="shared" si="32"/>
        <v>0</v>
      </c>
      <c r="O46" s="24">
        <f t="shared" si="32"/>
        <v>0</v>
      </c>
      <c r="P46" s="24">
        <f t="shared" si="32"/>
        <v>0</v>
      </c>
      <c r="Q46" s="24">
        <f t="shared" si="32"/>
        <v>0</v>
      </c>
      <c r="R46" s="24">
        <f t="shared" si="32"/>
        <v>0</v>
      </c>
      <c r="S46" s="24">
        <f t="shared" si="32"/>
        <v>0</v>
      </c>
      <c r="T46" s="24">
        <f t="shared" si="32"/>
        <v>0</v>
      </c>
      <c r="U46" s="24">
        <f t="shared" si="32"/>
        <v>0</v>
      </c>
      <c r="V46" s="24">
        <f t="shared" si="32"/>
        <v>0</v>
      </c>
      <c r="W46" s="24">
        <f t="shared" si="32"/>
        <v>0</v>
      </c>
      <c r="X46" s="24">
        <f t="shared" si="32"/>
        <v>0</v>
      </c>
      <c r="Y46" s="24">
        <f t="shared" si="32"/>
        <v>0</v>
      </c>
      <c r="Z46" s="24">
        <f t="shared" si="32"/>
        <v>0</v>
      </c>
      <c r="AA46" s="24">
        <f t="shared" si="32"/>
        <v>0</v>
      </c>
      <c r="AB46" s="24">
        <f t="shared" si="32"/>
        <v>0</v>
      </c>
      <c r="AC46" s="24">
        <f t="shared" si="32"/>
        <v>0</v>
      </c>
      <c r="AD46" s="24">
        <f t="shared" si="32"/>
        <v>0</v>
      </c>
      <c r="AE46" s="24">
        <f t="shared" si="32"/>
        <v>0</v>
      </c>
      <c r="AF46" s="24">
        <f t="shared" si="32"/>
        <v>0</v>
      </c>
      <c r="AG46" s="24">
        <f t="shared" si="32"/>
        <v>0</v>
      </c>
      <c r="AH46" s="24">
        <f t="shared" si="32"/>
        <v>0</v>
      </c>
      <c r="AI46" s="24">
        <f t="shared" si="32"/>
        <v>0</v>
      </c>
      <c r="AJ46" s="24">
        <f t="shared" si="32"/>
        <v>0</v>
      </c>
      <c r="AK46" s="24">
        <f t="shared" si="32"/>
        <v>0</v>
      </c>
      <c r="AL46" s="24">
        <f t="shared" ref="AL46:BO46" si="33">AL22*35</f>
        <v>0</v>
      </c>
      <c r="AM46" s="24">
        <f t="shared" si="33"/>
        <v>0</v>
      </c>
      <c r="AN46" s="24">
        <f t="shared" si="33"/>
        <v>0</v>
      </c>
      <c r="AO46" s="24">
        <f t="shared" si="33"/>
        <v>0</v>
      </c>
      <c r="AP46" s="24">
        <f t="shared" si="33"/>
        <v>0</v>
      </c>
      <c r="AQ46" s="24">
        <f t="shared" si="33"/>
        <v>0</v>
      </c>
      <c r="AR46" s="24">
        <f t="shared" si="33"/>
        <v>0</v>
      </c>
      <c r="AS46" s="24">
        <f t="shared" si="33"/>
        <v>0</v>
      </c>
      <c r="AT46" s="24">
        <f t="shared" si="33"/>
        <v>0</v>
      </c>
      <c r="AU46" s="24">
        <f t="shared" si="33"/>
        <v>0</v>
      </c>
      <c r="AV46" s="24">
        <f t="shared" si="33"/>
        <v>0</v>
      </c>
      <c r="AW46" s="24">
        <f t="shared" si="33"/>
        <v>0</v>
      </c>
      <c r="AX46" s="24">
        <f t="shared" si="33"/>
        <v>0</v>
      </c>
      <c r="AY46" s="24">
        <f t="shared" si="33"/>
        <v>0</v>
      </c>
      <c r="AZ46" s="24">
        <f t="shared" si="33"/>
        <v>0</v>
      </c>
      <c r="BA46" s="24">
        <f t="shared" si="33"/>
        <v>0</v>
      </c>
      <c r="BB46" s="24">
        <f t="shared" si="33"/>
        <v>0</v>
      </c>
      <c r="BC46" s="24">
        <f t="shared" si="33"/>
        <v>0</v>
      </c>
      <c r="BD46" s="24">
        <f t="shared" si="33"/>
        <v>0</v>
      </c>
      <c r="BE46" s="24">
        <f t="shared" si="33"/>
        <v>0</v>
      </c>
      <c r="BF46" s="24">
        <f t="shared" si="33"/>
        <v>0</v>
      </c>
      <c r="BG46" s="24">
        <f t="shared" si="33"/>
        <v>0</v>
      </c>
      <c r="BH46" s="24">
        <f t="shared" si="33"/>
        <v>0</v>
      </c>
      <c r="BI46" s="24">
        <f t="shared" si="33"/>
        <v>0</v>
      </c>
      <c r="BJ46" s="24">
        <f t="shared" si="33"/>
        <v>0</v>
      </c>
      <c r="BK46" s="24">
        <f t="shared" si="33"/>
        <v>0</v>
      </c>
      <c r="BL46" s="24">
        <f t="shared" si="33"/>
        <v>0</v>
      </c>
      <c r="BM46" s="24">
        <f t="shared" si="33"/>
        <v>0</v>
      </c>
      <c r="BN46" s="24">
        <f t="shared" si="33"/>
        <v>0</v>
      </c>
      <c r="BO46" s="24">
        <f t="shared" si="33"/>
        <v>0</v>
      </c>
    </row>
    <row r="47" spans="4:67" x14ac:dyDescent="0.3">
      <c r="D47" s="23" t="s">
        <v>64</v>
      </c>
      <c r="E47" s="25"/>
      <c r="F47" s="24">
        <f t="shared" ref="F47:AK47" si="34">F23*35</f>
        <v>0</v>
      </c>
      <c r="G47" s="24">
        <f t="shared" si="34"/>
        <v>0</v>
      </c>
      <c r="H47" s="24">
        <f t="shared" si="34"/>
        <v>0</v>
      </c>
      <c r="I47" s="24">
        <f t="shared" si="34"/>
        <v>0</v>
      </c>
      <c r="J47" s="24">
        <f t="shared" si="34"/>
        <v>0</v>
      </c>
      <c r="K47" s="24">
        <f t="shared" si="34"/>
        <v>0</v>
      </c>
      <c r="L47" s="24">
        <f t="shared" si="34"/>
        <v>0</v>
      </c>
      <c r="M47" s="24">
        <f t="shared" si="34"/>
        <v>0</v>
      </c>
      <c r="N47" s="24">
        <f t="shared" si="34"/>
        <v>0</v>
      </c>
      <c r="O47" s="24">
        <f t="shared" si="34"/>
        <v>0</v>
      </c>
      <c r="P47" s="24">
        <f t="shared" si="34"/>
        <v>0</v>
      </c>
      <c r="Q47" s="24">
        <f t="shared" si="34"/>
        <v>0</v>
      </c>
      <c r="R47" s="24">
        <f t="shared" si="34"/>
        <v>0</v>
      </c>
      <c r="S47" s="24">
        <f t="shared" si="34"/>
        <v>0</v>
      </c>
      <c r="T47" s="24">
        <f t="shared" si="34"/>
        <v>0</v>
      </c>
      <c r="U47" s="24">
        <f t="shared" si="34"/>
        <v>0</v>
      </c>
      <c r="V47" s="24">
        <f t="shared" si="34"/>
        <v>0</v>
      </c>
      <c r="W47" s="24">
        <f t="shared" si="34"/>
        <v>0</v>
      </c>
      <c r="X47" s="24">
        <f t="shared" si="34"/>
        <v>0</v>
      </c>
      <c r="Y47" s="24">
        <f t="shared" si="34"/>
        <v>0</v>
      </c>
      <c r="Z47" s="24">
        <f t="shared" si="34"/>
        <v>0</v>
      </c>
      <c r="AA47" s="24">
        <f t="shared" si="34"/>
        <v>0</v>
      </c>
      <c r="AB47" s="24">
        <f t="shared" si="34"/>
        <v>0</v>
      </c>
      <c r="AC47" s="24">
        <f t="shared" si="34"/>
        <v>0</v>
      </c>
      <c r="AD47" s="24">
        <f t="shared" si="34"/>
        <v>350</v>
      </c>
      <c r="AE47" s="24">
        <f t="shared" si="34"/>
        <v>0</v>
      </c>
      <c r="AF47" s="24">
        <f t="shared" si="34"/>
        <v>0</v>
      </c>
      <c r="AG47" s="24">
        <f t="shared" si="34"/>
        <v>0</v>
      </c>
      <c r="AH47" s="24">
        <f t="shared" si="34"/>
        <v>0</v>
      </c>
      <c r="AI47" s="24">
        <f t="shared" si="34"/>
        <v>0</v>
      </c>
      <c r="AJ47" s="24">
        <f t="shared" si="34"/>
        <v>0</v>
      </c>
      <c r="AK47" s="24">
        <f t="shared" si="34"/>
        <v>0</v>
      </c>
      <c r="AL47" s="24">
        <f t="shared" ref="AL47:BO47" si="35">AL23*35</f>
        <v>0</v>
      </c>
      <c r="AM47" s="24">
        <f t="shared" si="35"/>
        <v>0</v>
      </c>
      <c r="AN47" s="24">
        <f t="shared" si="35"/>
        <v>0</v>
      </c>
      <c r="AO47" s="24">
        <f t="shared" si="35"/>
        <v>0</v>
      </c>
      <c r="AP47" s="24">
        <f t="shared" si="35"/>
        <v>0</v>
      </c>
      <c r="AQ47" s="24">
        <f t="shared" si="35"/>
        <v>0</v>
      </c>
      <c r="AR47" s="24">
        <f t="shared" si="35"/>
        <v>0</v>
      </c>
      <c r="AS47" s="24">
        <f t="shared" si="35"/>
        <v>0</v>
      </c>
      <c r="AT47" s="24">
        <f t="shared" si="35"/>
        <v>0</v>
      </c>
      <c r="AU47" s="24">
        <f t="shared" si="35"/>
        <v>0</v>
      </c>
      <c r="AV47" s="24">
        <f t="shared" si="35"/>
        <v>0</v>
      </c>
      <c r="AW47" s="24">
        <f t="shared" si="35"/>
        <v>0</v>
      </c>
      <c r="AX47" s="24">
        <f t="shared" si="35"/>
        <v>0</v>
      </c>
      <c r="AY47" s="24">
        <f t="shared" si="35"/>
        <v>0</v>
      </c>
      <c r="AZ47" s="24">
        <f t="shared" si="35"/>
        <v>0</v>
      </c>
      <c r="BA47" s="24">
        <f t="shared" si="35"/>
        <v>0</v>
      </c>
      <c r="BB47" s="24">
        <f t="shared" si="35"/>
        <v>0</v>
      </c>
      <c r="BC47" s="24">
        <f t="shared" si="35"/>
        <v>0</v>
      </c>
      <c r="BD47" s="24">
        <f t="shared" si="35"/>
        <v>0</v>
      </c>
      <c r="BE47" s="24">
        <f t="shared" si="35"/>
        <v>0</v>
      </c>
      <c r="BF47" s="24">
        <f t="shared" si="35"/>
        <v>0</v>
      </c>
      <c r="BG47" s="24">
        <f t="shared" si="35"/>
        <v>0</v>
      </c>
      <c r="BH47" s="24">
        <f t="shared" si="35"/>
        <v>0</v>
      </c>
      <c r="BI47" s="24">
        <f t="shared" si="35"/>
        <v>0</v>
      </c>
      <c r="BJ47" s="24">
        <f t="shared" si="35"/>
        <v>0</v>
      </c>
      <c r="BK47" s="24">
        <f t="shared" si="35"/>
        <v>0</v>
      </c>
      <c r="BL47" s="24">
        <f t="shared" si="35"/>
        <v>0</v>
      </c>
      <c r="BM47" s="24">
        <f t="shared" si="35"/>
        <v>0</v>
      </c>
      <c r="BN47" s="24">
        <f t="shared" si="35"/>
        <v>0</v>
      </c>
      <c r="BO47" s="24">
        <f t="shared" si="35"/>
        <v>0</v>
      </c>
    </row>
    <row r="48" spans="4:67" x14ac:dyDescent="0.3">
      <c r="D48" s="23" t="s">
        <v>69</v>
      </c>
      <c r="E48" s="25"/>
      <c r="F48" s="24">
        <f t="shared" ref="F48:AK48" si="36">F24*45</f>
        <v>0</v>
      </c>
      <c r="G48" s="24">
        <f t="shared" si="36"/>
        <v>0</v>
      </c>
      <c r="H48" s="24">
        <f t="shared" si="36"/>
        <v>0</v>
      </c>
      <c r="I48" s="24">
        <f t="shared" si="36"/>
        <v>0</v>
      </c>
      <c r="J48" s="24">
        <f t="shared" si="36"/>
        <v>0</v>
      </c>
      <c r="K48" s="24">
        <f t="shared" si="36"/>
        <v>0</v>
      </c>
      <c r="L48" s="24">
        <f t="shared" si="36"/>
        <v>0</v>
      </c>
      <c r="M48" s="24">
        <f t="shared" si="36"/>
        <v>0</v>
      </c>
      <c r="N48" s="24">
        <f t="shared" si="36"/>
        <v>0</v>
      </c>
      <c r="O48" s="24">
        <f t="shared" si="36"/>
        <v>0</v>
      </c>
      <c r="P48" s="24">
        <f t="shared" si="36"/>
        <v>45</v>
      </c>
      <c r="Q48" s="24">
        <f t="shared" si="36"/>
        <v>315</v>
      </c>
      <c r="R48" s="24">
        <f t="shared" si="36"/>
        <v>0</v>
      </c>
      <c r="S48" s="24">
        <f t="shared" si="36"/>
        <v>0</v>
      </c>
      <c r="T48" s="24">
        <f t="shared" si="36"/>
        <v>0</v>
      </c>
      <c r="U48" s="24">
        <f t="shared" si="36"/>
        <v>0</v>
      </c>
      <c r="V48" s="24">
        <f t="shared" si="36"/>
        <v>0</v>
      </c>
      <c r="W48" s="24">
        <f t="shared" si="36"/>
        <v>0</v>
      </c>
      <c r="X48" s="24">
        <f t="shared" si="36"/>
        <v>0</v>
      </c>
      <c r="Y48" s="24">
        <f t="shared" si="36"/>
        <v>0</v>
      </c>
      <c r="Z48" s="24">
        <f t="shared" si="36"/>
        <v>0</v>
      </c>
      <c r="AA48" s="24">
        <f t="shared" si="36"/>
        <v>0</v>
      </c>
      <c r="AB48" s="24">
        <f t="shared" si="36"/>
        <v>0</v>
      </c>
      <c r="AC48" s="24">
        <f t="shared" si="36"/>
        <v>0</v>
      </c>
      <c r="AD48" s="24">
        <f t="shared" si="36"/>
        <v>0</v>
      </c>
      <c r="AE48" s="24">
        <f t="shared" si="36"/>
        <v>0</v>
      </c>
      <c r="AF48" s="24">
        <f t="shared" si="36"/>
        <v>0</v>
      </c>
      <c r="AG48" s="24">
        <f t="shared" si="36"/>
        <v>0</v>
      </c>
      <c r="AH48" s="24">
        <f t="shared" si="36"/>
        <v>0</v>
      </c>
      <c r="AI48" s="24">
        <f t="shared" si="36"/>
        <v>0</v>
      </c>
      <c r="AJ48" s="24">
        <f t="shared" si="36"/>
        <v>0</v>
      </c>
      <c r="AK48" s="24">
        <f t="shared" si="36"/>
        <v>0</v>
      </c>
      <c r="AL48" s="24">
        <f t="shared" ref="AL48:BO48" si="37">AL24*45</f>
        <v>0</v>
      </c>
      <c r="AM48" s="24">
        <f t="shared" si="37"/>
        <v>0</v>
      </c>
      <c r="AN48" s="24">
        <f t="shared" si="37"/>
        <v>0</v>
      </c>
      <c r="AO48" s="24">
        <f t="shared" si="37"/>
        <v>0</v>
      </c>
      <c r="AP48" s="24">
        <f t="shared" si="37"/>
        <v>0</v>
      </c>
      <c r="AQ48" s="24">
        <f t="shared" si="37"/>
        <v>0</v>
      </c>
      <c r="AR48" s="24">
        <f t="shared" si="37"/>
        <v>0</v>
      </c>
      <c r="AS48" s="24">
        <f t="shared" si="37"/>
        <v>0</v>
      </c>
      <c r="AT48" s="24">
        <f t="shared" si="37"/>
        <v>0</v>
      </c>
      <c r="AU48" s="24">
        <f t="shared" si="37"/>
        <v>0</v>
      </c>
      <c r="AV48" s="24">
        <f t="shared" si="37"/>
        <v>0</v>
      </c>
      <c r="AW48" s="24">
        <f t="shared" si="37"/>
        <v>0</v>
      </c>
      <c r="AX48" s="24">
        <f t="shared" si="37"/>
        <v>0</v>
      </c>
      <c r="AY48" s="24">
        <f t="shared" si="37"/>
        <v>0</v>
      </c>
      <c r="AZ48" s="24">
        <f t="shared" si="37"/>
        <v>0</v>
      </c>
      <c r="BA48" s="24">
        <f t="shared" si="37"/>
        <v>0</v>
      </c>
      <c r="BB48" s="24">
        <f t="shared" si="37"/>
        <v>0</v>
      </c>
      <c r="BC48" s="24">
        <f t="shared" si="37"/>
        <v>0</v>
      </c>
      <c r="BD48" s="24">
        <f t="shared" si="37"/>
        <v>0</v>
      </c>
      <c r="BE48" s="24">
        <f t="shared" si="37"/>
        <v>0</v>
      </c>
      <c r="BF48" s="24">
        <f t="shared" si="37"/>
        <v>0</v>
      </c>
      <c r="BG48" s="24">
        <f t="shared" si="37"/>
        <v>0</v>
      </c>
      <c r="BH48" s="24">
        <f t="shared" si="37"/>
        <v>0</v>
      </c>
      <c r="BI48" s="24">
        <f t="shared" si="37"/>
        <v>0</v>
      </c>
      <c r="BJ48" s="24">
        <f t="shared" si="37"/>
        <v>0</v>
      </c>
      <c r="BK48" s="24">
        <f t="shared" si="37"/>
        <v>0</v>
      </c>
      <c r="BL48" s="24">
        <f t="shared" si="37"/>
        <v>0</v>
      </c>
      <c r="BM48" s="24">
        <f t="shared" si="37"/>
        <v>0</v>
      </c>
      <c r="BN48" s="24">
        <f t="shared" si="37"/>
        <v>0</v>
      </c>
      <c r="BO48" s="24">
        <f t="shared" si="37"/>
        <v>0</v>
      </c>
    </row>
    <row r="49" spans="4:69" x14ac:dyDescent="0.3">
      <c r="D49" s="23" t="s">
        <v>67</v>
      </c>
      <c r="E49" s="25"/>
      <c r="F49" s="24">
        <f t="shared" ref="F49:AK49" si="38">F25*35</f>
        <v>0</v>
      </c>
      <c r="G49" s="24">
        <f t="shared" si="38"/>
        <v>0</v>
      </c>
      <c r="H49" s="24">
        <f t="shared" si="38"/>
        <v>0</v>
      </c>
      <c r="I49" s="24">
        <f t="shared" si="38"/>
        <v>0</v>
      </c>
      <c r="J49" s="24">
        <f t="shared" si="38"/>
        <v>0</v>
      </c>
      <c r="K49" s="24">
        <f t="shared" si="38"/>
        <v>0</v>
      </c>
      <c r="L49" s="24">
        <f t="shared" si="38"/>
        <v>0</v>
      </c>
      <c r="M49" s="24">
        <f t="shared" si="38"/>
        <v>0</v>
      </c>
      <c r="N49" s="24">
        <f t="shared" si="38"/>
        <v>0</v>
      </c>
      <c r="O49" s="24">
        <f t="shared" si="38"/>
        <v>0</v>
      </c>
      <c r="P49" s="24">
        <f t="shared" si="38"/>
        <v>0</v>
      </c>
      <c r="Q49" s="24">
        <f t="shared" si="38"/>
        <v>0</v>
      </c>
      <c r="R49" s="24">
        <f t="shared" si="38"/>
        <v>0</v>
      </c>
      <c r="S49" s="24">
        <f t="shared" si="38"/>
        <v>0</v>
      </c>
      <c r="T49" s="24">
        <f t="shared" si="38"/>
        <v>0</v>
      </c>
      <c r="U49" s="24">
        <f t="shared" si="38"/>
        <v>0</v>
      </c>
      <c r="V49" s="24">
        <f t="shared" si="38"/>
        <v>0</v>
      </c>
      <c r="W49" s="24">
        <f t="shared" si="38"/>
        <v>0</v>
      </c>
      <c r="X49" s="24">
        <f t="shared" si="38"/>
        <v>0</v>
      </c>
      <c r="Y49" s="24">
        <f t="shared" si="38"/>
        <v>0</v>
      </c>
      <c r="Z49" s="24">
        <f t="shared" si="38"/>
        <v>0</v>
      </c>
      <c r="AA49" s="24">
        <f t="shared" si="38"/>
        <v>0</v>
      </c>
      <c r="AB49" s="24">
        <f t="shared" si="38"/>
        <v>0</v>
      </c>
      <c r="AC49" s="24">
        <f t="shared" si="38"/>
        <v>0</v>
      </c>
      <c r="AD49" s="24">
        <f t="shared" si="38"/>
        <v>0</v>
      </c>
      <c r="AE49" s="24">
        <f t="shared" si="38"/>
        <v>0</v>
      </c>
      <c r="AF49" s="24">
        <f t="shared" si="38"/>
        <v>0</v>
      </c>
      <c r="AG49" s="24">
        <f t="shared" si="38"/>
        <v>0</v>
      </c>
      <c r="AH49" s="24">
        <f t="shared" si="38"/>
        <v>0</v>
      </c>
      <c r="AI49" s="24">
        <f t="shared" si="38"/>
        <v>0</v>
      </c>
      <c r="AJ49" s="24">
        <f t="shared" si="38"/>
        <v>0</v>
      </c>
      <c r="AK49" s="24">
        <f t="shared" si="38"/>
        <v>0</v>
      </c>
      <c r="AL49" s="24">
        <f t="shared" ref="AL49:BO49" si="39">AL25*35</f>
        <v>0</v>
      </c>
      <c r="AM49" s="24">
        <f t="shared" si="39"/>
        <v>0</v>
      </c>
      <c r="AN49" s="24">
        <f t="shared" si="39"/>
        <v>0</v>
      </c>
      <c r="AO49" s="24">
        <f t="shared" si="39"/>
        <v>0</v>
      </c>
      <c r="AP49" s="24">
        <f t="shared" si="39"/>
        <v>0</v>
      </c>
      <c r="AQ49" s="24">
        <f t="shared" si="39"/>
        <v>0</v>
      </c>
      <c r="AR49" s="24">
        <f t="shared" si="39"/>
        <v>0</v>
      </c>
      <c r="AS49" s="24">
        <f t="shared" si="39"/>
        <v>0</v>
      </c>
      <c r="AT49" s="24">
        <f t="shared" si="39"/>
        <v>0</v>
      </c>
      <c r="AU49" s="24">
        <f t="shared" si="39"/>
        <v>0</v>
      </c>
      <c r="AV49" s="24">
        <f t="shared" si="39"/>
        <v>0</v>
      </c>
      <c r="AW49" s="24">
        <f t="shared" si="39"/>
        <v>35</v>
      </c>
      <c r="AX49" s="24">
        <f t="shared" si="39"/>
        <v>0</v>
      </c>
      <c r="AY49" s="24">
        <f t="shared" si="39"/>
        <v>0</v>
      </c>
      <c r="AZ49" s="24">
        <f t="shared" si="39"/>
        <v>0</v>
      </c>
      <c r="BA49" s="24">
        <f t="shared" si="39"/>
        <v>0</v>
      </c>
      <c r="BB49" s="24">
        <f t="shared" si="39"/>
        <v>0</v>
      </c>
      <c r="BC49" s="24">
        <f t="shared" si="39"/>
        <v>0</v>
      </c>
      <c r="BD49" s="24">
        <f t="shared" si="39"/>
        <v>0</v>
      </c>
      <c r="BE49" s="24">
        <f t="shared" si="39"/>
        <v>0</v>
      </c>
      <c r="BF49" s="24">
        <f t="shared" si="39"/>
        <v>0</v>
      </c>
      <c r="BG49" s="24">
        <f t="shared" si="39"/>
        <v>0</v>
      </c>
      <c r="BH49" s="24">
        <f t="shared" si="39"/>
        <v>0</v>
      </c>
      <c r="BI49" s="24">
        <f t="shared" si="39"/>
        <v>0</v>
      </c>
      <c r="BJ49" s="24">
        <f t="shared" si="39"/>
        <v>0</v>
      </c>
      <c r="BK49" s="24">
        <f t="shared" si="39"/>
        <v>0</v>
      </c>
      <c r="BL49" s="24">
        <f t="shared" si="39"/>
        <v>0</v>
      </c>
      <c r="BM49" s="24">
        <f t="shared" si="39"/>
        <v>0</v>
      </c>
      <c r="BN49" s="24">
        <f t="shared" si="39"/>
        <v>0</v>
      </c>
      <c r="BO49" s="24">
        <f t="shared" si="39"/>
        <v>0</v>
      </c>
    </row>
    <row r="50" spans="4:69" x14ac:dyDescent="0.3">
      <c r="D50" s="23" t="s">
        <v>72</v>
      </c>
      <c r="E50" s="25"/>
      <c r="F50" s="24">
        <f>F26*35</f>
        <v>0</v>
      </c>
      <c r="G50" s="24">
        <f t="shared" ref="G50:BO50" si="40">G26*35</f>
        <v>0</v>
      </c>
      <c r="H50" s="24">
        <f t="shared" si="40"/>
        <v>0</v>
      </c>
      <c r="I50" s="24">
        <f t="shared" si="40"/>
        <v>0</v>
      </c>
      <c r="J50" s="24">
        <f t="shared" si="40"/>
        <v>0</v>
      </c>
      <c r="K50" s="24">
        <f t="shared" si="40"/>
        <v>0</v>
      </c>
      <c r="L50" s="24">
        <f t="shared" si="40"/>
        <v>0</v>
      </c>
      <c r="M50" s="24">
        <f t="shared" si="40"/>
        <v>0</v>
      </c>
      <c r="N50" s="24">
        <f t="shared" si="40"/>
        <v>0</v>
      </c>
      <c r="O50" s="24">
        <f t="shared" si="40"/>
        <v>0</v>
      </c>
      <c r="P50" s="24">
        <f t="shared" si="40"/>
        <v>0</v>
      </c>
      <c r="Q50" s="24">
        <f t="shared" si="40"/>
        <v>0</v>
      </c>
      <c r="R50" s="24">
        <f t="shared" si="40"/>
        <v>0</v>
      </c>
      <c r="S50" s="24">
        <f t="shared" si="40"/>
        <v>0</v>
      </c>
      <c r="T50" s="24">
        <f t="shared" si="40"/>
        <v>0</v>
      </c>
      <c r="U50" s="24">
        <f t="shared" si="40"/>
        <v>0</v>
      </c>
      <c r="V50" s="24">
        <f t="shared" si="40"/>
        <v>0</v>
      </c>
      <c r="W50" s="24">
        <f t="shared" si="40"/>
        <v>0</v>
      </c>
      <c r="X50" s="24">
        <f t="shared" si="40"/>
        <v>0</v>
      </c>
      <c r="Y50" s="24">
        <f t="shared" si="40"/>
        <v>0</v>
      </c>
      <c r="Z50" s="24">
        <f t="shared" si="40"/>
        <v>0</v>
      </c>
      <c r="AA50" s="24">
        <f t="shared" si="40"/>
        <v>0</v>
      </c>
      <c r="AB50" s="24">
        <f t="shared" si="40"/>
        <v>0</v>
      </c>
      <c r="AC50" s="24">
        <f t="shared" si="40"/>
        <v>0</v>
      </c>
      <c r="AD50" s="24">
        <f t="shared" si="40"/>
        <v>0</v>
      </c>
      <c r="AE50" s="24">
        <f t="shared" si="40"/>
        <v>0</v>
      </c>
      <c r="AF50" s="24">
        <f t="shared" si="40"/>
        <v>0</v>
      </c>
      <c r="AG50" s="24">
        <f t="shared" si="40"/>
        <v>0</v>
      </c>
      <c r="AH50" s="24">
        <f t="shared" si="40"/>
        <v>0</v>
      </c>
      <c r="AI50" s="24">
        <f t="shared" si="40"/>
        <v>0</v>
      </c>
      <c r="AJ50" s="24">
        <f t="shared" si="40"/>
        <v>0</v>
      </c>
      <c r="AK50" s="24">
        <f t="shared" si="40"/>
        <v>0</v>
      </c>
      <c r="AL50" s="24">
        <f t="shared" si="40"/>
        <v>0</v>
      </c>
      <c r="AM50" s="24">
        <f t="shared" si="40"/>
        <v>0</v>
      </c>
      <c r="AN50" s="24">
        <f t="shared" si="40"/>
        <v>0</v>
      </c>
      <c r="AO50" s="24">
        <f t="shared" si="40"/>
        <v>0</v>
      </c>
      <c r="AP50" s="24">
        <f t="shared" si="40"/>
        <v>0</v>
      </c>
      <c r="AQ50" s="24">
        <f t="shared" si="40"/>
        <v>0</v>
      </c>
      <c r="AR50" s="24">
        <f t="shared" si="40"/>
        <v>0</v>
      </c>
      <c r="AS50" s="24">
        <f t="shared" si="40"/>
        <v>0</v>
      </c>
      <c r="AT50" s="24">
        <f t="shared" si="40"/>
        <v>0</v>
      </c>
      <c r="AU50" s="24">
        <f t="shared" si="40"/>
        <v>0</v>
      </c>
      <c r="AV50" s="24">
        <f t="shared" si="40"/>
        <v>0</v>
      </c>
      <c r="AW50" s="24">
        <f t="shared" si="40"/>
        <v>0</v>
      </c>
      <c r="AX50" s="24">
        <f t="shared" si="40"/>
        <v>0</v>
      </c>
      <c r="AY50" s="24">
        <f t="shared" si="40"/>
        <v>0</v>
      </c>
      <c r="AZ50" s="24">
        <f t="shared" si="40"/>
        <v>0</v>
      </c>
      <c r="BA50" s="24">
        <f t="shared" si="40"/>
        <v>0</v>
      </c>
      <c r="BB50" s="24">
        <f t="shared" si="40"/>
        <v>0</v>
      </c>
      <c r="BC50" s="24">
        <f t="shared" si="40"/>
        <v>0</v>
      </c>
      <c r="BD50" s="24">
        <f t="shared" si="40"/>
        <v>0</v>
      </c>
      <c r="BE50" s="24">
        <f t="shared" si="40"/>
        <v>0</v>
      </c>
      <c r="BF50" s="24">
        <f t="shared" si="40"/>
        <v>0</v>
      </c>
      <c r="BG50" s="24">
        <f t="shared" si="40"/>
        <v>0</v>
      </c>
      <c r="BH50" s="24">
        <f t="shared" si="40"/>
        <v>0</v>
      </c>
      <c r="BI50" s="24">
        <f t="shared" si="40"/>
        <v>0</v>
      </c>
      <c r="BJ50" s="24">
        <f t="shared" si="40"/>
        <v>0</v>
      </c>
      <c r="BK50" s="24">
        <f t="shared" si="40"/>
        <v>0</v>
      </c>
      <c r="BL50" s="24">
        <f t="shared" si="40"/>
        <v>0</v>
      </c>
      <c r="BM50" s="24">
        <f t="shared" si="40"/>
        <v>0</v>
      </c>
      <c r="BN50" s="24">
        <f t="shared" si="40"/>
        <v>0</v>
      </c>
      <c r="BO50" s="24">
        <f t="shared" si="40"/>
        <v>0</v>
      </c>
    </row>
    <row r="51" spans="4:69" x14ac:dyDescent="0.3">
      <c r="D51" s="23" t="s">
        <v>78</v>
      </c>
      <c r="E51" s="25"/>
      <c r="F51" s="24">
        <f t="shared" ref="F51:BO51" si="41">F27*15</f>
        <v>0</v>
      </c>
      <c r="G51" s="24">
        <f t="shared" si="41"/>
        <v>0</v>
      </c>
      <c r="H51" s="24">
        <f t="shared" si="41"/>
        <v>0</v>
      </c>
      <c r="I51" s="24">
        <f t="shared" si="41"/>
        <v>0</v>
      </c>
      <c r="J51" s="24">
        <f t="shared" si="41"/>
        <v>0</v>
      </c>
      <c r="K51" s="24">
        <f t="shared" si="41"/>
        <v>0</v>
      </c>
      <c r="L51" s="24">
        <f t="shared" si="41"/>
        <v>0</v>
      </c>
      <c r="M51" s="24">
        <f t="shared" si="41"/>
        <v>0</v>
      </c>
      <c r="N51" s="24">
        <f t="shared" si="41"/>
        <v>0</v>
      </c>
      <c r="O51" s="24">
        <f t="shared" si="41"/>
        <v>0</v>
      </c>
      <c r="P51" s="24">
        <f t="shared" si="41"/>
        <v>0</v>
      </c>
      <c r="Q51" s="24">
        <f t="shared" si="41"/>
        <v>0</v>
      </c>
      <c r="R51" s="24">
        <f t="shared" si="41"/>
        <v>0</v>
      </c>
      <c r="S51" s="24">
        <f t="shared" si="41"/>
        <v>0</v>
      </c>
      <c r="T51" s="24">
        <f t="shared" si="41"/>
        <v>0</v>
      </c>
      <c r="U51" s="24">
        <f t="shared" si="41"/>
        <v>0</v>
      </c>
      <c r="V51" s="24">
        <f t="shared" si="41"/>
        <v>0</v>
      </c>
      <c r="W51" s="24">
        <f t="shared" si="41"/>
        <v>0</v>
      </c>
      <c r="X51" s="24">
        <f t="shared" si="41"/>
        <v>0</v>
      </c>
      <c r="Y51" s="24">
        <f t="shared" si="41"/>
        <v>0</v>
      </c>
      <c r="Z51" s="24">
        <f t="shared" si="41"/>
        <v>0</v>
      </c>
      <c r="AA51" s="24">
        <f t="shared" si="41"/>
        <v>0</v>
      </c>
      <c r="AB51" s="24">
        <f t="shared" si="41"/>
        <v>0</v>
      </c>
      <c r="AC51" s="24">
        <f t="shared" si="41"/>
        <v>0</v>
      </c>
      <c r="AD51" s="24">
        <f t="shared" si="41"/>
        <v>0</v>
      </c>
      <c r="AE51" s="24">
        <f t="shared" si="41"/>
        <v>0</v>
      </c>
      <c r="AF51" s="24">
        <f t="shared" si="41"/>
        <v>0</v>
      </c>
      <c r="AG51" s="24">
        <f t="shared" si="41"/>
        <v>0</v>
      </c>
      <c r="AH51" s="24">
        <f t="shared" si="41"/>
        <v>0</v>
      </c>
      <c r="AI51" s="24">
        <f t="shared" si="41"/>
        <v>0</v>
      </c>
      <c r="AJ51" s="24">
        <f t="shared" si="41"/>
        <v>0</v>
      </c>
      <c r="AK51" s="24">
        <f t="shared" si="41"/>
        <v>0</v>
      </c>
      <c r="AL51" s="24">
        <f t="shared" si="41"/>
        <v>0</v>
      </c>
      <c r="AM51" s="24">
        <f t="shared" si="41"/>
        <v>0</v>
      </c>
      <c r="AN51" s="24">
        <f t="shared" si="41"/>
        <v>0</v>
      </c>
      <c r="AO51" s="24">
        <f t="shared" si="41"/>
        <v>0</v>
      </c>
      <c r="AP51" s="24">
        <f t="shared" si="41"/>
        <v>0</v>
      </c>
      <c r="AQ51" s="24">
        <f t="shared" si="41"/>
        <v>0</v>
      </c>
      <c r="AR51" s="24">
        <f t="shared" si="41"/>
        <v>0</v>
      </c>
      <c r="AS51" s="24">
        <f t="shared" si="41"/>
        <v>0</v>
      </c>
      <c r="AT51" s="24">
        <f t="shared" si="41"/>
        <v>0</v>
      </c>
      <c r="AU51" s="24">
        <f t="shared" si="41"/>
        <v>0</v>
      </c>
      <c r="AV51" s="24">
        <f t="shared" si="41"/>
        <v>0</v>
      </c>
      <c r="AW51" s="24">
        <f t="shared" si="41"/>
        <v>0</v>
      </c>
      <c r="AX51" s="24">
        <f t="shared" si="41"/>
        <v>0</v>
      </c>
      <c r="AY51" s="24">
        <f t="shared" si="41"/>
        <v>0</v>
      </c>
      <c r="AZ51" s="24">
        <f t="shared" si="41"/>
        <v>0</v>
      </c>
      <c r="BA51" s="24">
        <f t="shared" si="41"/>
        <v>0</v>
      </c>
      <c r="BB51" s="24">
        <f t="shared" si="41"/>
        <v>0</v>
      </c>
      <c r="BC51" s="24">
        <f t="shared" si="41"/>
        <v>0</v>
      </c>
      <c r="BD51" s="24">
        <f t="shared" si="41"/>
        <v>0</v>
      </c>
      <c r="BE51" s="24">
        <f t="shared" si="41"/>
        <v>0</v>
      </c>
      <c r="BF51" s="24">
        <f t="shared" si="41"/>
        <v>585</v>
      </c>
      <c r="BG51" s="24">
        <f t="shared" si="41"/>
        <v>0</v>
      </c>
      <c r="BH51" s="24">
        <f t="shared" si="41"/>
        <v>0</v>
      </c>
      <c r="BI51" s="24">
        <f t="shared" si="41"/>
        <v>0</v>
      </c>
      <c r="BJ51" s="24">
        <f t="shared" si="41"/>
        <v>0</v>
      </c>
      <c r="BK51" s="24">
        <f t="shared" si="41"/>
        <v>0</v>
      </c>
      <c r="BL51" s="24">
        <f t="shared" si="41"/>
        <v>0</v>
      </c>
      <c r="BM51" s="24">
        <f t="shared" si="41"/>
        <v>0</v>
      </c>
      <c r="BN51" s="24">
        <f t="shared" si="41"/>
        <v>0</v>
      </c>
      <c r="BO51" s="24">
        <f t="shared" si="41"/>
        <v>0</v>
      </c>
    </row>
    <row r="52" spans="4:69" x14ac:dyDescent="0.3">
      <c r="D52" s="26"/>
      <c r="E52" s="26" t="s">
        <v>73</v>
      </c>
      <c r="F52" s="27">
        <f t="shared" ref="F52:AK52" si="42">SUM(F30:F51)</f>
        <v>0</v>
      </c>
      <c r="G52" s="27">
        <f t="shared" si="42"/>
        <v>0</v>
      </c>
      <c r="H52" s="27">
        <f t="shared" si="42"/>
        <v>0</v>
      </c>
      <c r="I52" s="27">
        <f t="shared" si="42"/>
        <v>0</v>
      </c>
      <c r="J52" s="27">
        <f t="shared" si="42"/>
        <v>0</v>
      </c>
      <c r="K52" s="27">
        <f t="shared" si="42"/>
        <v>0</v>
      </c>
      <c r="L52" s="27">
        <f t="shared" si="42"/>
        <v>0</v>
      </c>
      <c r="M52" s="27">
        <f t="shared" si="42"/>
        <v>0</v>
      </c>
      <c r="N52" s="27">
        <f t="shared" si="42"/>
        <v>0</v>
      </c>
      <c r="O52" s="27">
        <f t="shared" si="42"/>
        <v>0</v>
      </c>
      <c r="P52" s="27">
        <f t="shared" si="42"/>
        <v>45</v>
      </c>
      <c r="Q52" s="27">
        <f t="shared" si="42"/>
        <v>315</v>
      </c>
      <c r="R52" s="27">
        <f t="shared" si="42"/>
        <v>0</v>
      </c>
      <c r="S52" s="27">
        <f t="shared" si="42"/>
        <v>0</v>
      </c>
      <c r="T52" s="27">
        <f t="shared" si="42"/>
        <v>120</v>
      </c>
      <c r="U52" s="27">
        <f t="shared" si="42"/>
        <v>0</v>
      </c>
      <c r="V52" s="27">
        <f t="shared" si="42"/>
        <v>525</v>
      </c>
      <c r="W52" s="27">
        <f t="shared" si="42"/>
        <v>0</v>
      </c>
      <c r="X52" s="27">
        <f t="shared" si="42"/>
        <v>1125</v>
      </c>
      <c r="Y52" s="27">
        <f t="shared" si="42"/>
        <v>0</v>
      </c>
      <c r="Z52" s="27">
        <f t="shared" si="42"/>
        <v>0</v>
      </c>
      <c r="AA52" s="27">
        <f t="shared" si="42"/>
        <v>0</v>
      </c>
      <c r="AB52" s="27">
        <f t="shared" si="42"/>
        <v>0</v>
      </c>
      <c r="AC52" s="27">
        <f t="shared" si="42"/>
        <v>0</v>
      </c>
      <c r="AD52" s="27">
        <f t="shared" si="42"/>
        <v>1525</v>
      </c>
      <c r="AE52" s="27">
        <f t="shared" si="42"/>
        <v>0</v>
      </c>
      <c r="AF52" s="27">
        <f t="shared" si="42"/>
        <v>0</v>
      </c>
      <c r="AG52" s="27">
        <f t="shared" si="42"/>
        <v>0</v>
      </c>
      <c r="AH52" s="27">
        <f t="shared" si="42"/>
        <v>0</v>
      </c>
      <c r="AI52" s="27">
        <f t="shared" si="42"/>
        <v>0</v>
      </c>
      <c r="AJ52" s="27">
        <f t="shared" si="42"/>
        <v>0</v>
      </c>
      <c r="AK52" s="27">
        <f t="shared" si="42"/>
        <v>0</v>
      </c>
      <c r="AL52" s="27">
        <f t="shared" ref="AL52:BO52" si="43">SUM(AL30:AL51)</f>
        <v>0</v>
      </c>
      <c r="AM52" s="27">
        <f t="shared" si="43"/>
        <v>0</v>
      </c>
      <c r="AN52" s="27">
        <f t="shared" si="43"/>
        <v>0</v>
      </c>
      <c r="AO52" s="27">
        <f t="shared" si="43"/>
        <v>0</v>
      </c>
      <c r="AP52" s="27">
        <f t="shared" si="43"/>
        <v>0</v>
      </c>
      <c r="AQ52" s="27">
        <f t="shared" si="43"/>
        <v>0</v>
      </c>
      <c r="AR52" s="27">
        <f t="shared" si="43"/>
        <v>0</v>
      </c>
      <c r="AS52" s="27">
        <f t="shared" si="43"/>
        <v>0</v>
      </c>
      <c r="AT52" s="27">
        <f t="shared" si="43"/>
        <v>0</v>
      </c>
      <c r="AU52" s="27">
        <f t="shared" si="43"/>
        <v>0</v>
      </c>
      <c r="AV52" s="27">
        <f t="shared" si="43"/>
        <v>0</v>
      </c>
      <c r="AW52" s="27">
        <f t="shared" si="43"/>
        <v>105</v>
      </c>
      <c r="AX52" s="27">
        <f t="shared" si="43"/>
        <v>0</v>
      </c>
      <c r="AY52" s="27">
        <f t="shared" si="43"/>
        <v>0</v>
      </c>
      <c r="AZ52" s="27">
        <f t="shared" si="43"/>
        <v>0</v>
      </c>
      <c r="BA52" s="27">
        <f t="shared" si="43"/>
        <v>0</v>
      </c>
      <c r="BB52" s="27">
        <f t="shared" si="43"/>
        <v>0</v>
      </c>
      <c r="BC52" s="27">
        <f t="shared" si="43"/>
        <v>0</v>
      </c>
      <c r="BD52" s="27">
        <f t="shared" si="43"/>
        <v>0</v>
      </c>
      <c r="BE52" s="27">
        <f t="shared" si="43"/>
        <v>0</v>
      </c>
      <c r="BF52" s="27">
        <f t="shared" si="43"/>
        <v>1095</v>
      </c>
      <c r="BG52" s="27">
        <f t="shared" si="43"/>
        <v>15</v>
      </c>
      <c r="BH52" s="27">
        <f t="shared" si="43"/>
        <v>675</v>
      </c>
      <c r="BI52" s="27">
        <f t="shared" si="43"/>
        <v>30</v>
      </c>
      <c r="BJ52" s="27">
        <f t="shared" si="43"/>
        <v>225</v>
      </c>
      <c r="BK52" s="27">
        <f t="shared" si="43"/>
        <v>0</v>
      </c>
      <c r="BL52" s="27">
        <f t="shared" si="43"/>
        <v>0</v>
      </c>
      <c r="BM52" s="27">
        <f t="shared" si="43"/>
        <v>0</v>
      </c>
      <c r="BN52" s="27">
        <f t="shared" si="43"/>
        <v>0</v>
      </c>
      <c r="BO52" s="27">
        <f t="shared" si="43"/>
        <v>0</v>
      </c>
      <c r="BP52" s="24">
        <f>SUM(F52:BO52)</f>
        <v>5800</v>
      </c>
      <c r="BQ52" s="24"/>
    </row>
    <row r="54" spans="4:69" x14ac:dyDescent="0.3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4:69" x14ac:dyDescent="0.3">
      <c r="F55" s="8" t="s">
        <v>8</v>
      </c>
      <c r="G55" s="8" t="s">
        <v>11</v>
      </c>
      <c r="H55" s="8" t="s">
        <v>12</v>
      </c>
      <c r="I55" s="8">
        <v>55</v>
      </c>
      <c r="J55" s="8">
        <v>1</v>
      </c>
      <c r="AR55" s="29"/>
      <c r="AS55" s="29"/>
      <c r="AT55" s="29"/>
    </row>
    <row r="56" spans="4:69" x14ac:dyDescent="0.3">
      <c r="F56" s="8" t="s">
        <v>13</v>
      </c>
      <c r="G56" s="8" t="s">
        <v>16</v>
      </c>
      <c r="H56" s="8" t="s">
        <v>12</v>
      </c>
      <c r="I56" s="8">
        <v>72</v>
      </c>
      <c r="J56" s="8">
        <v>0</v>
      </c>
    </row>
    <row r="57" spans="4:69" x14ac:dyDescent="0.3">
      <c r="F57" s="8" t="s">
        <v>17</v>
      </c>
      <c r="G57" s="8" t="s">
        <v>20</v>
      </c>
      <c r="H57" s="8" t="s">
        <v>12</v>
      </c>
      <c r="I57" s="8">
        <v>41</v>
      </c>
      <c r="J57" s="8">
        <v>2</v>
      </c>
    </row>
    <row r="58" spans="4:69" x14ac:dyDescent="0.3">
      <c r="F58" s="8" t="s">
        <v>21</v>
      </c>
      <c r="G58" s="8" t="s">
        <v>24</v>
      </c>
      <c r="H58" s="8" t="s">
        <v>25</v>
      </c>
      <c r="I58" s="30">
        <v>15</v>
      </c>
      <c r="J58" s="8">
        <v>0</v>
      </c>
    </row>
    <row r="59" spans="4:69" x14ac:dyDescent="0.3">
      <c r="F59" s="8" t="s">
        <v>26</v>
      </c>
      <c r="G59" s="8" t="s">
        <v>29</v>
      </c>
      <c r="H59" s="8" t="s">
        <v>12</v>
      </c>
      <c r="I59" s="8">
        <v>14</v>
      </c>
      <c r="J59" s="8">
        <v>0</v>
      </c>
    </row>
    <row r="60" spans="4:69" x14ac:dyDescent="0.3">
      <c r="F60" s="8" t="s">
        <v>30</v>
      </c>
      <c r="G60" s="8" t="s">
        <v>32</v>
      </c>
      <c r="H60" s="8" t="s">
        <v>25</v>
      </c>
      <c r="I60" s="8">
        <v>22</v>
      </c>
      <c r="J60" s="8">
        <v>0</v>
      </c>
    </row>
    <row r="61" spans="4:69" x14ac:dyDescent="0.3">
      <c r="F61" s="8" t="s">
        <v>33</v>
      </c>
      <c r="G61" s="8" t="s">
        <v>75</v>
      </c>
      <c r="H61" s="8" t="s">
        <v>35</v>
      </c>
      <c r="I61" s="8">
        <v>0</v>
      </c>
      <c r="J61" s="8">
        <v>0</v>
      </c>
    </row>
    <row r="62" spans="4:69" x14ac:dyDescent="0.3">
      <c r="F62" s="8" t="s">
        <v>36</v>
      </c>
      <c r="G62" s="8" t="s">
        <v>38</v>
      </c>
      <c r="H62" s="8" t="s">
        <v>35</v>
      </c>
      <c r="I62" s="8">
        <v>0</v>
      </c>
      <c r="J62" s="8">
        <v>0</v>
      </c>
    </row>
    <row r="63" spans="4:69" x14ac:dyDescent="0.3">
      <c r="F63" s="8" t="s">
        <v>39</v>
      </c>
      <c r="G63" s="8" t="s">
        <v>41</v>
      </c>
      <c r="H63" s="8" t="s">
        <v>42</v>
      </c>
      <c r="I63" s="8">
        <v>17</v>
      </c>
      <c r="J63" s="8">
        <v>0</v>
      </c>
    </row>
    <row r="64" spans="4:69" x14ac:dyDescent="0.3">
      <c r="F64" s="8" t="s">
        <v>43</v>
      </c>
      <c r="G64" s="8" t="s">
        <v>45</v>
      </c>
      <c r="H64" s="8" t="s">
        <v>45</v>
      </c>
      <c r="I64" s="8">
        <v>0</v>
      </c>
      <c r="J64" s="8">
        <v>0</v>
      </c>
    </row>
    <row r="65" spans="6:10" x14ac:dyDescent="0.3">
      <c r="F65" s="8" t="s">
        <v>46</v>
      </c>
      <c r="G65" s="8" t="s">
        <v>47</v>
      </c>
      <c r="H65" s="8" t="s">
        <v>48</v>
      </c>
      <c r="I65" s="8">
        <v>0</v>
      </c>
      <c r="J65" s="8">
        <v>0</v>
      </c>
    </row>
    <row r="66" spans="6:10" x14ac:dyDescent="0.3">
      <c r="F66" s="8" t="s">
        <v>49</v>
      </c>
      <c r="G66" s="8" t="s">
        <v>50</v>
      </c>
      <c r="H66" s="8" t="s">
        <v>50</v>
      </c>
      <c r="I66" s="8">
        <v>14</v>
      </c>
      <c r="J66" s="8">
        <v>0</v>
      </c>
    </row>
    <row r="67" spans="6:10" x14ac:dyDescent="0.3">
      <c r="F67" s="16" t="s">
        <v>51</v>
      </c>
      <c r="G67" s="16" t="s">
        <v>52</v>
      </c>
      <c r="H67" s="16" t="s">
        <v>52</v>
      </c>
      <c r="I67" s="8">
        <v>0</v>
      </c>
      <c r="J67" s="8">
        <v>0</v>
      </c>
    </row>
    <row r="68" spans="6:10" x14ac:dyDescent="0.3">
      <c r="F68" s="16" t="s">
        <v>53</v>
      </c>
      <c r="G68" s="16" t="s">
        <v>54</v>
      </c>
      <c r="H68" s="16" t="s">
        <v>54</v>
      </c>
      <c r="I68" s="8">
        <v>0</v>
      </c>
      <c r="J68" s="8">
        <v>1</v>
      </c>
    </row>
    <row r="69" spans="6:10" x14ac:dyDescent="0.3">
      <c r="F69" s="16" t="s">
        <v>55</v>
      </c>
      <c r="G69" s="16" t="s">
        <v>56</v>
      </c>
      <c r="H69" s="16" t="s">
        <v>56</v>
      </c>
      <c r="I69" s="8">
        <v>0</v>
      </c>
      <c r="J69" s="8">
        <v>0</v>
      </c>
    </row>
    <row r="70" spans="6:10" x14ac:dyDescent="0.3">
      <c r="F70" s="16" t="s">
        <v>57</v>
      </c>
      <c r="G70" s="16" t="s">
        <v>58</v>
      </c>
      <c r="H70" s="16" t="s">
        <v>58</v>
      </c>
      <c r="I70" s="8">
        <v>0</v>
      </c>
      <c r="J70" s="8">
        <v>1</v>
      </c>
    </row>
    <row r="71" spans="6:10" x14ac:dyDescent="0.3">
      <c r="F71" s="16" t="s">
        <v>59</v>
      </c>
      <c r="G71" s="16" t="s">
        <v>60</v>
      </c>
      <c r="H71" s="16" t="s">
        <v>60</v>
      </c>
      <c r="I71" s="31">
        <v>0</v>
      </c>
      <c r="J71" s="8">
        <v>0</v>
      </c>
    </row>
    <row r="72" spans="6:10" x14ac:dyDescent="0.3">
      <c r="F72" s="16" t="s">
        <v>61</v>
      </c>
      <c r="G72" s="16" t="s">
        <v>76</v>
      </c>
      <c r="H72" s="16" t="s">
        <v>64</v>
      </c>
      <c r="I72" s="31">
        <v>10</v>
      </c>
      <c r="J72" s="8">
        <v>0</v>
      </c>
    </row>
    <row r="73" spans="6:10" x14ac:dyDescent="0.3">
      <c r="F73" s="16" t="s">
        <v>65</v>
      </c>
      <c r="G73" s="16" t="s">
        <v>69</v>
      </c>
      <c r="H73" s="16" t="s">
        <v>69</v>
      </c>
      <c r="I73" s="8">
        <v>1</v>
      </c>
      <c r="J73" s="8">
        <v>7</v>
      </c>
    </row>
    <row r="74" spans="6:10" x14ac:dyDescent="0.3">
      <c r="F74" s="16" t="s">
        <v>68</v>
      </c>
      <c r="G74" s="16" t="s">
        <v>67</v>
      </c>
      <c r="H74" s="16" t="s">
        <v>67</v>
      </c>
      <c r="I74" s="8">
        <v>0</v>
      </c>
      <c r="J74" s="8">
        <v>1</v>
      </c>
    </row>
    <row r="75" spans="6:10" x14ac:dyDescent="0.3">
      <c r="F75" s="16" t="s">
        <v>70</v>
      </c>
      <c r="G75" s="16" t="s">
        <v>72</v>
      </c>
      <c r="H75" s="16" t="s">
        <v>72</v>
      </c>
      <c r="I75" s="8">
        <v>0</v>
      </c>
      <c r="J75" s="8">
        <v>0</v>
      </c>
    </row>
    <row r="76" spans="6:10" x14ac:dyDescent="0.3">
      <c r="F76" s="16" t="s">
        <v>78</v>
      </c>
      <c r="G76" s="16" t="s">
        <v>12</v>
      </c>
      <c r="H76" s="16" t="s">
        <v>12</v>
      </c>
      <c r="I76" s="8">
        <v>39</v>
      </c>
      <c r="J76" s="8">
        <v>0</v>
      </c>
    </row>
    <row r="77" spans="6:10" x14ac:dyDescent="0.3">
      <c r="F77" s="32"/>
      <c r="G77" s="33" t="s">
        <v>77</v>
      </c>
      <c r="H77" s="34"/>
      <c r="I77" s="60">
        <v>680911.3</v>
      </c>
      <c r="J77" s="60"/>
    </row>
  </sheetData>
  <mergeCells count="37"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AT4:AU4"/>
    <mergeCell ref="AV4:AW4"/>
    <mergeCell ref="AX4:AY4"/>
    <mergeCell ref="AB4:AC4"/>
    <mergeCell ref="AD4:AE4"/>
    <mergeCell ref="AF4:AG4"/>
    <mergeCell ref="AH4:AI4"/>
    <mergeCell ref="AJ4:AK4"/>
    <mergeCell ref="AL4:AM4"/>
    <mergeCell ref="I77:J77"/>
    <mergeCell ref="BL4:BM4"/>
    <mergeCell ref="BN4:BO4"/>
    <mergeCell ref="D30:E30"/>
    <mergeCell ref="D31:E31"/>
    <mergeCell ref="D32:E32"/>
    <mergeCell ref="D33:E33"/>
    <mergeCell ref="AZ4:BA4"/>
    <mergeCell ref="BB4:BC4"/>
    <mergeCell ref="BD4:BE4"/>
    <mergeCell ref="BF4:BG4"/>
    <mergeCell ref="BH4:BI4"/>
    <mergeCell ref="BJ4:BK4"/>
    <mergeCell ref="AN4:AO4"/>
    <mergeCell ref="AP4:AQ4"/>
    <mergeCell ref="AR4:AS4"/>
  </mergeCells>
  <hyperlinks>
    <hyperlink ref="C8" r:id="rId1" xr:uid="{CDF6F9BF-2BAD-4EDB-87F4-0460AA1F7547}"/>
    <hyperlink ref="C10" r:id="rId2" xr:uid="{8271D8D5-C4AC-4641-B2E0-C6DB32FB86FF}"/>
    <hyperlink ref="C15" r:id="rId3" xr:uid="{131C8E0C-D0AF-4434-A97A-16BBBB05B0B3}"/>
    <hyperlink ref="C7" r:id="rId4" xr:uid="{51298CD8-96F4-4EFB-973E-9085373604BA}"/>
    <hyperlink ref="C13" r:id="rId5" xr:uid="{A64E20F8-4053-43C2-90DF-7372518899CA}"/>
    <hyperlink ref="C23" r:id="rId6" display="mailto:bigcacak@madamecoco.com" xr:uid="{111238DD-95EB-469B-9A4B-77AD73DEA9F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D81C1-70C7-48CC-8056-2F926D61E201}">
  <dimension ref="A3:BQ77"/>
  <sheetViews>
    <sheetView topLeftCell="AS37" workbookViewId="0">
      <selection activeCell="I78" sqref="I78"/>
    </sheetView>
  </sheetViews>
  <sheetFormatPr defaultRowHeight="14.4" x14ac:dyDescent="0.3"/>
  <cols>
    <col min="1" max="1" width="23.109375" customWidth="1"/>
    <col min="2" max="2" width="14.44140625" customWidth="1"/>
    <col min="3" max="3" width="31.6640625" customWidth="1"/>
    <col min="4" max="4" width="19.44140625" customWidth="1"/>
    <col min="5" max="5" width="17.6640625" customWidth="1"/>
    <col min="6" max="6" width="12.88671875" customWidth="1"/>
    <col min="7" max="7" width="17.88671875" customWidth="1"/>
    <col min="8" max="8" width="14.33203125" customWidth="1"/>
    <col min="9" max="9" width="11.33203125" customWidth="1"/>
    <col min="10" max="10" width="12.44140625" customWidth="1"/>
    <col min="12" max="12" width="13.88671875" customWidth="1"/>
    <col min="13" max="13" width="11.21875" customWidth="1"/>
    <col min="14" max="14" width="12.33203125" customWidth="1"/>
    <col min="15" max="15" width="14.44140625" customWidth="1"/>
    <col min="16" max="16" width="13.6640625" customWidth="1"/>
    <col min="17" max="17" width="12" customWidth="1"/>
    <col min="18" max="18" width="10.6640625" customWidth="1"/>
    <col min="20" max="20" width="11.6640625" customWidth="1"/>
    <col min="22" max="22" width="13.77734375" customWidth="1"/>
    <col min="23" max="23" width="12.5546875" customWidth="1"/>
    <col min="24" max="24" width="13.44140625" customWidth="1"/>
    <col min="26" max="26" width="12.33203125" customWidth="1"/>
    <col min="28" max="28" width="11.6640625" customWidth="1"/>
    <col min="30" max="30" width="12.33203125" customWidth="1"/>
    <col min="31" max="31" width="10.44140625" customWidth="1"/>
    <col min="32" max="32" width="13.88671875" customWidth="1"/>
    <col min="33" max="33" width="9.77734375" customWidth="1"/>
    <col min="34" max="34" width="10.33203125" customWidth="1"/>
    <col min="35" max="35" width="10.5546875" customWidth="1"/>
    <col min="36" max="36" width="11.109375" customWidth="1"/>
    <col min="37" max="37" width="10.33203125" customWidth="1"/>
    <col min="38" max="38" width="13.21875" customWidth="1"/>
    <col min="39" max="39" width="11.88671875" customWidth="1"/>
    <col min="40" max="40" width="12.109375" customWidth="1"/>
    <col min="42" max="42" width="13.88671875" customWidth="1"/>
    <col min="43" max="43" width="11.21875" customWidth="1"/>
    <col min="44" max="44" width="12.109375" customWidth="1"/>
    <col min="46" max="46" width="12.21875" customWidth="1"/>
    <col min="47" max="47" width="10.5546875" customWidth="1"/>
    <col min="48" max="48" width="11.6640625" customWidth="1"/>
    <col min="49" max="49" width="14.77734375" customWidth="1"/>
    <col min="50" max="50" width="10.44140625" customWidth="1"/>
    <col min="51" max="51" width="11.5546875" customWidth="1"/>
    <col min="52" max="52" width="14.109375" customWidth="1"/>
    <col min="54" max="54" width="12" customWidth="1"/>
    <col min="56" max="56" width="13.6640625" customWidth="1"/>
    <col min="57" max="57" width="9.88671875" customWidth="1"/>
    <col min="58" max="58" width="12" customWidth="1"/>
    <col min="59" max="59" width="10.6640625" customWidth="1"/>
    <col min="60" max="60" width="12.6640625" customWidth="1"/>
    <col min="61" max="61" width="11.77734375" customWidth="1"/>
    <col min="62" max="62" width="12.6640625" customWidth="1"/>
    <col min="64" max="64" width="11.5546875" customWidth="1"/>
    <col min="65" max="65" width="11.44140625" customWidth="1"/>
    <col min="66" max="66" width="14.21875" customWidth="1"/>
    <col min="68" max="68" width="17.21875" customWidth="1"/>
    <col min="69" max="69" width="10.88671875" customWidth="1"/>
  </cols>
  <sheetData>
    <row r="3" spans="1:61" ht="18" x14ac:dyDescent="0.35">
      <c r="A3" s="61"/>
      <c r="B3" s="61"/>
      <c r="C3" s="1" t="s">
        <v>0</v>
      </c>
    </row>
    <row r="4" spans="1:61" x14ac:dyDescent="0.3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57">
        <v>46054</v>
      </c>
      <c r="G4" s="58"/>
      <c r="H4" s="57">
        <v>46055</v>
      </c>
      <c r="I4" s="58"/>
      <c r="J4" s="57">
        <v>46056</v>
      </c>
      <c r="K4" s="58"/>
      <c r="L4" s="57">
        <v>46057</v>
      </c>
      <c r="M4" s="58"/>
      <c r="N4" s="57">
        <v>46058</v>
      </c>
      <c r="O4" s="58"/>
      <c r="P4" s="57">
        <v>46059</v>
      </c>
      <c r="Q4" s="58"/>
      <c r="R4" s="57">
        <v>46060</v>
      </c>
      <c r="S4" s="58"/>
      <c r="T4" s="57">
        <v>46061</v>
      </c>
      <c r="U4" s="58"/>
      <c r="V4" s="57">
        <v>46062</v>
      </c>
      <c r="W4" s="58"/>
      <c r="X4" s="57">
        <v>46063</v>
      </c>
      <c r="Y4" s="58"/>
      <c r="Z4" s="57">
        <v>46064</v>
      </c>
      <c r="AA4" s="58"/>
      <c r="AB4" s="57">
        <v>46065</v>
      </c>
      <c r="AC4" s="58"/>
      <c r="AD4" s="57">
        <v>46066</v>
      </c>
      <c r="AE4" s="58"/>
      <c r="AF4" s="57">
        <v>46067</v>
      </c>
      <c r="AG4" s="58"/>
      <c r="AH4" s="57">
        <v>46068</v>
      </c>
      <c r="AI4" s="58"/>
      <c r="AJ4" s="57">
        <v>46069</v>
      </c>
      <c r="AK4" s="58"/>
      <c r="AL4" s="57">
        <v>46070</v>
      </c>
      <c r="AM4" s="58"/>
      <c r="AN4" s="57">
        <v>46071</v>
      </c>
      <c r="AO4" s="58"/>
      <c r="AP4" s="57">
        <v>46072</v>
      </c>
      <c r="AQ4" s="58"/>
      <c r="AR4" s="57">
        <v>46073</v>
      </c>
      <c r="AS4" s="58"/>
      <c r="AT4" s="57">
        <v>46074</v>
      </c>
      <c r="AU4" s="58"/>
      <c r="AV4" s="57">
        <v>46075</v>
      </c>
      <c r="AW4" s="58"/>
      <c r="AX4" s="57">
        <v>46076</v>
      </c>
      <c r="AY4" s="58"/>
      <c r="AZ4" s="57">
        <v>46077</v>
      </c>
      <c r="BA4" s="58"/>
      <c r="BB4" s="57">
        <v>46078</v>
      </c>
      <c r="BC4" s="58"/>
      <c r="BD4" s="57">
        <v>46079</v>
      </c>
      <c r="BE4" s="58"/>
      <c r="BF4" s="57">
        <v>46080</v>
      </c>
      <c r="BG4" s="58"/>
      <c r="BH4" s="57">
        <v>46081</v>
      </c>
      <c r="BI4" s="58"/>
    </row>
    <row r="5" spans="1:61" x14ac:dyDescent="0.3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40" t="s">
        <v>6</v>
      </c>
      <c r="K5" s="40" t="s">
        <v>7</v>
      </c>
      <c r="L5" s="40" t="s">
        <v>6</v>
      </c>
      <c r="M5" s="40" t="s">
        <v>7</v>
      </c>
      <c r="N5" s="4" t="s">
        <v>6</v>
      </c>
      <c r="O5" s="4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35" t="s">
        <v>6</v>
      </c>
      <c r="Y5" s="35" t="s">
        <v>7</v>
      </c>
      <c r="Z5" s="35" t="s">
        <v>6</v>
      </c>
      <c r="AA5" s="35" t="s">
        <v>7</v>
      </c>
      <c r="AB5" s="4" t="s">
        <v>6</v>
      </c>
      <c r="AC5" s="4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35" t="s">
        <v>6</v>
      </c>
      <c r="AM5" s="35" t="s">
        <v>7</v>
      </c>
      <c r="AN5" s="35" t="s">
        <v>6</v>
      </c>
      <c r="AO5" s="35" t="s">
        <v>7</v>
      </c>
      <c r="AP5" s="4" t="s">
        <v>6</v>
      </c>
      <c r="AQ5" s="4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35" t="s">
        <v>6</v>
      </c>
      <c r="BA5" s="35" t="s">
        <v>7</v>
      </c>
      <c r="BB5" s="35" t="s">
        <v>6</v>
      </c>
      <c r="BC5" s="35" t="s">
        <v>7</v>
      </c>
      <c r="BD5" s="4" t="s">
        <v>6</v>
      </c>
      <c r="BE5" s="4" t="s">
        <v>7</v>
      </c>
      <c r="BF5" s="5" t="s">
        <v>6</v>
      </c>
      <c r="BG5" s="5" t="s">
        <v>7</v>
      </c>
      <c r="BH5" s="5" t="s">
        <v>6</v>
      </c>
      <c r="BI5" s="5" t="s">
        <v>7</v>
      </c>
    </row>
    <row r="6" spans="1:61" x14ac:dyDescent="0.3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41"/>
      <c r="G6" s="42"/>
      <c r="H6" s="10"/>
      <c r="I6" s="10"/>
      <c r="J6" s="10"/>
      <c r="K6" s="10"/>
      <c r="L6" s="10"/>
      <c r="M6" s="10"/>
      <c r="N6" s="10">
        <v>2</v>
      </c>
      <c r="O6" s="10"/>
      <c r="P6" s="10"/>
      <c r="Q6" s="10"/>
      <c r="R6" s="42"/>
      <c r="S6" s="42"/>
      <c r="T6" s="42"/>
      <c r="U6" s="42"/>
      <c r="V6" s="10"/>
      <c r="W6" s="10"/>
      <c r="X6" s="10"/>
      <c r="Y6" s="10"/>
      <c r="Z6" s="10">
        <v>17</v>
      </c>
      <c r="AA6" s="10"/>
      <c r="AB6" s="10"/>
      <c r="AC6" s="10"/>
      <c r="AD6" s="10"/>
      <c r="AE6" s="10"/>
      <c r="AF6" s="42">
        <v>3</v>
      </c>
      <c r="AG6" s="42"/>
      <c r="AH6" s="42"/>
      <c r="AI6" s="42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42"/>
      <c r="AU6" s="42"/>
      <c r="AV6" s="42"/>
      <c r="AW6" s="42"/>
      <c r="AX6" s="10"/>
      <c r="AY6" s="10"/>
      <c r="AZ6" s="10"/>
      <c r="BA6" s="10"/>
      <c r="BB6" s="10"/>
      <c r="BC6" s="10"/>
      <c r="BD6" s="10">
        <v>18</v>
      </c>
      <c r="BE6" s="10"/>
      <c r="BF6" s="10">
        <v>10</v>
      </c>
      <c r="BG6" s="10"/>
      <c r="BH6" s="42"/>
      <c r="BI6" s="42"/>
    </row>
    <row r="7" spans="1:61" x14ac:dyDescent="0.3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41"/>
      <c r="G7" s="42"/>
      <c r="H7" s="10"/>
      <c r="I7" s="10"/>
      <c r="J7" s="10"/>
      <c r="K7" s="10"/>
      <c r="L7" s="10"/>
      <c r="M7" s="10"/>
      <c r="N7" s="10">
        <v>1</v>
      </c>
      <c r="O7" s="10"/>
      <c r="P7" s="10"/>
      <c r="Q7" s="10"/>
      <c r="R7" s="42"/>
      <c r="S7" s="42"/>
      <c r="T7" s="42"/>
      <c r="U7" s="42"/>
      <c r="V7" s="10"/>
      <c r="W7" s="10"/>
      <c r="X7" s="10"/>
      <c r="Y7" s="10"/>
      <c r="Z7" s="10">
        <v>17</v>
      </c>
      <c r="AA7" s="10"/>
      <c r="AB7" s="10"/>
      <c r="AC7" s="10"/>
      <c r="AD7" s="10"/>
      <c r="AE7" s="10"/>
      <c r="AF7" s="42"/>
      <c r="AG7" s="42"/>
      <c r="AH7" s="42"/>
      <c r="AI7" s="42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42"/>
      <c r="AU7" s="42"/>
      <c r="AV7" s="42"/>
      <c r="AW7" s="42"/>
      <c r="AX7" s="10"/>
      <c r="AY7" s="10"/>
      <c r="AZ7" s="10"/>
      <c r="BA7" s="10"/>
      <c r="BB7" s="10"/>
      <c r="BC7" s="10"/>
      <c r="BD7" s="10">
        <v>18</v>
      </c>
      <c r="BE7" s="10"/>
      <c r="BF7" s="10">
        <v>8</v>
      </c>
      <c r="BG7" s="10"/>
      <c r="BH7" s="42"/>
      <c r="BI7" s="42"/>
    </row>
    <row r="8" spans="1:61" x14ac:dyDescent="0.3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41"/>
      <c r="G8" s="42"/>
      <c r="H8" s="10"/>
      <c r="I8" s="10"/>
      <c r="J8" s="10"/>
      <c r="K8" s="10"/>
      <c r="L8" s="10"/>
      <c r="M8" s="10"/>
      <c r="N8" s="10">
        <v>4</v>
      </c>
      <c r="O8" s="10"/>
      <c r="P8" s="10"/>
      <c r="Q8" s="10"/>
      <c r="R8" s="42"/>
      <c r="S8" s="42"/>
      <c r="T8" s="42"/>
      <c r="U8" s="42"/>
      <c r="V8" s="10"/>
      <c r="W8" s="10"/>
      <c r="X8" s="10"/>
      <c r="Y8" s="10"/>
      <c r="Z8" s="10">
        <v>13</v>
      </c>
      <c r="AA8" s="10"/>
      <c r="AB8" s="10"/>
      <c r="AC8" s="10"/>
      <c r="AD8" s="10"/>
      <c r="AE8" s="10"/>
      <c r="AF8" s="42"/>
      <c r="AG8" s="42"/>
      <c r="AH8" s="42"/>
      <c r="AI8" s="42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42"/>
      <c r="AU8" s="42"/>
      <c r="AV8" s="42"/>
      <c r="AW8" s="42"/>
      <c r="AX8" s="10"/>
      <c r="AY8" s="10"/>
      <c r="AZ8" s="10"/>
      <c r="BA8" s="10"/>
      <c r="BB8" s="10"/>
      <c r="BC8" s="10"/>
      <c r="BD8" s="10"/>
      <c r="BE8" s="10"/>
      <c r="BF8" s="10">
        <v>10</v>
      </c>
      <c r="BG8" s="10"/>
      <c r="BH8" s="42">
        <v>7</v>
      </c>
      <c r="BI8" s="42"/>
    </row>
    <row r="9" spans="1:61" x14ac:dyDescent="0.3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41"/>
      <c r="G9" s="42"/>
      <c r="H9" s="10"/>
      <c r="I9" s="10"/>
      <c r="J9" s="10"/>
      <c r="K9" s="10"/>
      <c r="L9" s="10"/>
      <c r="M9" s="10"/>
      <c r="N9" s="10">
        <v>3</v>
      </c>
      <c r="O9" s="10"/>
      <c r="P9" s="10"/>
      <c r="Q9" s="10"/>
      <c r="R9" s="42"/>
      <c r="S9" s="42"/>
      <c r="T9" s="42"/>
      <c r="U9" s="42"/>
      <c r="V9" s="10"/>
      <c r="W9" s="10"/>
      <c r="X9" s="10"/>
      <c r="Y9" s="10"/>
      <c r="Z9" s="10"/>
      <c r="AA9" s="10"/>
      <c r="AB9" s="10">
        <v>10</v>
      </c>
      <c r="AC9" s="10"/>
      <c r="AD9" s="10">
        <v>10</v>
      </c>
      <c r="AE9" s="10"/>
      <c r="AF9" s="42"/>
      <c r="AG9" s="42"/>
      <c r="AH9" s="42"/>
      <c r="AI9" s="42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42"/>
      <c r="AU9" s="42"/>
      <c r="AV9" s="42"/>
      <c r="AW9" s="42"/>
      <c r="AX9" s="10"/>
      <c r="AY9" s="10"/>
      <c r="AZ9" s="10"/>
      <c r="BA9" s="10"/>
      <c r="BB9" s="10"/>
      <c r="BC9" s="10"/>
      <c r="BD9" s="10"/>
      <c r="BE9" s="10"/>
      <c r="BF9" s="10">
        <v>11</v>
      </c>
      <c r="BG9" s="10"/>
      <c r="BH9" s="42"/>
      <c r="BI9" s="42"/>
    </row>
    <row r="10" spans="1:61" x14ac:dyDescent="0.3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41"/>
      <c r="G10" s="42"/>
      <c r="H10" s="10"/>
      <c r="I10" s="12"/>
      <c r="J10" s="10"/>
      <c r="K10" s="12"/>
      <c r="L10" s="10"/>
      <c r="M10" s="12"/>
      <c r="N10" s="10">
        <v>2</v>
      </c>
      <c r="O10" s="12"/>
      <c r="P10" s="10"/>
      <c r="Q10" s="12"/>
      <c r="R10" s="44"/>
      <c r="S10" s="44"/>
      <c r="T10" s="44"/>
      <c r="U10" s="44"/>
      <c r="V10" s="12"/>
      <c r="W10" s="12"/>
      <c r="X10" s="12"/>
      <c r="Y10" s="12"/>
      <c r="Z10" s="12"/>
      <c r="AA10" s="12"/>
      <c r="AB10" s="12">
        <v>13</v>
      </c>
      <c r="AC10" s="12"/>
      <c r="AD10" s="12">
        <v>13</v>
      </c>
      <c r="AE10" s="12"/>
      <c r="AF10" s="44"/>
      <c r="AG10" s="44"/>
      <c r="AH10" s="44"/>
      <c r="AI10" s="44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44"/>
      <c r="AU10" s="44"/>
      <c r="AV10" s="44"/>
      <c r="AW10" s="44"/>
      <c r="AX10" s="12"/>
      <c r="AY10" s="12"/>
      <c r="AZ10" s="12"/>
      <c r="BA10" s="12"/>
      <c r="BB10" s="12"/>
      <c r="BC10" s="12"/>
      <c r="BD10" s="12"/>
      <c r="BE10" s="12"/>
      <c r="BF10" s="12">
        <v>12</v>
      </c>
      <c r="BG10" s="12"/>
      <c r="BH10" s="44"/>
      <c r="BI10" s="44"/>
    </row>
    <row r="11" spans="1:61" x14ac:dyDescent="0.3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43"/>
      <c r="G11" s="42"/>
      <c r="H11" s="10"/>
      <c r="I11" s="12"/>
      <c r="J11" s="10"/>
      <c r="K11" s="12"/>
      <c r="L11" s="10"/>
      <c r="M11" s="12"/>
      <c r="N11" s="10">
        <v>2</v>
      </c>
      <c r="O11" s="12"/>
      <c r="P11" s="12"/>
      <c r="Q11" s="12"/>
      <c r="R11" s="44"/>
      <c r="S11" s="44"/>
      <c r="T11" s="44"/>
      <c r="U11" s="44"/>
      <c r="V11" s="12"/>
      <c r="W11" s="12"/>
      <c r="X11" s="12"/>
      <c r="Y11" s="12"/>
      <c r="Z11" s="12"/>
      <c r="AA11" s="12"/>
      <c r="AB11" s="12">
        <v>25</v>
      </c>
      <c r="AC11" s="12"/>
      <c r="AD11" s="12"/>
      <c r="AE11" s="12"/>
      <c r="AF11" s="44"/>
      <c r="AG11" s="44"/>
      <c r="AH11" s="44"/>
      <c r="AI11" s="44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44"/>
      <c r="AU11" s="44"/>
      <c r="AV11" s="44"/>
      <c r="AW11" s="44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44">
        <v>14</v>
      </c>
      <c r="BI11" s="44"/>
    </row>
    <row r="12" spans="1:61" x14ac:dyDescent="0.3">
      <c r="A12" s="6" t="s">
        <v>33</v>
      </c>
      <c r="C12" s="11"/>
      <c r="D12" s="6" t="s">
        <v>34</v>
      </c>
      <c r="E12" s="8" t="s">
        <v>35</v>
      </c>
      <c r="F12" s="43"/>
      <c r="G12" s="42"/>
      <c r="H12" s="10"/>
      <c r="I12" s="12"/>
      <c r="J12" s="10"/>
      <c r="K12" s="12"/>
      <c r="L12" s="10"/>
      <c r="M12" s="12"/>
      <c r="N12" s="10"/>
      <c r="O12" s="12"/>
      <c r="P12" s="12"/>
      <c r="Q12" s="12"/>
      <c r="R12" s="44"/>
      <c r="S12" s="44"/>
      <c r="T12" s="44"/>
      <c r="U12" s="4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44">
        <v>15</v>
      </c>
      <c r="AG12" s="44"/>
      <c r="AH12" s="44"/>
      <c r="AI12" s="44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44"/>
      <c r="AU12" s="44"/>
      <c r="AV12" s="44"/>
      <c r="AW12" s="44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44"/>
      <c r="BI12" s="44"/>
    </row>
    <row r="13" spans="1:61" x14ac:dyDescent="0.3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41"/>
      <c r="G13" s="42"/>
      <c r="H13" s="10"/>
      <c r="I13" s="12"/>
      <c r="J13" s="10"/>
      <c r="K13" s="12"/>
      <c r="L13" s="10"/>
      <c r="M13" s="12"/>
      <c r="N13" s="10"/>
      <c r="O13" s="12"/>
      <c r="P13" s="12"/>
      <c r="Q13" s="12"/>
      <c r="R13" s="44"/>
      <c r="S13" s="44"/>
      <c r="T13" s="44"/>
      <c r="U13" s="4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44">
        <v>12</v>
      </c>
      <c r="AG13" s="44"/>
      <c r="AH13" s="44"/>
      <c r="AI13" s="44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44"/>
      <c r="AU13" s="44"/>
      <c r="AV13" s="44"/>
      <c r="AW13" s="44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44"/>
      <c r="BI13" s="44"/>
    </row>
    <row r="14" spans="1:61" x14ac:dyDescent="0.3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41"/>
      <c r="G14" s="42"/>
      <c r="H14" s="10"/>
      <c r="I14" s="12"/>
      <c r="J14" s="10"/>
      <c r="K14" s="12"/>
      <c r="L14" s="10"/>
      <c r="M14" s="12"/>
      <c r="N14" s="10">
        <v>3</v>
      </c>
      <c r="O14" s="12"/>
      <c r="P14" s="12"/>
      <c r="Q14" s="12"/>
      <c r="R14" s="44"/>
      <c r="S14" s="44"/>
      <c r="T14" s="44"/>
      <c r="U14" s="44"/>
      <c r="V14" s="12"/>
      <c r="W14" s="12"/>
      <c r="X14" s="12"/>
      <c r="Y14" s="12"/>
      <c r="Z14" s="12"/>
      <c r="AA14" s="12"/>
      <c r="AB14" s="12">
        <v>19</v>
      </c>
      <c r="AC14" s="12"/>
      <c r="AD14" s="12"/>
      <c r="AE14" s="12"/>
      <c r="AF14" s="44"/>
      <c r="AG14" s="44"/>
      <c r="AH14" s="44"/>
      <c r="AI14" s="44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44"/>
      <c r="AU14" s="44"/>
      <c r="AV14" s="44"/>
      <c r="AW14" s="44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44">
        <v>13</v>
      </c>
      <c r="BI14" s="44"/>
    </row>
    <row r="15" spans="1:61" x14ac:dyDescent="0.3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43"/>
      <c r="G15" s="42"/>
      <c r="H15" s="14"/>
      <c r="I15" s="15"/>
      <c r="J15" s="14"/>
      <c r="K15" s="15"/>
      <c r="L15" s="14"/>
      <c r="M15" s="15"/>
      <c r="N15" s="14"/>
      <c r="O15" s="15"/>
      <c r="P15" s="15"/>
      <c r="Q15" s="15"/>
      <c r="R15" s="45"/>
      <c r="S15" s="45"/>
      <c r="T15" s="45"/>
      <c r="U15" s="4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45">
        <v>11</v>
      </c>
      <c r="AG15" s="45"/>
      <c r="AH15" s="45"/>
      <c r="AI15" s="4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45"/>
      <c r="AU15" s="45"/>
      <c r="AV15" s="45"/>
      <c r="AW15" s="4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45"/>
      <c r="BI15" s="45"/>
    </row>
    <row r="16" spans="1:61" x14ac:dyDescent="0.3">
      <c r="A16" s="6" t="s">
        <v>46</v>
      </c>
      <c r="B16" s="6"/>
      <c r="C16" s="11"/>
      <c r="D16" s="6" t="s">
        <v>47</v>
      </c>
      <c r="E16" s="8" t="s">
        <v>48</v>
      </c>
      <c r="F16" s="41"/>
      <c r="G16" s="42"/>
      <c r="H16" s="14"/>
      <c r="I16" s="15"/>
      <c r="J16" s="14"/>
      <c r="K16" s="15"/>
      <c r="L16" s="14"/>
      <c r="M16" s="15"/>
      <c r="N16" s="14"/>
      <c r="O16" s="15"/>
      <c r="P16" s="15"/>
      <c r="Q16" s="15">
        <v>1</v>
      </c>
      <c r="R16" s="45"/>
      <c r="S16" s="45"/>
      <c r="T16" s="45"/>
      <c r="U16" s="4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45"/>
      <c r="AG16" s="45"/>
      <c r="AH16" s="45"/>
      <c r="AI16" s="45"/>
      <c r="AJ16" s="15"/>
      <c r="AK16" s="15"/>
      <c r="AL16" s="15"/>
      <c r="AM16" s="15"/>
      <c r="AN16" s="15">
        <v>12</v>
      </c>
      <c r="AO16" s="15"/>
      <c r="AP16" s="15"/>
      <c r="AQ16" s="15"/>
      <c r="AR16" s="15"/>
      <c r="AS16" s="15"/>
      <c r="AT16" s="45"/>
      <c r="AU16" s="45"/>
      <c r="AV16" s="45"/>
      <c r="AW16" s="4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45"/>
      <c r="BI16" s="45"/>
    </row>
    <row r="17" spans="1:61" x14ac:dyDescent="0.3">
      <c r="A17" s="6" t="s">
        <v>49</v>
      </c>
      <c r="B17" s="6"/>
      <c r="C17" s="11"/>
      <c r="D17" s="6" t="s">
        <v>50</v>
      </c>
      <c r="E17" s="8" t="s">
        <v>50</v>
      </c>
      <c r="F17" s="41"/>
      <c r="G17" s="42"/>
      <c r="H17" s="14"/>
      <c r="I17" s="15"/>
      <c r="J17" s="14"/>
      <c r="K17" s="15"/>
      <c r="L17" s="14"/>
      <c r="M17" s="15"/>
      <c r="N17" s="14">
        <v>1</v>
      </c>
      <c r="O17" s="15"/>
      <c r="P17" s="15"/>
      <c r="Q17" s="15"/>
      <c r="R17" s="45"/>
      <c r="S17" s="45"/>
      <c r="T17" s="45"/>
      <c r="U17" s="45"/>
      <c r="V17" s="15"/>
      <c r="W17" s="15"/>
      <c r="X17" s="15"/>
      <c r="Y17" s="15"/>
      <c r="Z17" s="15"/>
      <c r="AA17" s="15"/>
      <c r="AB17" s="15"/>
      <c r="AC17" s="15"/>
      <c r="AD17" s="15">
        <v>17</v>
      </c>
      <c r="AE17" s="15"/>
      <c r="AF17" s="45"/>
      <c r="AG17" s="45"/>
      <c r="AH17" s="45"/>
      <c r="AI17" s="4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45"/>
      <c r="AU17" s="45"/>
      <c r="AV17" s="45"/>
      <c r="AW17" s="4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45">
        <v>12</v>
      </c>
      <c r="BI17" s="45"/>
    </row>
    <row r="18" spans="1:61" x14ac:dyDescent="0.3">
      <c r="A18" s="6" t="s">
        <v>51</v>
      </c>
      <c r="B18" s="6"/>
      <c r="C18" s="11"/>
      <c r="D18" s="6" t="s">
        <v>52</v>
      </c>
      <c r="E18" s="16" t="s">
        <v>52</v>
      </c>
      <c r="F18" s="41"/>
      <c r="G18" s="42"/>
      <c r="H18" s="14"/>
      <c r="I18" s="15"/>
      <c r="J18" s="14"/>
      <c r="K18" s="15"/>
      <c r="L18" s="14"/>
      <c r="M18" s="15"/>
      <c r="N18" s="14"/>
      <c r="O18" s="15"/>
      <c r="P18" s="15"/>
      <c r="Q18" s="15"/>
      <c r="R18" s="45"/>
      <c r="S18" s="45"/>
      <c r="T18" s="45"/>
      <c r="U18" s="4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45"/>
      <c r="AG18" s="45"/>
      <c r="AH18" s="45"/>
      <c r="AI18" s="45"/>
      <c r="AJ18" s="15"/>
      <c r="AK18" s="15"/>
      <c r="AL18" s="15"/>
      <c r="AM18" s="15"/>
      <c r="AN18" s="15"/>
      <c r="AO18" s="15"/>
      <c r="AP18" s="15">
        <v>12</v>
      </c>
      <c r="AQ18" s="15"/>
      <c r="AR18" s="15"/>
      <c r="AS18" s="15"/>
      <c r="AT18" s="45"/>
      <c r="AU18" s="45"/>
      <c r="AV18" s="45"/>
      <c r="AW18" s="4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45"/>
      <c r="BI18" s="45"/>
    </row>
    <row r="19" spans="1:61" x14ac:dyDescent="0.3">
      <c r="A19" s="6" t="s">
        <v>53</v>
      </c>
      <c r="B19" s="6"/>
      <c r="C19" s="11"/>
      <c r="D19" s="6" t="s">
        <v>54</v>
      </c>
      <c r="E19" s="16" t="s">
        <v>54</v>
      </c>
      <c r="F19" s="41"/>
      <c r="G19" s="42"/>
      <c r="H19" s="14"/>
      <c r="I19" s="15"/>
      <c r="J19" s="14"/>
      <c r="K19" s="15"/>
      <c r="L19" s="14"/>
      <c r="M19" s="15"/>
      <c r="N19" s="14"/>
      <c r="O19" s="15"/>
      <c r="P19" s="15"/>
      <c r="Q19" s="15"/>
      <c r="R19" s="45"/>
      <c r="S19" s="45"/>
      <c r="T19" s="45"/>
      <c r="U19" s="4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45"/>
      <c r="AG19" s="45"/>
      <c r="AH19" s="45"/>
      <c r="AI19" s="45"/>
      <c r="AJ19" s="15"/>
      <c r="AK19" s="15"/>
      <c r="AL19" s="15"/>
      <c r="AM19" s="15"/>
      <c r="AN19" s="15">
        <v>13</v>
      </c>
      <c r="AO19" s="15"/>
      <c r="AP19" s="15"/>
      <c r="AQ19" s="15"/>
      <c r="AR19" s="15"/>
      <c r="AS19" s="15"/>
      <c r="AT19" s="45"/>
      <c r="AU19" s="45"/>
      <c r="AV19" s="45"/>
      <c r="AW19" s="4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45"/>
      <c r="BI19" s="45"/>
    </row>
    <row r="20" spans="1:61" x14ac:dyDescent="0.3">
      <c r="A20" s="6" t="s">
        <v>55</v>
      </c>
      <c r="B20" s="6"/>
      <c r="C20" s="11"/>
      <c r="D20" s="6" t="s">
        <v>56</v>
      </c>
      <c r="E20" s="16" t="s">
        <v>56</v>
      </c>
      <c r="F20" s="41"/>
      <c r="G20" s="42"/>
      <c r="H20" s="14"/>
      <c r="I20" s="15"/>
      <c r="J20" s="14"/>
      <c r="K20" s="15"/>
      <c r="L20" s="14"/>
      <c r="M20" s="15"/>
      <c r="N20" s="14"/>
      <c r="O20" s="15"/>
      <c r="P20" s="15"/>
      <c r="Q20" s="15"/>
      <c r="R20" s="45"/>
      <c r="S20" s="45"/>
      <c r="T20" s="45"/>
      <c r="U20" s="4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45"/>
      <c r="AG20" s="45"/>
      <c r="AH20" s="45"/>
      <c r="AI20" s="45"/>
      <c r="AJ20" s="15"/>
      <c r="AK20" s="15"/>
      <c r="AL20" s="15"/>
      <c r="AM20" s="15"/>
      <c r="AN20" s="15"/>
      <c r="AO20" s="15"/>
      <c r="AP20" s="15">
        <v>13</v>
      </c>
      <c r="AQ20" s="15"/>
      <c r="AR20" s="15"/>
      <c r="AS20" s="15"/>
      <c r="AT20" s="45"/>
      <c r="AU20" s="45"/>
      <c r="AV20" s="45"/>
      <c r="AW20" s="4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45"/>
      <c r="BI20" s="45"/>
    </row>
    <row r="21" spans="1:61" x14ac:dyDescent="0.3">
      <c r="A21" s="6" t="s">
        <v>57</v>
      </c>
      <c r="B21" s="6"/>
      <c r="C21" s="11"/>
      <c r="D21" s="6" t="s">
        <v>58</v>
      </c>
      <c r="E21" s="16" t="s">
        <v>58</v>
      </c>
      <c r="F21" s="41"/>
      <c r="G21" s="42"/>
      <c r="H21" s="14"/>
      <c r="I21" s="15"/>
      <c r="J21" s="14"/>
      <c r="K21" s="15"/>
      <c r="L21" s="14"/>
      <c r="M21" s="15"/>
      <c r="N21" s="14"/>
      <c r="O21" s="15"/>
      <c r="P21" s="15"/>
      <c r="Q21" s="15"/>
      <c r="R21" s="45"/>
      <c r="S21" s="45"/>
      <c r="T21" s="45"/>
      <c r="U21" s="4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45"/>
      <c r="AG21" s="45"/>
      <c r="AH21" s="45"/>
      <c r="AI21" s="45"/>
      <c r="AJ21" s="15"/>
      <c r="AK21" s="15"/>
      <c r="AL21" s="15"/>
      <c r="AM21" s="15"/>
      <c r="AN21" s="15">
        <v>14</v>
      </c>
      <c r="AO21" s="15"/>
      <c r="AP21" s="15"/>
      <c r="AQ21" s="15"/>
      <c r="AR21" s="15"/>
      <c r="AS21" s="15"/>
      <c r="AT21" s="45"/>
      <c r="AU21" s="45"/>
      <c r="AV21" s="45"/>
      <c r="AW21" s="4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45"/>
      <c r="BI21" s="45"/>
    </row>
    <row r="22" spans="1:61" x14ac:dyDescent="0.3">
      <c r="A22" s="17" t="s">
        <v>59</v>
      </c>
      <c r="C22" s="18"/>
      <c r="D22" s="17" t="s">
        <v>60</v>
      </c>
      <c r="E22" s="16" t="s">
        <v>60</v>
      </c>
      <c r="F22" s="41"/>
      <c r="G22" s="42"/>
      <c r="H22" s="14"/>
      <c r="I22" s="15"/>
      <c r="J22" s="14"/>
      <c r="K22" s="15"/>
      <c r="L22" s="14"/>
      <c r="M22" s="15"/>
      <c r="N22" s="14"/>
      <c r="O22" s="15"/>
      <c r="P22" s="15"/>
      <c r="Q22" s="15">
        <v>2</v>
      </c>
      <c r="R22" s="45"/>
      <c r="S22" s="45"/>
      <c r="T22" s="45"/>
      <c r="U22" s="4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45"/>
      <c r="AG22" s="45"/>
      <c r="AH22" s="45"/>
      <c r="AI22" s="45"/>
      <c r="AJ22" s="15"/>
      <c r="AK22" s="15"/>
      <c r="AL22" s="15"/>
      <c r="AM22" s="15"/>
      <c r="AN22" s="15"/>
      <c r="AO22" s="15"/>
      <c r="AP22" s="15"/>
      <c r="AQ22" s="15"/>
      <c r="AR22" s="15">
        <v>12</v>
      </c>
      <c r="AS22" s="15"/>
      <c r="AT22" s="45"/>
      <c r="AU22" s="45"/>
      <c r="AV22" s="45"/>
      <c r="AW22" s="4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45"/>
      <c r="BI22" s="45"/>
    </row>
    <row r="23" spans="1:61" ht="15.6" x14ac:dyDescent="0.3">
      <c r="A23" s="17" t="s">
        <v>61</v>
      </c>
      <c r="B23" s="19" t="s">
        <v>62</v>
      </c>
      <c r="C23" s="20" t="s">
        <v>63</v>
      </c>
      <c r="D23" s="17" t="s">
        <v>64</v>
      </c>
      <c r="E23" s="16" t="s">
        <v>64</v>
      </c>
      <c r="F23" s="41"/>
      <c r="G23" s="42"/>
      <c r="H23" s="14"/>
      <c r="I23" s="15"/>
      <c r="J23" s="14"/>
      <c r="K23" s="15"/>
      <c r="L23" s="14"/>
      <c r="M23" s="15"/>
      <c r="N23" s="14"/>
      <c r="O23" s="15"/>
      <c r="P23" s="15"/>
      <c r="Q23" s="15"/>
      <c r="R23" s="45"/>
      <c r="S23" s="45"/>
      <c r="T23" s="45"/>
      <c r="U23" s="45"/>
      <c r="V23" s="15"/>
      <c r="W23" s="15"/>
      <c r="X23" s="15"/>
      <c r="Y23" s="15"/>
      <c r="Z23" s="15"/>
      <c r="AA23" s="15"/>
      <c r="AB23" s="15"/>
      <c r="AC23" s="15"/>
      <c r="AD23" s="15">
        <v>16</v>
      </c>
      <c r="AE23" s="15"/>
      <c r="AF23" s="45"/>
      <c r="AG23" s="45"/>
      <c r="AH23" s="45"/>
      <c r="AI23" s="4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45"/>
      <c r="AU23" s="45"/>
      <c r="AV23" s="45"/>
      <c r="AW23" s="4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45">
        <v>11</v>
      </c>
      <c r="BI23" s="45"/>
    </row>
    <row r="24" spans="1:61" ht="15.6" x14ac:dyDescent="0.3">
      <c r="A24" s="6" t="s">
        <v>65</v>
      </c>
      <c r="B24" s="21"/>
      <c r="C24" s="11"/>
      <c r="D24" s="6" t="s">
        <v>66</v>
      </c>
      <c r="E24" s="16" t="s">
        <v>69</v>
      </c>
      <c r="F24" s="41"/>
      <c r="G24" s="42"/>
      <c r="H24" s="14"/>
      <c r="I24" s="15"/>
      <c r="J24" s="14"/>
      <c r="K24" s="15"/>
      <c r="L24" s="14"/>
      <c r="M24" s="15"/>
      <c r="N24" s="14"/>
      <c r="O24" s="15"/>
      <c r="P24" s="15"/>
      <c r="Q24" s="15"/>
      <c r="R24" s="45"/>
      <c r="S24" s="45"/>
      <c r="T24" s="45"/>
      <c r="U24" s="4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45"/>
      <c r="AG24" s="45"/>
      <c r="AH24" s="45"/>
      <c r="AI24" s="45"/>
      <c r="AJ24" s="15"/>
      <c r="AK24" s="15"/>
      <c r="AL24" s="15"/>
      <c r="AM24" s="15"/>
      <c r="AN24" s="15"/>
      <c r="AO24" s="15"/>
      <c r="AP24" s="15"/>
      <c r="AQ24" s="15"/>
      <c r="AR24" s="15">
        <v>10</v>
      </c>
      <c r="AS24" s="15"/>
      <c r="AT24" s="45"/>
      <c r="AU24" s="45"/>
      <c r="AV24" s="45"/>
      <c r="AW24" s="4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45"/>
      <c r="BI24" s="45"/>
    </row>
    <row r="25" spans="1:61" ht="15.6" x14ac:dyDescent="0.3">
      <c r="A25" s="6" t="s">
        <v>68</v>
      </c>
      <c r="B25" s="21"/>
      <c r="C25" s="11"/>
      <c r="D25" s="6" t="s">
        <v>66</v>
      </c>
      <c r="E25" s="16" t="s">
        <v>67</v>
      </c>
      <c r="F25" s="41"/>
      <c r="G25" s="42"/>
      <c r="H25" s="14"/>
      <c r="I25" s="15"/>
      <c r="J25" s="14"/>
      <c r="K25" s="15"/>
      <c r="L25" s="14"/>
      <c r="M25" s="15"/>
      <c r="N25" s="14"/>
      <c r="O25" s="15"/>
      <c r="P25" s="15">
        <v>5</v>
      </c>
      <c r="Q25" s="15"/>
      <c r="R25" s="45"/>
      <c r="S25" s="45"/>
      <c r="T25" s="45"/>
      <c r="U25" s="4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45">
        <v>19</v>
      </c>
      <c r="AG25" s="45"/>
      <c r="AH25" s="45"/>
      <c r="AI25" s="4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45"/>
      <c r="AU25" s="45"/>
      <c r="AV25" s="45"/>
      <c r="AW25" s="4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45"/>
      <c r="BI25" s="45"/>
    </row>
    <row r="26" spans="1:61" ht="15.6" x14ac:dyDescent="0.3">
      <c r="A26" s="6" t="s">
        <v>70</v>
      </c>
      <c r="B26" s="21"/>
      <c r="C26" s="11"/>
      <c r="D26" s="6" t="s">
        <v>71</v>
      </c>
      <c r="E26" s="16" t="s">
        <v>72</v>
      </c>
      <c r="F26" s="41"/>
      <c r="G26" s="42"/>
      <c r="H26" s="14"/>
      <c r="I26" s="15"/>
      <c r="J26" s="14"/>
      <c r="K26" s="15"/>
      <c r="L26" s="14"/>
      <c r="M26" s="15"/>
      <c r="N26" s="14"/>
      <c r="O26" s="15"/>
      <c r="P26" s="15"/>
      <c r="Q26" s="15"/>
      <c r="R26" s="45"/>
      <c r="S26" s="45"/>
      <c r="T26" s="45"/>
      <c r="U26" s="4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45"/>
      <c r="AG26" s="45"/>
      <c r="AH26" s="45"/>
      <c r="AI26" s="45"/>
      <c r="AJ26" s="15"/>
      <c r="AK26" s="15"/>
      <c r="AL26" s="15"/>
      <c r="AM26" s="15"/>
      <c r="AN26" s="15"/>
      <c r="AO26" s="15"/>
      <c r="AP26" s="15"/>
      <c r="AQ26" s="15"/>
      <c r="AR26" s="15">
        <v>15</v>
      </c>
      <c r="AS26" s="15"/>
      <c r="AT26" s="45"/>
      <c r="AU26" s="45"/>
      <c r="AV26" s="45"/>
      <c r="AW26" s="4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45"/>
      <c r="BI26" s="45"/>
    </row>
    <row r="27" spans="1:61" ht="15.6" x14ac:dyDescent="0.3">
      <c r="A27" s="6" t="s">
        <v>78</v>
      </c>
      <c r="B27" s="21"/>
      <c r="C27" s="11"/>
      <c r="D27" s="6"/>
      <c r="E27" s="16"/>
      <c r="F27" s="41"/>
      <c r="G27" s="42"/>
      <c r="H27" s="14"/>
      <c r="I27" s="15"/>
      <c r="J27" s="14"/>
      <c r="K27" s="15"/>
      <c r="L27" s="14"/>
      <c r="M27" s="15"/>
      <c r="N27" s="14"/>
      <c r="O27" s="15"/>
      <c r="P27" s="15"/>
      <c r="Q27" s="15"/>
      <c r="R27" s="45"/>
      <c r="S27" s="45"/>
      <c r="T27" s="45"/>
      <c r="U27" s="4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45"/>
      <c r="AG27" s="45"/>
      <c r="AH27" s="45"/>
      <c r="AI27" s="4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45"/>
      <c r="AU27" s="45"/>
      <c r="AV27" s="45"/>
      <c r="AW27" s="4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45"/>
      <c r="BI27" s="45"/>
    </row>
    <row r="28" spans="1:61" ht="18.600000000000001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</row>
    <row r="29" spans="1:61" x14ac:dyDescent="0.3">
      <c r="BB29" s="22"/>
      <c r="BC29" s="22"/>
      <c r="BD29" s="22"/>
      <c r="BE29" s="22"/>
    </row>
    <row r="30" spans="1:61" x14ac:dyDescent="0.3">
      <c r="D30" s="59" t="s">
        <v>11</v>
      </c>
      <c r="E30" s="59"/>
      <c r="F30" s="24">
        <f t="shared" ref="F30:BI34" si="0">F6*15</f>
        <v>0</v>
      </c>
      <c r="G30" s="24">
        <f t="shared" si="0"/>
        <v>0</v>
      </c>
      <c r="H30" s="24">
        <f t="shared" si="0"/>
        <v>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30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0</v>
      </c>
      <c r="S30" s="24">
        <f t="shared" si="0"/>
        <v>0</v>
      </c>
      <c r="T30" s="24">
        <f t="shared" si="0"/>
        <v>0</v>
      </c>
      <c r="U30" s="24">
        <f t="shared" si="0"/>
        <v>0</v>
      </c>
      <c r="V30" s="24">
        <f t="shared" si="0"/>
        <v>0</v>
      </c>
      <c r="W30" s="24">
        <f t="shared" si="0"/>
        <v>0</v>
      </c>
      <c r="X30" s="24">
        <f t="shared" si="0"/>
        <v>0</v>
      </c>
      <c r="Y30" s="24">
        <f t="shared" si="0"/>
        <v>0</v>
      </c>
      <c r="Z30" s="24">
        <f t="shared" si="0"/>
        <v>255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45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0</v>
      </c>
      <c r="AK30" s="24">
        <f t="shared" si="0"/>
        <v>0</v>
      </c>
      <c r="AL30" s="24">
        <f t="shared" si="0"/>
        <v>0</v>
      </c>
      <c r="AM30" s="24">
        <f t="shared" si="0"/>
        <v>0</v>
      </c>
      <c r="AN30" s="24">
        <f t="shared" si="0"/>
        <v>0</v>
      </c>
      <c r="AO30" s="24">
        <f t="shared" si="0"/>
        <v>0</v>
      </c>
      <c r="AP30" s="24">
        <f t="shared" si="0"/>
        <v>0</v>
      </c>
      <c r="AQ30" s="24">
        <f t="shared" si="0"/>
        <v>0</v>
      </c>
      <c r="AR30" s="24">
        <f t="shared" si="0"/>
        <v>0</v>
      </c>
      <c r="AS30" s="24">
        <f t="shared" si="0"/>
        <v>0</v>
      </c>
      <c r="AT30" s="24">
        <f t="shared" si="0"/>
        <v>0</v>
      </c>
      <c r="AU30" s="24">
        <f t="shared" si="0"/>
        <v>0</v>
      </c>
      <c r="AV30" s="24">
        <f t="shared" si="0"/>
        <v>0</v>
      </c>
      <c r="AW30" s="24">
        <f t="shared" si="0"/>
        <v>0</v>
      </c>
      <c r="AX30" s="24">
        <f t="shared" si="0"/>
        <v>0</v>
      </c>
      <c r="AY30" s="24">
        <f t="shared" si="0"/>
        <v>0</v>
      </c>
      <c r="AZ30" s="24">
        <f t="shared" si="0"/>
        <v>0</v>
      </c>
      <c r="BA30" s="24">
        <f t="shared" si="0"/>
        <v>0</v>
      </c>
      <c r="BB30" s="24">
        <f t="shared" si="0"/>
        <v>0</v>
      </c>
      <c r="BC30" s="24">
        <f t="shared" si="0"/>
        <v>0</v>
      </c>
      <c r="BD30" s="24">
        <f t="shared" si="0"/>
        <v>270</v>
      </c>
      <c r="BE30" s="24">
        <f t="shared" si="0"/>
        <v>0</v>
      </c>
      <c r="BF30" s="24">
        <f t="shared" si="0"/>
        <v>150</v>
      </c>
      <c r="BG30" s="24">
        <f t="shared" si="0"/>
        <v>0</v>
      </c>
      <c r="BH30" s="24">
        <f t="shared" si="0"/>
        <v>0</v>
      </c>
      <c r="BI30" s="24">
        <f t="shared" si="0"/>
        <v>0</v>
      </c>
    </row>
    <row r="31" spans="1:61" x14ac:dyDescent="0.3">
      <c r="D31" s="59" t="s">
        <v>16</v>
      </c>
      <c r="E31" s="59"/>
      <c r="F31" s="24">
        <f t="shared" si="0"/>
        <v>0</v>
      </c>
      <c r="G31" s="24">
        <f t="shared" si="0"/>
        <v>0</v>
      </c>
      <c r="H31" s="24">
        <f t="shared" si="0"/>
        <v>0</v>
      </c>
      <c r="I31" s="24">
        <f t="shared" si="0"/>
        <v>0</v>
      </c>
      <c r="J31" s="24">
        <f t="shared" si="0"/>
        <v>0</v>
      </c>
      <c r="K31" s="24">
        <f t="shared" si="0"/>
        <v>0</v>
      </c>
      <c r="L31" s="24">
        <f t="shared" si="0"/>
        <v>0</v>
      </c>
      <c r="M31" s="24">
        <f t="shared" si="0"/>
        <v>0</v>
      </c>
      <c r="N31" s="24">
        <f t="shared" si="0"/>
        <v>15</v>
      </c>
      <c r="O31" s="24">
        <f t="shared" si="0"/>
        <v>0</v>
      </c>
      <c r="P31" s="24">
        <f t="shared" si="0"/>
        <v>0</v>
      </c>
      <c r="Q31" s="24">
        <f t="shared" si="0"/>
        <v>0</v>
      </c>
      <c r="R31" s="24">
        <f t="shared" si="0"/>
        <v>0</v>
      </c>
      <c r="S31" s="24">
        <f t="shared" si="0"/>
        <v>0</v>
      </c>
      <c r="T31" s="24">
        <f t="shared" si="0"/>
        <v>0</v>
      </c>
      <c r="U31" s="24">
        <f t="shared" si="0"/>
        <v>0</v>
      </c>
      <c r="V31" s="24">
        <f t="shared" si="0"/>
        <v>0</v>
      </c>
      <c r="W31" s="24">
        <f t="shared" si="0"/>
        <v>0</v>
      </c>
      <c r="X31" s="24">
        <f t="shared" si="0"/>
        <v>0</v>
      </c>
      <c r="Y31" s="24">
        <f t="shared" si="0"/>
        <v>0</v>
      </c>
      <c r="Z31" s="24">
        <f t="shared" si="0"/>
        <v>255</v>
      </c>
      <c r="AA31" s="24">
        <f t="shared" si="0"/>
        <v>0</v>
      </c>
      <c r="AB31" s="24">
        <f t="shared" si="0"/>
        <v>0</v>
      </c>
      <c r="AC31" s="24">
        <f t="shared" si="0"/>
        <v>0</v>
      </c>
      <c r="AD31" s="24">
        <f t="shared" si="0"/>
        <v>0</v>
      </c>
      <c r="AE31" s="24">
        <f t="shared" si="0"/>
        <v>0</v>
      </c>
      <c r="AF31" s="24">
        <f t="shared" si="0"/>
        <v>0</v>
      </c>
      <c r="AG31" s="24">
        <f t="shared" si="0"/>
        <v>0</v>
      </c>
      <c r="AH31" s="24">
        <f t="shared" si="0"/>
        <v>0</v>
      </c>
      <c r="AI31" s="24">
        <f t="shared" si="0"/>
        <v>0</v>
      </c>
      <c r="AJ31" s="24">
        <f t="shared" si="0"/>
        <v>0</v>
      </c>
      <c r="AK31" s="24">
        <f t="shared" si="0"/>
        <v>0</v>
      </c>
      <c r="AL31" s="24">
        <f t="shared" si="0"/>
        <v>0</v>
      </c>
      <c r="AM31" s="24">
        <f t="shared" si="0"/>
        <v>0</v>
      </c>
      <c r="AN31" s="24">
        <f t="shared" si="0"/>
        <v>0</v>
      </c>
      <c r="AO31" s="24">
        <f t="shared" si="0"/>
        <v>0</v>
      </c>
      <c r="AP31" s="24">
        <f t="shared" si="0"/>
        <v>0</v>
      </c>
      <c r="AQ31" s="24">
        <f t="shared" si="0"/>
        <v>0</v>
      </c>
      <c r="AR31" s="24">
        <f t="shared" si="0"/>
        <v>0</v>
      </c>
      <c r="AS31" s="24">
        <f t="shared" si="0"/>
        <v>0</v>
      </c>
      <c r="AT31" s="24">
        <f t="shared" si="0"/>
        <v>0</v>
      </c>
      <c r="AU31" s="24">
        <f t="shared" si="0"/>
        <v>0</v>
      </c>
      <c r="AV31" s="24">
        <f t="shared" si="0"/>
        <v>0</v>
      </c>
      <c r="AW31" s="24">
        <f t="shared" si="0"/>
        <v>0</v>
      </c>
      <c r="AX31" s="24">
        <f t="shared" si="0"/>
        <v>0</v>
      </c>
      <c r="AY31" s="24">
        <f t="shared" si="0"/>
        <v>0</v>
      </c>
      <c r="AZ31" s="24">
        <f t="shared" si="0"/>
        <v>0</v>
      </c>
      <c r="BA31" s="24">
        <f t="shared" si="0"/>
        <v>0</v>
      </c>
      <c r="BB31" s="24">
        <f t="shared" si="0"/>
        <v>0</v>
      </c>
      <c r="BC31" s="24">
        <f t="shared" si="0"/>
        <v>0</v>
      </c>
      <c r="BD31" s="24">
        <f t="shared" si="0"/>
        <v>270</v>
      </c>
      <c r="BE31" s="24">
        <f t="shared" si="0"/>
        <v>0</v>
      </c>
      <c r="BF31" s="24">
        <f t="shared" si="0"/>
        <v>120</v>
      </c>
      <c r="BG31" s="24">
        <f t="shared" si="0"/>
        <v>0</v>
      </c>
      <c r="BH31" s="24">
        <f t="shared" si="0"/>
        <v>0</v>
      </c>
      <c r="BI31" s="24">
        <f t="shared" si="0"/>
        <v>0</v>
      </c>
    </row>
    <row r="32" spans="1:61" x14ac:dyDescent="0.3">
      <c r="D32" s="59" t="s">
        <v>20</v>
      </c>
      <c r="E32" s="59"/>
      <c r="F32" s="24">
        <f t="shared" si="0"/>
        <v>0</v>
      </c>
      <c r="G32" s="24">
        <f t="shared" si="0"/>
        <v>0</v>
      </c>
      <c r="H32" s="24">
        <f t="shared" si="0"/>
        <v>0</v>
      </c>
      <c r="I32" s="24">
        <f t="shared" si="0"/>
        <v>0</v>
      </c>
      <c r="J32" s="24">
        <f t="shared" si="0"/>
        <v>0</v>
      </c>
      <c r="K32" s="24">
        <f t="shared" si="0"/>
        <v>0</v>
      </c>
      <c r="L32" s="24">
        <f t="shared" si="0"/>
        <v>0</v>
      </c>
      <c r="M32" s="24">
        <f t="shared" si="0"/>
        <v>0</v>
      </c>
      <c r="N32" s="24">
        <f t="shared" si="0"/>
        <v>60</v>
      </c>
      <c r="O32" s="24">
        <f t="shared" si="0"/>
        <v>0</v>
      </c>
      <c r="P32" s="24">
        <f t="shared" si="0"/>
        <v>0</v>
      </c>
      <c r="Q32" s="24">
        <f t="shared" si="0"/>
        <v>0</v>
      </c>
      <c r="R32" s="24">
        <f t="shared" si="0"/>
        <v>0</v>
      </c>
      <c r="S32" s="24">
        <f t="shared" si="0"/>
        <v>0</v>
      </c>
      <c r="T32" s="24">
        <f t="shared" si="0"/>
        <v>0</v>
      </c>
      <c r="U32" s="24">
        <f t="shared" si="0"/>
        <v>0</v>
      </c>
      <c r="V32" s="24">
        <f t="shared" si="0"/>
        <v>0</v>
      </c>
      <c r="W32" s="24">
        <f t="shared" si="0"/>
        <v>0</v>
      </c>
      <c r="X32" s="24">
        <f t="shared" si="0"/>
        <v>0</v>
      </c>
      <c r="Y32" s="24">
        <f t="shared" si="0"/>
        <v>0</v>
      </c>
      <c r="Z32" s="24">
        <f t="shared" si="0"/>
        <v>195</v>
      </c>
      <c r="AA32" s="24">
        <f t="shared" si="0"/>
        <v>0</v>
      </c>
      <c r="AB32" s="24">
        <f t="shared" si="0"/>
        <v>0</v>
      </c>
      <c r="AC32" s="24">
        <f t="shared" si="0"/>
        <v>0</v>
      </c>
      <c r="AD32" s="24">
        <f t="shared" si="0"/>
        <v>0</v>
      </c>
      <c r="AE32" s="24">
        <f t="shared" si="0"/>
        <v>0</v>
      </c>
      <c r="AF32" s="24">
        <f t="shared" si="0"/>
        <v>0</v>
      </c>
      <c r="AG32" s="24">
        <f t="shared" si="0"/>
        <v>0</v>
      </c>
      <c r="AH32" s="24">
        <f t="shared" si="0"/>
        <v>0</v>
      </c>
      <c r="AI32" s="24">
        <f t="shared" si="0"/>
        <v>0</v>
      </c>
      <c r="AJ32" s="24">
        <f t="shared" si="0"/>
        <v>0</v>
      </c>
      <c r="AK32" s="24">
        <f t="shared" si="0"/>
        <v>0</v>
      </c>
      <c r="AL32" s="24">
        <f t="shared" si="0"/>
        <v>0</v>
      </c>
      <c r="AM32" s="24">
        <f t="shared" si="0"/>
        <v>0</v>
      </c>
      <c r="AN32" s="24">
        <f t="shared" si="0"/>
        <v>0</v>
      </c>
      <c r="AO32" s="24">
        <f t="shared" si="0"/>
        <v>0</v>
      </c>
      <c r="AP32" s="24">
        <f t="shared" si="0"/>
        <v>0</v>
      </c>
      <c r="AQ32" s="24">
        <f t="shared" si="0"/>
        <v>0</v>
      </c>
      <c r="AR32" s="24">
        <f t="shared" si="0"/>
        <v>0</v>
      </c>
      <c r="AS32" s="24">
        <f t="shared" si="0"/>
        <v>0</v>
      </c>
      <c r="AT32" s="24">
        <f t="shared" si="0"/>
        <v>0</v>
      </c>
      <c r="AU32" s="24">
        <f t="shared" si="0"/>
        <v>0</v>
      </c>
      <c r="AV32" s="24">
        <f t="shared" si="0"/>
        <v>0</v>
      </c>
      <c r="AW32" s="24">
        <f t="shared" si="0"/>
        <v>0</v>
      </c>
      <c r="AX32" s="24">
        <f t="shared" si="0"/>
        <v>0</v>
      </c>
      <c r="AY32" s="24">
        <f t="shared" si="0"/>
        <v>0</v>
      </c>
      <c r="AZ32" s="24">
        <f t="shared" si="0"/>
        <v>0</v>
      </c>
      <c r="BA32" s="24">
        <f t="shared" si="0"/>
        <v>0</v>
      </c>
      <c r="BB32" s="24">
        <f t="shared" si="0"/>
        <v>0</v>
      </c>
      <c r="BC32" s="24">
        <f t="shared" si="0"/>
        <v>0</v>
      </c>
      <c r="BD32" s="24">
        <f t="shared" si="0"/>
        <v>0</v>
      </c>
      <c r="BE32" s="24">
        <f t="shared" si="0"/>
        <v>0</v>
      </c>
      <c r="BF32" s="24">
        <f t="shared" si="0"/>
        <v>150</v>
      </c>
      <c r="BG32" s="24">
        <f t="shared" si="0"/>
        <v>0</v>
      </c>
      <c r="BH32" s="24">
        <f t="shared" si="0"/>
        <v>105</v>
      </c>
      <c r="BI32" s="24">
        <f t="shared" si="0"/>
        <v>0</v>
      </c>
    </row>
    <row r="33" spans="4:61" x14ac:dyDescent="0.3">
      <c r="D33" s="59" t="s">
        <v>24</v>
      </c>
      <c r="E33" s="59"/>
      <c r="F33" s="24">
        <f t="shared" si="0"/>
        <v>0</v>
      </c>
      <c r="G33" s="24">
        <f t="shared" si="0"/>
        <v>0</v>
      </c>
      <c r="H33" s="24">
        <f t="shared" si="0"/>
        <v>0</v>
      </c>
      <c r="I33" s="24">
        <f t="shared" si="0"/>
        <v>0</v>
      </c>
      <c r="J33" s="24">
        <f t="shared" si="0"/>
        <v>0</v>
      </c>
      <c r="K33" s="24">
        <f t="shared" si="0"/>
        <v>0</v>
      </c>
      <c r="L33" s="24">
        <f t="shared" si="0"/>
        <v>0</v>
      </c>
      <c r="M33" s="24">
        <f t="shared" si="0"/>
        <v>0</v>
      </c>
      <c r="N33" s="24">
        <f t="shared" si="0"/>
        <v>45</v>
      </c>
      <c r="O33" s="24">
        <f t="shared" si="0"/>
        <v>0</v>
      </c>
      <c r="P33" s="24">
        <f t="shared" si="0"/>
        <v>0</v>
      </c>
      <c r="Q33" s="24">
        <f t="shared" si="0"/>
        <v>0</v>
      </c>
      <c r="R33" s="24">
        <f t="shared" si="0"/>
        <v>0</v>
      </c>
      <c r="S33" s="24">
        <f t="shared" si="0"/>
        <v>0</v>
      </c>
      <c r="T33" s="24">
        <f t="shared" si="0"/>
        <v>0</v>
      </c>
      <c r="U33" s="24">
        <f t="shared" si="0"/>
        <v>0</v>
      </c>
      <c r="V33" s="24">
        <f t="shared" si="0"/>
        <v>0</v>
      </c>
      <c r="W33" s="24">
        <f t="shared" si="0"/>
        <v>0</v>
      </c>
      <c r="X33" s="24">
        <f t="shared" si="0"/>
        <v>0</v>
      </c>
      <c r="Y33" s="24">
        <f t="shared" si="0"/>
        <v>0</v>
      </c>
      <c r="Z33" s="24">
        <f t="shared" si="0"/>
        <v>0</v>
      </c>
      <c r="AA33" s="24">
        <f t="shared" si="0"/>
        <v>0</v>
      </c>
      <c r="AB33" s="24">
        <f t="shared" si="0"/>
        <v>150</v>
      </c>
      <c r="AC33" s="24">
        <f t="shared" si="0"/>
        <v>0</v>
      </c>
      <c r="AD33" s="24">
        <f t="shared" si="0"/>
        <v>150</v>
      </c>
      <c r="AE33" s="24">
        <f t="shared" si="0"/>
        <v>0</v>
      </c>
      <c r="AF33" s="24">
        <f t="shared" si="0"/>
        <v>0</v>
      </c>
      <c r="AG33" s="24">
        <f t="shared" si="0"/>
        <v>0</v>
      </c>
      <c r="AH33" s="24">
        <f t="shared" si="0"/>
        <v>0</v>
      </c>
      <c r="AI33" s="24">
        <f t="shared" si="0"/>
        <v>0</v>
      </c>
      <c r="AJ33" s="24">
        <f t="shared" si="0"/>
        <v>0</v>
      </c>
      <c r="AK33" s="24">
        <f t="shared" si="0"/>
        <v>0</v>
      </c>
      <c r="AL33" s="24">
        <f t="shared" si="0"/>
        <v>0</v>
      </c>
      <c r="AM33" s="24">
        <f t="shared" si="0"/>
        <v>0</v>
      </c>
      <c r="AN33" s="24">
        <f t="shared" si="0"/>
        <v>0</v>
      </c>
      <c r="AO33" s="24">
        <f t="shared" si="0"/>
        <v>0</v>
      </c>
      <c r="AP33" s="24">
        <f t="shared" si="0"/>
        <v>0</v>
      </c>
      <c r="AQ33" s="24">
        <f t="shared" si="0"/>
        <v>0</v>
      </c>
      <c r="AR33" s="24">
        <f t="shared" si="0"/>
        <v>0</v>
      </c>
      <c r="AS33" s="24">
        <f t="shared" si="0"/>
        <v>0</v>
      </c>
      <c r="AT33" s="24">
        <f t="shared" si="0"/>
        <v>0</v>
      </c>
      <c r="AU33" s="24">
        <f t="shared" si="0"/>
        <v>0</v>
      </c>
      <c r="AV33" s="24">
        <f t="shared" si="0"/>
        <v>0</v>
      </c>
      <c r="AW33" s="24">
        <f t="shared" si="0"/>
        <v>0</v>
      </c>
      <c r="AX33" s="24">
        <f t="shared" si="0"/>
        <v>0</v>
      </c>
      <c r="AY33" s="24">
        <f t="shared" si="0"/>
        <v>0</v>
      </c>
      <c r="AZ33" s="24">
        <f t="shared" si="0"/>
        <v>0</v>
      </c>
      <c r="BA33" s="24">
        <f t="shared" si="0"/>
        <v>0</v>
      </c>
      <c r="BB33" s="24">
        <f t="shared" si="0"/>
        <v>0</v>
      </c>
      <c r="BC33" s="24">
        <f t="shared" si="0"/>
        <v>0</v>
      </c>
      <c r="BD33" s="24">
        <f t="shared" si="0"/>
        <v>0</v>
      </c>
      <c r="BE33" s="24">
        <f t="shared" si="0"/>
        <v>0</v>
      </c>
      <c r="BF33" s="24">
        <f t="shared" si="0"/>
        <v>165</v>
      </c>
      <c r="BG33" s="24">
        <f t="shared" si="0"/>
        <v>0</v>
      </c>
      <c r="BH33" s="24">
        <f t="shared" si="0"/>
        <v>0</v>
      </c>
      <c r="BI33" s="24">
        <f t="shared" si="0"/>
        <v>0</v>
      </c>
    </row>
    <row r="34" spans="4:61" x14ac:dyDescent="0.3">
      <c r="D34" t="s">
        <v>29</v>
      </c>
      <c r="E34" s="25"/>
      <c r="F34" s="24">
        <f t="shared" si="0"/>
        <v>0</v>
      </c>
      <c r="G34" s="24">
        <f t="shared" si="0"/>
        <v>0</v>
      </c>
      <c r="H34" s="24">
        <f t="shared" si="0"/>
        <v>0</v>
      </c>
      <c r="I34" s="24">
        <f t="shared" si="0"/>
        <v>0</v>
      </c>
      <c r="J34" s="24">
        <f t="shared" si="0"/>
        <v>0</v>
      </c>
      <c r="K34" s="24">
        <f t="shared" si="0"/>
        <v>0</v>
      </c>
      <c r="L34" s="24">
        <f t="shared" si="0"/>
        <v>0</v>
      </c>
      <c r="M34" s="24">
        <f t="shared" ref="M34:BI35" si="1">M10*15</f>
        <v>0</v>
      </c>
      <c r="N34" s="24">
        <f t="shared" si="1"/>
        <v>30</v>
      </c>
      <c r="O34" s="24">
        <f t="shared" si="1"/>
        <v>0</v>
      </c>
      <c r="P34" s="24">
        <f t="shared" si="1"/>
        <v>0</v>
      </c>
      <c r="Q34" s="24">
        <f t="shared" si="1"/>
        <v>0</v>
      </c>
      <c r="R34" s="24">
        <f t="shared" si="1"/>
        <v>0</v>
      </c>
      <c r="S34" s="24">
        <f t="shared" si="1"/>
        <v>0</v>
      </c>
      <c r="T34" s="24">
        <f t="shared" si="1"/>
        <v>0</v>
      </c>
      <c r="U34" s="24">
        <f t="shared" si="1"/>
        <v>0</v>
      </c>
      <c r="V34" s="24">
        <f t="shared" si="1"/>
        <v>0</v>
      </c>
      <c r="W34" s="24">
        <f t="shared" si="1"/>
        <v>0</v>
      </c>
      <c r="X34" s="24">
        <f t="shared" si="1"/>
        <v>0</v>
      </c>
      <c r="Y34" s="24">
        <f t="shared" si="1"/>
        <v>0</v>
      </c>
      <c r="Z34" s="24">
        <f t="shared" si="1"/>
        <v>0</v>
      </c>
      <c r="AA34" s="24">
        <f t="shared" si="1"/>
        <v>0</v>
      </c>
      <c r="AB34" s="24">
        <f t="shared" si="1"/>
        <v>195</v>
      </c>
      <c r="AC34" s="24">
        <f t="shared" si="1"/>
        <v>0</v>
      </c>
      <c r="AD34" s="24">
        <f t="shared" si="1"/>
        <v>195</v>
      </c>
      <c r="AE34" s="24">
        <f t="shared" si="1"/>
        <v>0</v>
      </c>
      <c r="AF34" s="24">
        <f t="shared" si="1"/>
        <v>0</v>
      </c>
      <c r="AG34" s="24">
        <f t="shared" si="1"/>
        <v>0</v>
      </c>
      <c r="AH34" s="24">
        <f t="shared" si="1"/>
        <v>0</v>
      </c>
      <c r="AI34" s="24">
        <f t="shared" si="1"/>
        <v>0</v>
      </c>
      <c r="AJ34" s="24">
        <f t="shared" si="1"/>
        <v>0</v>
      </c>
      <c r="AK34" s="24">
        <f t="shared" si="1"/>
        <v>0</v>
      </c>
      <c r="AL34" s="24">
        <f t="shared" si="1"/>
        <v>0</v>
      </c>
      <c r="AM34" s="24">
        <f t="shared" si="1"/>
        <v>0</v>
      </c>
      <c r="AN34" s="24">
        <f t="shared" si="1"/>
        <v>0</v>
      </c>
      <c r="AO34" s="24">
        <f t="shared" si="1"/>
        <v>0</v>
      </c>
      <c r="AP34" s="24">
        <f t="shared" si="1"/>
        <v>0</v>
      </c>
      <c r="AQ34" s="24">
        <f t="shared" si="1"/>
        <v>0</v>
      </c>
      <c r="AR34" s="24">
        <f t="shared" si="1"/>
        <v>0</v>
      </c>
      <c r="AS34" s="24">
        <f t="shared" si="1"/>
        <v>0</v>
      </c>
      <c r="AT34" s="24">
        <f t="shared" si="1"/>
        <v>0</v>
      </c>
      <c r="AU34" s="24">
        <f t="shared" si="1"/>
        <v>0</v>
      </c>
      <c r="AV34" s="24">
        <f t="shared" si="1"/>
        <v>0</v>
      </c>
      <c r="AW34" s="24">
        <f t="shared" si="1"/>
        <v>0</v>
      </c>
      <c r="AX34" s="24">
        <f t="shared" si="1"/>
        <v>0</v>
      </c>
      <c r="AY34" s="24">
        <f t="shared" si="1"/>
        <v>0</v>
      </c>
      <c r="AZ34" s="24">
        <f t="shared" si="1"/>
        <v>0</v>
      </c>
      <c r="BA34" s="24">
        <f t="shared" si="1"/>
        <v>0</v>
      </c>
      <c r="BB34" s="24">
        <f t="shared" si="1"/>
        <v>0</v>
      </c>
      <c r="BC34" s="24">
        <f t="shared" si="1"/>
        <v>0</v>
      </c>
      <c r="BD34" s="24">
        <f t="shared" si="1"/>
        <v>0</v>
      </c>
      <c r="BE34" s="24">
        <f t="shared" si="1"/>
        <v>0</v>
      </c>
      <c r="BF34" s="24">
        <f t="shared" si="1"/>
        <v>180</v>
      </c>
      <c r="BG34" s="24">
        <f t="shared" si="1"/>
        <v>0</v>
      </c>
      <c r="BH34" s="24">
        <f t="shared" si="1"/>
        <v>0</v>
      </c>
      <c r="BI34" s="24">
        <f t="shared" si="1"/>
        <v>0</v>
      </c>
    </row>
    <row r="35" spans="4:61" x14ac:dyDescent="0.3">
      <c r="D35" t="s">
        <v>32</v>
      </c>
      <c r="E35" s="25"/>
      <c r="F35" s="24">
        <f t="shared" ref="F35:AK35" si="2">F11*15</f>
        <v>0</v>
      </c>
      <c r="G35" s="24">
        <f t="shared" si="2"/>
        <v>0</v>
      </c>
      <c r="H35" s="24">
        <f t="shared" si="2"/>
        <v>0</v>
      </c>
      <c r="I35" s="24">
        <f t="shared" si="2"/>
        <v>0</v>
      </c>
      <c r="J35" s="24">
        <f t="shared" si="2"/>
        <v>0</v>
      </c>
      <c r="K35" s="24">
        <f t="shared" si="2"/>
        <v>0</v>
      </c>
      <c r="L35" s="24">
        <f t="shared" si="2"/>
        <v>0</v>
      </c>
      <c r="M35" s="24">
        <f t="shared" si="2"/>
        <v>0</v>
      </c>
      <c r="N35" s="24">
        <f t="shared" si="2"/>
        <v>30</v>
      </c>
      <c r="O35" s="24">
        <f t="shared" si="2"/>
        <v>0</v>
      </c>
      <c r="P35" s="24">
        <f t="shared" si="2"/>
        <v>0</v>
      </c>
      <c r="Q35" s="24">
        <f t="shared" si="2"/>
        <v>0</v>
      </c>
      <c r="R35" s="24">
        <f t="shared" si="2"/>
        <v>0</v>
      </c>
      <c r="S35" s="24">
        <f t="shared" si="2"/>
        <v>0</v>
      </c>
      <c r="T35" s="24">
        <f t="shared" si="2"/>
        <v>0</v>
      </c>
      <c r="U35" s="24">
        <f t="shared" si="2"/>
        <v>0</v>
      </c>
      <c r="V35" s="24">
        <f t="shared" si="2"/>
        <v>0</v>
      </c>
      <c r="W35" s="24">
        <f t="shared" si="2"/>
        <v>0</v>
      </c>
      <c r="X35" s="24">
        <f t="shared" si="2"/>
        <v>0</v>
      </c>
      <c r="Y35" s="24">
        <f t="shared" si="2"/>
        <v>0</v>
      </c>
      <c r="Z35" s="24">
        <f t="shared" si="2"/>
        <v>0</v>
      </c>
      <c r="AA35" s="24">
        <f t="shared" si="2"/>
        <v>0</v>
      </c>
      <c r="AB35" s="24">
        <f t="shared" si="2"/>
        <v>375</v>
      </c>
      <c r="AC35" s="24">
        <f t="shared" si="2"/>
        <v>0</v>
      </c>
      <c r="AD35" s="24">
        <f t="shared" si="2"/>
        <v>0</v>
      </c>
      <c r="AE35" s="24">
        <f t="shared" si="2"/>
        <v>0</v>
      </c>
      <c r="AF35" s="24">
        <f t="shared" si="2"/>
        <v>0</v>
      </c>
      <c r="AG35" s="24">
        <f t="shared" si="2"/>
        <v>0</v>
      </c>
      <c r="AH35" s="24">
        <f t="shared" si="2"/>
        <v>0</v>
      </c>
      <c r="AI35" s="24">
        <f t="shared" si="2"/>
        <v>0</v>
      </c>
      <c r="AJ35" s="24">
        <f t="shared" si="2"/>
        <v>0</v>
      </c>
      <c r="AK35" s="24">
        <f t="shared" si="2"/>
        <v>0</v>
      </c>
      <c r="AL35" s="24">
        <f t="shared" si="1"/>
        <v>0</v>
      </c>
      <c r="AM35" s="24">
        <f t="shared" si="1"/>
        <v>0</v>
      </c>
      <c r="AN35" s="24">
        <f t="shared" si="1"/>
        <v>0</v>
      </c>
      <c r="AO35" s="24">
        <f t="shared" si="1"/>
        <v>0</v>
      </c>
      <c r="AP35" s="24">
        <f t="shared" si="1"/>
        <v>0</v>
      </c>
      <c r="AQ35" s="24">
        <f t="shared" si="1"/>
        <v>0</v>
      </c>
      <c r="AR35" s="24">
        <f t="shared" si="1"/>
        <v>0</v>
      </c>
      <c r="AS35" s="24">
        <f t="shared" si="1"/>
        <v>0</v>
      </c>
      <c r="AT35" s="24">
        <f t="shared" si="1"/>
        <v>0</v>
      </c>
      <c r="AU35" s="24">
        <f t="shared" si="1"/>
        <v>0</v>
      </c>
      <c r="AV35" s="24">
        <f t="shared" si="1"/>
        <v>0</v>
      </c>
      <c r="AW35" s="24">
        <f t="shared" si="1"/>
        <v>0</v>
      </c>
      <c r="AX35" s="24">
        <f t="shared" si="1"/>
        <v>0</v>
      </c>
      <c r="AY35" s="24">
        <f t="shared" si="1"/>
        <v>0</v>
      </c>
      <c r="AZ35" s="24">
        <f t="shared" si="1"/>
        <v>0</v>
      </c>
      <c r="BA35" s="24">
        <f t="shared" si="1"/>
        <v>0</v>
      </c>
      <c r="BB35" s="24">
        <f t="shared" si="1"/>
        <v>0</v>
      </c>
      <c r="BC35" s="24">
        <f t="shared" si="1"/>
        <v>0</v>
      </c>
      <c r="BD35" s="24">
        <f t="shared" si="1"/>
        <v>0</v>
      </c>
      <c r="BE35" s="24">
        <f t="shared" si="1"/>
        <v>0</v>
      </c>
      <c r="BF35" s="24">
        <f t="shared" si="1"/>
        <v>0</v>
      </c>
      <c r="BG35" s="24">
        <f t="shared" si="1"/>
        <v>0</v>
      </c>
      <c r="BH35" s="24">
        <f t="shared" si="1"/>
        <v>210</v>
      </c>
      <c r="BI35" s="24">
        <f t="shared" si="1"/>
        <v>0</v>
      </c>
    </row>
    <row r="36" spans="4:61" x14ac:dyDescent="0.3">
      <c r="D36" s="23" t="s">
        <v>35</v>
      </c>
      <c r="E36" s="25"/>
      <c r="F36" s="24">
        <f t="shared" ref="F36:BI36" si="3">F13*40</f>
        <v>0</v>
      </c>
      <c r="G36" s="24">
        <f t="shared" si="3"/>
        <v>0</v>
      </c>
      <c r="H36" s="24">
        <f t="shared" si="3"/>
        <v>0</v>
      </c>
      <c r="I36" s="24">
        <f t="shared" si="3"/>
        <v>0</v>
      </c>
      <c r="J36" s="24">
        <f t="shared" si="3"/>
        <v>0</v>
      </c>
      <c r="K36" s="24">
        <f t="shared" si="3"/>
        <v>0</v>
      </c>
      <c r="L36" s="24">
        <f t="shared" si="3"/>
        <v>0</v>
      </c>
      <c r="M36" s="24">
        <f t="shared" si="3"/>
        <v>0</v>
      </c>
      <c r="N36" s="24">
        <f t="shared" si="3"/>
        <v>0</v>
      </c>
      <c r="O36" s="24">
        <f t="shared" si="3"/>
        <v>0</v>
      </c>
      <c r="P36" s="24">
        <f t="shared" si="3"/>
        <v>0</v>
      </c>
      <c r="Q36" s="24">
        <f t="shared" si="3"/>
        <v>0</v>
      </c>
      <c r="R36" s="24">
        <f t="shared" si="3"/>
        <v>0</v>
      </c>
      <c r="S36" s="24">
        <f t="shared" si="3"/>
        <v>0</v>
      </c>
      <c r="T36" s="24">
        <f t="shared" si="3"/>
        <v>0</v>
      </c>
      <c r="U36" s="24">
        <f t="shared" si="3"/>
        <v>0</v>
      </c>
      <c r="V36" s="24">
        <f t="shared" si="3"/>
        <v>0</v>
      </c>
      <c r="W36" s="24">
        <f t="shared" si="3"/>
        <v>0</v>
      </c>
      <c r="X36" s="24">
        <f t="shared" si="3"/>
        <v>0</v>
      </c>
      <c r="Y36" s="24">
        <f t="shared" si="3"/>
        <v>0</v>
      </c>
      <c r="Z36" s="24">
        <f t="shared" si="3"/>
        <v>0</v>
      </c>
      <c r="AA36" s="24">
        <f t="shared" si="3"/>
        <v>0</v>
      </c>
      <c r="AB36" s="24">
        <f t="shared" si="3"/>
        <v>0</v>
      </c>
      <c r="AC36" s="24">
        <f t="shared" si="3"/>
        <v>0</v>
      </c>
      <c r="AD36" s="24">
        <f t="shared" si="3"/>
        <v>0</v>
      </c>
      <c r="AE36" s="24">
        <f t="shared" si="3"/>
        <v>0</v>
      </c>
      <c r="AF36" s="24">
        <f t="shared" si="3"/>
        <v>480</v>
      </c>
      <c r="AG36" s="24">
        <f t="shared" si="3"/>
        <v>0</v>
      </c>
      <c r="AH36" s="24">
        <f t="shared" si="3"/>
        <v>0</v>
      </c>
      <c r="AI36" s="24">
        <f t="shared" si="3"/>
        <v>0</v>
      </c>
      <c r="AJ36" s="24">
        <f t="shared" si="3"/>
        <v>0</v>
      </c>
      <c r="AK36" s="24">
        <f t="shared" si="3"/>
        <v>0</v>
      </c>
      <c r="AL36" s="24">
        <f t="shared" si="3"/>
        <v>0</v>
      </c>
      <c r="AM36" s="24">
        <f t="shared" si="3"/>
        <v>0</v>
      </c>
      <c r="AN36" s="24">
        <f t="shared" si="3"/>
        <v>0</v>
      </c>
      <c r="AO36" s="24">
        <f t="shared" si="3"/>
        <v>0</v>
      </c>
      <c r="AP36" s="24">
        <f t="shared" si="3"/>
        <v>0</v>
      </c>
      <c r="AQ36" s="24">
        <f t="shared" si="3"/>
        <v>0</v>
      </c>
      <c r="AR36" s="24">
        <f t="shared" si="3"/>
        <v>0</v>
      </c>
      <c r="AS36" s="24">
        <f t="shared" si="3"/>
        <v>0</v>
      </c>
      <c r="AT36" s="24">
        <f t="shared" si="3"/>
        <v>0</v>
      </c>
      <c r="AU36" s="24">
        <f t="shared" si="3"/>
        <v>0</v>
      </c>
      <c r="AV36" s="24">
        <f t="shared" si="3"/>
        <v>0</v>
      </c>
      <c r="AW36" s="24">
        <f t="shared" si="3"/>
        <v>0</v>
      </c>
      <c r="AX36" s="24">
        <f t="shared" si="3"/>
        <v>0</v>
      </c>
      <c r="AY36" s="24">
        <f t="shared" si="3"/>
        <v>0</v>
      </c>
      <c r="AZ36" s="24">
        <f t="shared" si="3"/>
        <v>0</v>
      </c>
      <c r="BA36" s="24">
        <f t="shared" si="3"/>
        <v>0</v>
      </c>
      <c r="BB36" s="24">
        <f t="shared" si="3"/>
        <v>0</v>
      </c>
      <c r="BC36" s="24">
        <f t="shared" si="3"/>
        <v>0</v>
      </c>
      <c r="BD36" s="24">
        <f t="shared" si="3"/>
        <v>0</v>
      </c>
      <c r="BE36" s="24">
        <f t="shared" si="3"/>
        <v>0</v>
      </c>
      <c r="BF36" s="24">
        <f t="shared" si="3"/>
        <v>0</v>
      </c>
      <c r="BG36" s="24">
        <f t="shared" si="3"/>
        <v>0</v>
      </c>
      <c r="BH36" s="24">
        <f t="shared" si="3"/>
        <v>0</v>
      </c>
      <c r="BI36" s="24">
        <f t="shared" si="3"/>
        <v>0</v>
      </c>
    </row>
    <row r="37" spans="4:61" x14ac:dyDescent="0.3">
      <c r="D37" s="23" t="s">
        <v>35</v>
      </c>
      <c r="E37" s="25"/>
      <c r="F37" s="24">
        <f t="shared" ref="F37:BI37" si="4">F12*40</f>
        <v>0</v>
      </c>
      <c r="G37" s="24">
        <f t="shared" si="4"/>
        <v>0</v>
      </c>
      <c r="H37" s="24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4"/>
        <v>0</v>
      </c>
      <c r="N37" s="24">
        <f t="shared" si="4"/>
        <v>0</v>
      </c>
      <c r="O37" s="24">
        <f t="shared" si="4"/>
        <v>0</v>
      </c>
      <c r="P37" s="24">
        <f t="shared" si="4"/>
        <v>0</v>
      </c>
      <c r="Q37" s="24">
        <f t="shared" si="4"/>
        <v>0</v>
      </c>
      <c r="R37" s="24">
        <f t="shared" si="4"/>
        <v>0</v>
      </c>
      <c r="S37" s="24">
        <f t="shared" si="4"/>
        <v>0</v>
      </c>
      <c r="T37" s="24">
        <f t="shared" si="4"/>
        <v>0</v>
      </c>
      <c r="U37" s="24">
        <f t="shared" si="4"/>
        <v>0</v>
      </c>
      <c r="V37" s="24">
        <f t="shared" si="4"/>
        <v>0</v>
      </c>
      <c r="W37" s="24">
        <f t="shared" si="4"/>
        <v>0</v>
      </c>
      <c r="X37" s="24">
        <f t="shared" si="4"/>
        <v>0</v>
      </c>
      <c r="Y37" s="24">
        <f t="shared" si="4"/>
        <v>0</v>
      </c>
      <c r="Z37" s="24">
        <f t="shared" si="4"/>
        <v>0</v>
      </c>
      <c r="AA37" s="24">
        <f t="shared" si="4"/>
        <v>0</v>
      </c>
      <c r="AB37" s="24">
        <f t="shared" si="4"/>
        <v>0</v>
      </c>
      <c r="AC37" s="24">
        <f t="shared" si="4"/>
        <v>0</v>
      </c>
      <c r="AD37" s="24">
        <f t="shared" si="4"/>
        <v>0</v>
      </c>
      <c r="AE37" s="24">
        <f t="shared" si="4"/>
        <v>0</v>
      </c>
      <c r="AF37" s="24">
        <f t="shared" si="4"/>
        <v>600</v>
      </c>
      <c r="AG37" s="24">
        <f t="shared" si="4"/>
        <v>0</v>
      </c>
      <c r="AH37" s="24">
        <f t="shared" si="4"/>
        <v>0</v>
      </c>
      <c r="AI37" s="24">
        <f t="shared" si="4"/>
        <v>0</v>
      </c>
      <c r="AJ37" s="24">
        <f t="shared" si="4"/>
        <v>0</v>
      </c>
      <c r="AK37" s="24">
        <f t="shared" si="4"/>
        <v>0</v>
      </c>
      <c r="AL37" s="24">
        <f t="shared" si="4"/>
        <v>0</v>
      </c>
      <c r="AM37" s="24">
        <f t="shared" si="4"/>
        <v>0</v>
      </c>
      <c r="AN37" s="24">
        <f t="shared" si="4"/>
        <v>0</v>
      </c>
      <c r="AO37" s="24">
        <f t="shared" si="4"/>
        <v>0</v>
      </c>
      <c r="AP37" s="24">
        <f t="shared" si="4"/>
        <v>0</v>
      </c>
      <c r="AQ37" s="24">
        <f t="shared" si="4"/>
        <v>0</v>
      </c>
      <c r="AR37" s="24">
        <f t="shared" si="4"/>
        <v>0</v>
      </c>
      <c r="AS37" s="24">
        <f t="shared" si="4"/>
        <v>0</v>
      </c>
      <c r="AT37" s="24">
        <f t="shared" si="4"/>
        <v>0</v>
      </c>
      <c r="AU37" s="24">
        <f t="shared" si="4"/>
        <v>0</v>
      </c>
      <c r="AV37" s="24">
        <f t="shared" si="4"/>
        <v>0</v>
      </c>
      <c r="AW37" s="24">
        <f t="shared" si="4"/>
        <v>0</v>
      </c>
      <c r="AX37" s="24">
        <f t="shared" si="4"/>
        <v>0</v>
      </c>
      <c r="AY37" s="24">
        <f t="shared" si="4"/>
        <v>0</v>
      </c>
      <c r="AZ37" s="24">
        <f t="shared" si="4"/>
        <v>0</v>
      </c>
      <c r="BA37" s="24">
        <f t="shared" si="4"/>
        <v>0</v>
      </c>
      <c r="BB37" s="24">
        <f t="shared" si="4"/>
        <v>0</v>
      </c>
      <c r="BC37" s="24">
        <f t="shared" si="4"/>
        <v>0</v>
      </c>
      <c r="BD37" s="24">
        <f t="shared" si="4"/>
        <v>0</v>
      </c>
      <c r="BE37" s="24">
        <f t="shared" si="4"/>
        <v>0</v>
      </c>
      <c r="BF37" s="24">
        <f t="shared" si="4"/>
        <v>0</v>
      </c>
      <c r="BG37" s="24">
        <f t="shared" si="4"/>
        <v>0</v>
      </c>
      <c r="BH37" s="24">
        <f t="shared" si="4"/>
        <v>0</v>
      </c>
      <c r="BI37" s="24">
        <f t="shared" si="4"/>
        <v>0</v>
      </c>
    </row>
    <row r="38" spans="4:61" x14ac:dyDescent="0.3">
      <c r="D38" s="23" t="s">
        <v>42</v>
      </c>
      <c r="E38" s="25"/>
      <c r="F38" s="24">
        <f t="shared" ref="F38:BI40" si="5">F14*30</f>
        <v>0</v>
      </c>
      <c r="G38" s="24">
        <f t="shared" si="5"/>
        <v>0</v>
      </c>
      <c r="H38" s="24">
        <f t="shared" si="5"/>
        <v>0</v>
      </c>
      <c r="I38" s="24">
        <f t="shared" si="5"/>
        <v>0</v>
      </c>
      <c r="J38" s="24">
        <f t="shared" si="5"/>
        <v>0</v>
      </c>
      <c r="K38" s="24">
        <f t="shared" si="5"/>
        <v>0</v>
      </c>
      <c r="L38" s="24">
        <f t="shared" si="5"/>
        <v>0</v>
      </c>
      <c r="M38" s="24">
        <f t="shared" si="5"/>
        <v>0</v>
      </c>
      <c r="N38" s="24">
        <f t="shared" si="5"/>
        <v>90</v>
      </c>
      <c r="O38" s="24">
        <f t="shared" si="5"/>
        <v>0</v>
      </c>
      <c r="P38" s="24">
        <f t="shared" si="5"/>
        <v>0</v>
      </c>
      <c r="Q38" s="24">
        <f t="shared" si="5"/>
        <v>0</v>
      </c>
      <c r="R38" s="24">
        <f t="shared" si="5"/>
        <v>0</v>
      </c>
      <c r="S38" s="24">
        <f t="shared" si="5"/>
        <v>0</v>
      </c>
      <c r="T38" s="24">
        <f t="shared" si="5"/>
        <v>0</v>
      </c>
      <c r="U38" s="24">
        <f t="shared" si="5"/>
        <v>0</v>
      </c>
      <c r="V38" s="24">
        <f t="shared" si="5"/>
        <v>0</v>
      </c>
      <c r="W38" s="24">
        <f t="shared" si="5"/>
        <v>0</v>
      </c>
      <c r="X38" s="24">
        <f t="shared" si="5"/>
        <v>0</v>
      </c>
      <c r="Y38" s="24">
        <f t="shared" si="5"/>
        <v>0</v>
      </c>
      <c r="Z38" s="24">
        <f t="shared" si="5"/>
        <v>0</v>
      </c>
      <c r="AA38" s="24">
        <f t="shared" si="5"/>
        <v>0</v>
      </c>
      <c r="AB38" s="24">
        <f t="shared" si="5"/>
        <v>570</v>
      </c>
      <c r="AC38" s="24">
        <f t="shared" si="5"/>
        <v>0</v>
      </c>
      <c r="AD38" s="24">
        <f t="shared" si="5"/>
        <v>0</v>
      </c>
      <c r="AE38" s="24">
        <f t="shared" si="5"/>
        <v>0</v>
      </c>
      <c r="AF38" s="24">
        <f t="shared" si="5"/>
        <v>0</v>
      </c>
      <c r="AG38" s="24">
        <f t="shared" si="5"/>
        <v>0</v>
      </c>
      <c r="AH38" s="24">
        <f t="shared" si="5"/>
        <v>0</v>
      </c>
      <c r="AI38" s="24">
        <f t="shared" si="5"/>
        <v>0</v>
      </c>
      <c r="AJ38" s="24">
        <f t="shared" si="5"/>
        <v>0</v>
      </c>
      <c r="AK38" s="24">
        <f t="shared" si="5"/>
        <v>0</v>
      </c>
      <c r="AL38" s="24">
        <f t="shared" si="5"/>
        <v>0</v>
      </c>
      <c r="AM38" s="24">
        <f t="shared" si="5"/>
        <v>0</v>
      </c>
      <c r="AN38" s="24">
        <f t="shared" si="5"/>
        <v>0</v>
      </c>
      <c r="AO38" s="24">
        <f t="shared" si="5"/>
        <v>0</v>
      </c>
      <c r="AP38" s="24">
        <f t="shared" si="5"/>
        <v>0</v>
      </c>
      <c r="AQ38" s="24">
        <f t="shared" si="5"/>
        <v>0</v>
      </c>
      <c r="AR38" s="24">
        <f t="shared" si="5"/>
        <v>0</v>
      </c>
      <c r="AS38" s="24">
        <f t="shared" si="5"/>
        <v>0</v>
      </c>
      <c r="AT38" s="24">
        <f t="shared" si="5"/>
        <v>0</v>
      </c>
      <c r="AU38" s="24">
        <f t="shared" si="5"/>
        <v>0</v>
      </c>
      <c r="AV38" s="24">
        <f t="shared" si="5"/>
        <v>0</v>
      </c>
      <c r="AW38" s="24">
        <f t="shared" si="5"/>
        <v>0</v>
      </c>
      <c r="AX38" s="24">
        <f t="shared" si="5"/>
        <v>0</v>
      </c>
      <c r="AY38" s="24">
        <f t="shared" si="5"/>
        <v>0</v>
      </c>
      <c r="AZ38" s="24">
        <f t="shared" si="5"/>
        <v>0</v>
      </c>
      <c r="BA38" s="24">
        <f t="shared" si="5"/>
        <v>0</v>
      </c>
      <c r="BB38" s="24">
        <f t="shared" si="5"/>
        <v>0</v>
      </c>
      <c r="BC38" s="24">
        <f t="shared" si="5"/>
        <v>0</v>
      </c>
      <c r="BD38" s="24">
        <f t="shared" si="5"/>
        <v>0</v>
      </c>
      <c r="BE38" s="24">
        <f t="shared" si="5"/>
        <v>0</v>
      </c>
      <c r="BF38" s="24">
        <f t="shared" si="5"/>
        <v>0</v>
      </c>
      <c r="BG38" s="24">
        <f t="shared" si="5"/>
        <v>0</v>
      </c>
      <c r="BH38" s="24">
        <f t="shared" si="5"/>
        <v>390</v>
      </c>
      <c r="BI38" s="24">
        <f t="shared" si="5"/>
        <v>0</v>
      </c>
    </row>
    <row r="39" spans="4:61" x14ac:dyDescent="0.3">
      <c r="D39" s="23" t="s">
        <v>45</v>
      </c>
      <c r="E39" s="25"/>
      <c r="F39" s="24">
        <f t="shared" si="5"/>
        <v>0</v>
      </c>
      <c r="G39" s="24">
        <f t="shared" si="5"/>
        <v>0</v>
      </c>
      <c r="H39" s="24">
        <f t="shared" si="5"/>
        <v>0</v>
      </c>
      <c r="I39" s="24">
        <f t="shared" si="5"/>
        <v>0</v>
      </c>
      <c r="J39" s="24">
        <f t="shared" si="5"/>
        <v>0</v>
      </c>
      <c r="K39" s="24">
        <f t="shared" si="5"/>
        <v>0</v>
      </c>
      <c r="L39" s="24">
        <f t="shared" si="5"/>
        <v>0</v>
      </c>
      <c r="M39" s="24">
        <f t="shared" si="5"/>
        <v>0</v>
      </c>
      <c r="N39" s="24">
        <f t="shared" si="5"/>
        <v>0</v>
      </c>
      <c r="O39" s="24">
        <f t="shared" si="5"/>
        <v>0</v>
      </c>
      <c r="P39" s="24">
        <f t="shared" si="5"/>
        <v>0</v>
      </c>
      <c r="Q39" s="24">
        <f t="shared" si="5"/>
        <v>0</v>
      </c>
      <c r="R39" s="24">
        <f t="shared" si="5"/>
        <v>0</v>
      </c>
      <c r="S39" s="24">
        <f t="shared" si="5"/>
        <v>0</v>
      </c>
      <c r="T39" s="24">
        <f t="shared" si="5"/>
        <v>0</v>
      </c>
      <c r="U39" s="24">
        <f t="shared" si="5"/>
        <v>0</v>
      </c>
      <c r="V39" s="24">
        <f t="shared" si="5"/>
        <v>0</v>
      </c>
      <c r="W39" s="24">
        <f t="shared" si="5"/>
        <v>0</v>
      </c>
      <c r="X39" s="24">
        <f t="shared" si="5"/>
        <v>0</v>
      </c>
      <c r="Y39" s="24">
        <f t="shared" si="5"/>
        <v>0</v>
      </c>
      <c r="Z39" s="24">
        <f t="shared" si="5"/>
        <v>0</v>
      </c>
      <c r="AA39" s="24">
        <f t="shared" si="5"/>
        <v>0</v>
      </c>
      <c r="AB39" s="24">
        <f t="shared" si="5"/>
        <v>0</v>
      </c>
      <c r="AC39" s="24">
        <f t="shared" si="5"/>
        <v>0</v>
      </c>
      <c r="AD39" s="24">
        <f t="shared" si="5"/>
        <v>0</v>
      </c>
      <c r="AE39" s="24">
        <f t="shared" si="5"/>
        <v>0</v>
      </c>
      <c r="AF39" s="24">
        <f t="shared" si="5"/>
        <v>330</v>
      </c>
      <c r="AG39" s="24">
        <f t="shared" si="5"/>
        <v>0</v>
      </c>
      <c r="AH39" s="24">
        <f t="shared" si="5"/>
        <v>0</v>
      </c>
      <c r="AI39" s="24">
        <f t="shared" si="5"/>
        <v>0</v>
      </c>
      <c r="AJ39" s="24">
        <f t="shared" si="5"/>
        <v>0</v>
      </c>
      <c r="AK39" s="24">
        <f t="shared" si="5"/>
        <v>0</v>
      </c>
      <c r="AL39" s="24">
        <f t="shared" si="5"/>
        <v>0</v>
      </c>
      <c r="AM39" s="24">
        <f t="shared" si="5"/>
        <v>0</v>
      </c>
      <c r="AN39" s="24">
        <f t="shared" si="5"/>
        <v>0</v>
      </c>
      <c r="AO39" s="24">
        <f t="shared" si="5"/>
        <v>0</v>
      </c>
      <c r="AP39" s="24">
        <f t="shared" si="5"/>
        <v>0</v>
      </c>
      <c r="AQ39" s="24">
        <f t="shared" si="5"/>
        <v>0</v>
      </c>
      <c r="AR39" s="24">
        <f t="shared" si="5"/>
        <v>0</v>
      </c>
      <c r="AS39" s="24">
        <f t="shared" si="5"/>
        <v>0</v>
      </c>
      <c r="AT39" s="24">
        <f t="shared" si="5"/>
        <v>0</v>
      </c>
      <c r="AU39" s="24">
        <f t="shared" si="5"/>
        <v>0</v>
      </c>
      <c r="AV39" s="24">
        <f t="shared" si="5"/>
        <v>0</v>
      </c>
      <c r="AW39" s="24">
        <f t="shared" si="5"/>
        <v>0</v>
      </c>
      <c r="AX39" s="24">
        <f t="shared" si="5"/>
        <v>0</v>
      </c>
      <c r="AY39" s="24">
        <f t="shared" si="5"/>
        <v>0</v>
      </c>
      <c r="AZ39" s="24">
        <f t="shared" si="5"/>
        <v>0</v>
      </c>
      <c r="BA39" s="24">
        <f t="shared" si="5"/>
        <v>0</v>
      </c>
      <c r="BB39" s="24">
        <f t="shared" si="5"/>
        <v>0</v>
      </c>
      <c r="BC39" s="24">
        <f t="shared" si="5"/>
        <v>0</v>
      </c>
      <c r="BD39" s="24">
        <f t="shared" si="5"/>
        <v>0</v>
      </c>
      <c r="BE39" s="24">
        <f t="shared" si="5"/>
        <v>0</v>
      </c>
      <c r="BF39" s="24">
        <f t="shared" si="5"/>
        <v>0</v>
      </c>
      <c r="BG39" s="24">
        <f t="shared" si="5"/>
        <v>0</v>
      </c>
      <c r="BH39" s="24">
        <f t="shared" si="5"/>
        <v>0</v>
      </c>
      <c r="BI39" s="24">
        <f t="shared" si="5"/>
        <v>0</v>
      </c>
    </row>
    <row r="40" spans="4:61" x14ac:dyDescent="0.3">
      <c r="D40" s="23" t="s">
        <v>47</v>
      </c>
      <c r="E40" s="25"/>
      <c r="F40" s="24">
        <f t="shared" si="5"/>
        <v>0</v>
      </c>
      <c r="G40" s="24">
        <f t="shared" si="5"/>
        <v>0</v>
      </c>
      <c r="H40" s="24">
        <f t="shared" si="5"/>
        <v>0</v>
      </c>
      <c r="I40" s="24">
        <f t="shared" si="5"/>
        <v>0</v>
      </c>
      <c r="J40" s="24">
        <f t="shared" si="5"/>
        <v>0</v>
      </c>
      <c r="K40" s="24">
        <f t="shared" si="5"/>
        <v>0</v>
      </c>
      <c r="L40" s="24">
        <f t="shared" si="5"/>
        <v>0</v>
      </c>
      <c r="M40" s="24">
        <f t="shared" si="5"/>
        <v>0</v>
      </c>
      <c r="N40" s="24">
        <f t="shared" si="5"/>
        <v>0</v>
      </c>
      <c r="O40" s="24">
        <f t="shared" si="5"/>
        <v>0</v>
      </c>
      <c r="P40" s="24">
        <f t="shared" si="5"/>
        <v>0</v>
      </c>
      <c r="Q40" s="24">
        <f t="shared" si="5"/>
        <v>30</v>
      </c>
      <c r="R40" s="24">
        <f t="shared" si="5"/>
        <v>0</v>
      </c>
      <c r="S40" s="24">
        <f t="shared" si="5"/>
        <v>0</v>
      </c>
      <c r="T40" s="24">
        <f t="shared" si="5"/>
        <v>0</v>
      </c>
      <c r="U40" s="24">
        <f t="shared" si="5"/>
        <v>0</v>
      </c>
      <c r="V40" s="24">
        <f t="shared" si="5"/>
        <v>0</v>
      </c>
      <c r="W40" s="24">
        <f t="shared" si="5"/>
        <v>0</v>
      </c>
      <c r="X40" s="24">
        <f t="shared" si="5"/>
        <v>0</v>
      </c>
      <c r="Y40" s="24">
        <f t="shared" si="5"/>
        <v>0</v>
      </c>
      <c r="Z40" s="24">
        <f t="shared" si="5"/>
        <v>0</v>
      </c>
      <c r="AA40" s="24">
        <f t="shared" si="5"/>
        <v>0</v>
      </c>
      <c r="AB40" s="24">
        <f t="shared" si="5"/>
        <v>0</v>
      </c>
      <c r="AC40" s="24">
        <f t="shared" si="5"/>
        <v>0</v>
      </c>
      <c r="AD40" s="24">
        <f t="shared" si="5"/>
        <v>0</v>
      </c>
      <c r="AE40" s="24">
        <f t="shared" si="5"/>
        <v>0</v>
      </c>
      <c r="AF40" s="24">
        <f t="shared" si="5"/>
        <v>0</v>
      </c>
      <c r="AG40" s="24">
        <f t="shared" si="5"/>
        <v>0</v>
      </c>
      <c r="AH40" s="24">
        <f t="shared" si="5"/>
        <v>0</v>
      </c>
      <c r="AI40" s="24">
        <f t="shared" si="5"/>
        <v>0</v>
      </c>
      <c r="AJ40" s="24">
        <f t="shared" si="5"/>
        <v>0</v>
      </c>
      <c r="AK40" s="24">
        <f t="shared" si="5"/>
        <v>0</v>
      </c>
      <c r="AL40" s="24">
        <f t="shared" si="5"/>
        <v>0</v>
      </c>
      <c r="AM40" s="24">
        <f t="shared" si="5"/>
        <v>0</v>
      </c>
      <c r="AN40" s="24">
        <f t="shared" si="5"/>
        <v>360</v>
      </c>
      <c r="AO40" s="24">
        <f t="shared" si="5"/>
        <v>0</v>
      </c>
      <c r="AP40" s="24">
        <f t="shared" si="5"/>
        <v>0</v>
      </c>
      <c r="AQ40" s="24">
        <f t="shared" si="5"/>
        <v>0</v>
      </c>
      <c r="AR40" s="24">
        <f t="shared" si="5"/>
        <v>0</v>
      </c>
      <c r="AS40" s="24">
        <f t="shared" si="5"/>
        <v>0</v>
      </c>
      <c r="AT40" s="24">
        <f t="shared" si="5"/>
        <v>0</v>
      </c>
      <c r="AU40" s="24">
        <f t="shared" si="5"/>
        <v>0</v>
      </c>
      <c r="AV40" s="24">
        <f t="shared" si="5"/>
        <v>0</v>
      </c>
      <c r="AW40" s="24">
        <f t="shared" si="5"/>
        <v>0</v>
      </c>
      <c r="AX40" s="24">
        <f t="shared" si="5"/>
        <v>0</v>
      </c>
      <c r="AY40" s="24">
        <f t="shared" si="5"/>
        <v>0</v>
      </c>
      <c r="AZ40" s="24">
        <f t="shared" si="5"/>
        <v>0</v>
      </c>
      <c r="BA40" s="24">
        <f t="shared" si="5"/>
        <v>0</v>
      </c>
      <c r="BB40" s="24">
        <f t="shared" si="5"/>
        <v>0</v>
      </c>
      <c r="BC40" s="24">
        <f t="shared" si="5"/>
        <v>0</v>
      </c>
      <c r="BD40" s="24">
        <f t="shared" si="5"/>
        <v>0</v>
      </c>
      <c r="BE40" s="24">
        <f t="shared" si="5"/>
        <v>0</v>
      </c>
      <c r="BF40" s="24">
        <f t="shared" si="5"/>
        <v>0</v>
      </c>
      <c r="BG40" s="24">
        <f t="shared" si="5"/>
        <v>0</v>
      </c>
      <c r="BH40" s="24">
        <f t="shared" si="5"/>
        <v>0</v>
      </c>
      <c r="BI40" s="24">
        <f t="shared" si="5"/>
        <v>0</v>
      </c>
    </row>
    <row r="41" spans="4:61" x14ac:dyDescent="0.3">
      <c r="D41" s="23" t="s">
        <v>50</v>
      </c>
      <c r="E41" s="25"/>
      <c r="F41" s="24">
        <f t="shared" ref="F41:BI41" si="6">F17*40</f>
        <v>0</v>
      </c>
      <c r="G41" s="24">
        <f t="shared" si="6"/>
        <v>0</v>
      </c>
      <c r="H41" s="24">
        <f t="shared" si="6"/>
        <v>0</v>
      </c>
      <c r="I41" s="24">
        <f t="shared" si="6"/>
        <v>0</v>
      </c>
      <c r="J41" s="24">
        <f t="shared" si="6"/>
        <v>0</v>
      </c>
      <c r="K41" s="24">
        <f t="shared" si="6"/>
        <v>0</v>
      </c>
      <c r="L41" s="24">
        <f t="shared" si="6"/>
        <v>0</v>
      </c>
      <c r="M41" s="24">
        <f t="shared" si="6"/>
        <v>0</v>
      </c>
      <c r="N41" s="24">
        <f t="shared" si="6"/>
        <v>40</v>
      </c>
      <c r="O41" s="24">
        <f t="shared" si="6"/>
        <v>0</v>
      </c>
      <c r="P41" s="24">
        <f t="shared" si="6"/>
        <v>0</v>
      </c>
      <c r="Q41" s="24">
        <f t="shared" si="6"/>
        <v>0</v>
      </c>
      <c r="R41" s="24">
        <f t="shared" si="6"/>
        <v>0</v>
      </c>
      <c r="S41" s="24">
        <f t="shared" si="6"/>
        <v>0</v>
      </c>
      <c r="T41" s="24">
        <f t="shared" si="6"/>
        <v>0</v>
      </c>
      <c r="U41" s="24">
        <f t="shared" si="6"/>
        <v>0</v>
      </c>
      <c r="V41" s="24">
        <f t="shared" si="6"/>
        <v>0</v>
      </c>
      <c r="W41" s="24">
        <f t="shared" si="6"/>
        <v>0</v>
      </c>
      <c r="X41" s="24">
        <f t="shared" si="6"/>
        <v>0</v>
      </c>
      <c r="Y41" s="24">
        <f t="shared" si="6"/>
        <v>0</v>
      </c>
      <c r="Z41" s="24">
        <f t="shared" si="6"/>
        <v>0</v>
      </c>
      <c r="AA41" s="24">
        <f t="shared" si="6"/>
        <v>0</v>
      </c>
      <c r="AB41" s="24">
        <f t="shared" si="6"/>
        <v>0</v>
      </c>
      <c r="AC41" s="24">
        <f t="shared" si="6"/>
        <v>0</v>
      </c>
      <c r="AD41" s="24">
        <f t="shared" si="6"/>
        <v>680</v>
      </c>
      <c r="AE41" s="24">
        <f t="shared" si="6"/>
        <v>0</v>
      </c>
      <c r="AF41" s="24">
        <f t="shared" si="6"/>
        <v>0</v>
      </c>
      <c r="AG41" s="24">
        <f t="shared" si="6"/>
        <v>0</v>
      </c>
      <c r="AH41" s="24">
        <f t="shared" si="6"/>
        <v>0</v>
      </c>
      <c r="AI41" s="24">
        <f t="shared" si="6"/>
        <v>0</v>
      </c>
      <c r="AJ41" s="24">
        <f t="shared" si="6"/>
        <v>0</v>
      </c>
      <c r="AK41" s="24">
        <f t="shared" si="6"/>
        <v>0</v>
      </c>
      <c r="AL41" s="24">
        <f t="shared" si="6"/>
        <v>0</v>
      </c>
      <c r="AM41" s="24">
        <f t="shared" si="6"/>
        <v>0</v>
      </c>
      <c r="AN41" s="24">
        <f t="shared" si="6"/>
        <v>0</v>
      </c>
      <c r="AO41" s="24">
        <f t="shared" si="6"/>
        <v>0</v>
      </c>
      <c r="AP41" s="24">
        <f t="shared" si="6"/>
        <v>0</v>
      </c>
      <c r="AQ41" s="24">
        <f t="shared" si="6"/>
        <v>0</v>
      </c>
      <c r="AR41" s="24">
        <f t="shared" si="6"/>
        <v>0</v>
      </c>
      <c r="AS41" s="24">
        <f t="shared" si="6"/>
        <v>0</v>
      </c>
      <c r="AT41" s="24">
        <f t="shared" si="6"/>
        <v>0</v>
      </c>
      <c r="AU41" s="24">
        <f t="shared" si="6"/>
        <v>0</v>
      </c>
      <c r="AV41" s="24">
        <f t="shared" si="6"/>
        <v>0</v>
      </c>
      <c r="AW41" s="24">
        <f t="shared" si="6"/>
        <v>0</v>
      </c>
      <c r="AX41" s="24">
        <f t="shared" si="6"/>
        <v>0</v>
      </c>
      <c r="AY41" s="24">
        <f t="shared" si="6"/>
        <v>0</v>
      </c>
      <c r="AZ41" s="24">
        <f t="shared" si="6"/>
        <v>0</v>
      </c>
      <c r="BA41" s="24">
        <f t="shared" si="6"/>
        <v>0</v>
      </c>
      <c r="BB41" s="24">
        <f t="shared" si="6"/>
        <v>0</v>
      </c>
      <c r="BC41" s="24">
        <f t="shared" si="6"/>
        <v>0</v>
      </c>
      <c r="BD41" s="24">
        <f t="shared" si="6"/>
        <v>0</v>
      </c>
      <c r="BE41" s="24">
        <f t="shared" si="6"/>
        <v>0</v>
      </c>
      <c r="BF41" s="24">
        <f t="shared" si="6"/>
        <v>0</v>
      </c>
      <c r="BG41" s="24">
        <f t="shared" si="6"/>
        <v>0</v>
      </c>
      <c r="BH41" s="24">
        <f t="shared" si="6"/>
        <v>480</v>
      </c>
      <c r="BI41" s="24">
        <f t="shared" si="6"/>
        <v>0</v>
      </c>
    </row>
    <row r="42" spans="4:61" x14ac:dyDescent="0.3">
      <c r="D42" s="23" t="s">
        <v>52</v>
      </c>
      <c r="E42" s="25"/>
      <c r="F42" s="24">
        <f t="shared" ref="F42:BI46" si="7">F18*35</f>
        <v>0</v>
      </c>
      <c r="G42" s="24">
        <f t="shared" si="7"/>
        <v>0</v>
      </c>
      <c r="H42" s="24">
        <f t="shared" si="7"/>
        <v>0</v>
      </c>
      <c r="I42" s="24">
        <f t="shared" si="7"/>
        <v>0</v>
      </c>
      <c r="J42" s="24">
        <f t="shared" si="7"/>
        <v>0</v>
      </c>
      <c r="K42" s="24">
        <f t="shared" si="7"/>
        <v>0</v>
      </c>
      <c r="L42" s="24">
        <f t="shared" si="7"/>
        <v>0</v>
      </c>
      <c r="M42" s="24">
        <f t="shared" si="7"/>
        <v>0</v>
      </c>
      <c r="N42" s="24">
        <f t="shared" si="7"/>
        <v>0</v>
      </c>
      <c r="O42" s="24">
        <f t="shared" si="7"/>
        <v>0</v>
      </c>
      <c r="P42" s="24">
        <f t="shared" si="7"/>
        <v>0</v>
      </c>
      <c r="Q42" s="24">
        <f t="shared" si="7"/>
        <v>0</v>
      </c>
      <c r="R42" s="24">
        <f t="shared" si="7"/>
        <v>0</v>
      </c>
      <c r="S42" s="24">
        <f t="shared" si="7"/>
        <v>0</v>
      </c>
      <c r="T42" s="24">
        <f t="shared" si="7"/>
        <v>0</v>
      </c>
      <c r="U42" s="24">
        <f t="shared" si="7"/>
        <v>0</v>
      </c>
      <c r="V42" s="24">
        <f t="shared" si="7"/>
        <v>0</v>
      </c>
      <c r="W42" s="24">
        <f t="shared" si="7"/>
        <v>0</v>
      </c>
      <c r="X42" s="24">
        <f t="shared" si="7"/>
        <v>0</v>
      </c>
      <c r="Y42" s="24">
        <f t="shared" si="7"/>
        <v>0</v>
      </c>
      <c r="Z42" s="24">
        <f t="shared" si="7"/>
        <v>0</v>
      </c>
      <c r="AA42" s="24">
        <f t="shared" si="7"/>
        <v>0</v>
      </c>
      <c r="AB42" s="24">
        <f t="shared" si="7"/>
        <v>0</v>
      </c>
      <c r="AC42" s="24">
        <f t="shared" si="7"/>
        <v>0</v>
      </c>
      <c r="AD42" s="24">
        <f t="shared" si="7"/>
        <v>0</v>
      </c>
      <c r="AE42" s="24">
        <f t="shared" si="7"/>
        <v>0</v>
      </c>
      <c r="AF42" s="24">
        <f t="shared" si="7"/>
        <v>0</v>
      </c>
      <c r="AG42" s="24">
        <f t="shared" si="7"/>
        <v>0</v>
      </c>
      <c r="AH42" s="24">
        <f t="shared" si="7"/>
        <v>0</v>
      </c>
      <c r="AI42" s="24">
        <f t="shared" si="7"/>
        <v>0</v>
      </c>
      <c r="AJ42" s="24">
        <f t="shared" si="7"/>
        <v>0</v>
      </c>
      <c r="AK42" s="24">
        <f t="shared" si="7"/>
        <v>0</v>
      </c>
      <c r="AL42" s="24">
        <f t="shared" si="7"/>
        <v>0</v>
      </c>
      <c r="AM42" s="24">
        <f t="shared" si="7"/>
        <v>0</v>
      </c>
      <c r="AN42" s="24">
        <f t="shared" si="7"/>
        <v>0</v>
      </c>
      <c r="AO42" s="24">
        <f t="shared" si="7"/>
        <v>0</v>
      </c>
      <c r="AP42" s="24">
        <f t="shared" si="7"/>
        <v>420</v>
      </c>
      <c r="AQ42" s="24">
        <f t="shared" si="7"/>
        <v>0</v>
      </c>
      <c r="AR42" s="24">
        <f t="shared" si="7"/>
        <v>0</v>
      </c>
      <c r="AS42" s="24">
        <f t="shared" si="7"/>
        <v>0</v>
      </c>
      <c r="AT42" s="24">
        <f t="shared" si="7"/>
        <v>0</v>
      </c>
      <c r="AU42" s="24">
        <f t="shared" si="7"/>
        <v>0</v>
      </c>
      <c r="AV42" s="24">
        <f t="shared" si="7"/>
        <v>0</v>
      </c>
      <c r="AW42" s="24">
        <f t="shared" si="7"/>
        <v>0</v>
      </c>
      <c r="AX42" s="24">
        <f t="shared" si="7"/>
        <v>0</v>
      </c>
      <c r="AY42" s="24">
        <f t="shared" si="7"/>
        <v>0</v>
      </c>
      <c r="AZ42" s="24">
        <f t="shared" si="7"/>
        <v>0</v>
      </c>
      <c r="BA42" s="24">
        <f t="shared" si="7"/>
        <v>0</v>
      </c>
      <c r="BB42" s="24">
        <f t="shared" si="7"/>
        <v>0</v>
      </c>
      <c r="BC42" s="24">
        <f t="shared" si="7"/>
        <v>0</v>
      </c>
      <c r="BD42" s="24">
        <f t="shared" si="7"/>
        <v>0</v>
      </c>
      <c r="BE42" s="24">
        <f t="shared" si="7"/>
        <v>0</v>
      </c>
      <c r="BF42" s="24">
        <f t="shared" si="7"/>
        <v>0</v>
      </c>
      <c r="BG42" s="24">
        <f t="shared" si="7"/>
        <v>0</v>
      </c>
      <c r="BH42" s="24">
        <f t="shared" si="7"/>
        <v>0</v>
      </c>
      <c r="BI42" s="24">
        <f t="shared" si="7"/>
        <v>0</v>
      </c>
    </row>
    <row r="43" spans="4:61" x14ac:dyDescent="0.3">
      <c r="D43" s="23" t="s">
        <v>54</v>
      </c>
      <c r="E43" s="25"/>
      <c r="F43" s="24">
        <f t="shared" si="7"/>
        <v>0</v>
      </c>
      <c r="G43" s="24">
        <f t="shared" si="7"/>
        <v>0</v>
      </c>
      <c r="H43" s="24">
        <f t="shared" si="7"/>
        <v>0</v>
      </c>
      <c r="I43" s="24">
        <f t="shared" si="7"/>
        <v>0</v>
      </c>
      <c r="J43" s="24">
        <f t="shared" si="7"/>
        <v>0</v>
      </c>
      <c r="K43" s="24">
        <f t="shared" si="7"/>
        <v>0</v>
      </c>
      <c r="L43" s="24">
        <f t="shared" si="7"/>
        <v>0</v>
      </c>
      <c r="M43" s="24">
        <f t="shared" si="7"/>
        <v>0</v>
      </c>
      <c r="N43" s="24">
        <f t="shared" si="7"/>
        <v>0</v>
      </c>
      <c r="O43" s="24">
        <f t="shared" si="7"/>
        <v>0</v>
      </c>
      <c r="P43" s="24">
        <f t="shared" si="7"/>
        <v>0</v>
      </c>
      <c r="Q43" s="24">
        <f t="shared" si="7"/>
        <v>0</v>
      </c>
      <c r="R43" s="24">
        <f t="shared" si="7"/>
        <v>0</v>
      </c>
      <c r="S43" s="24">
        <f t="shared" si="7"/>
        <v>0</v>
      </c>
      <c r="T43" s="24">
        <f t="shared" si="7"/>
        <v>0</v>
      </c>
      <c r="U43" s="24">
        <f t="shared" si="7"/>
        <v>0</v>
      </c>
      <c r="V43" s="24">
        <f t="shared" si="7"/>
        <v>0</v>
      </c>
      <c r="W43" s="24">
        <f t="shared" si="7"/>
        <v>0</v>
      </c>
      <c r="X43" s="24">
        <f t="shared" si="7"/>
        <v>0</v>
      </c>
      <c r="Y43" s="24">
        <f t="shared" si="7"/>
        <v>0</v>
      </c>
      <c r="Z43" s="24">
        <f t="shared" si="7"/>
        <v>0</v>
      </c>
      <c r="AA43" s="24">
        <f t="shared" si="7"/>
        <v>0</v>
      </c>
      <c r="AB43" s="24">
        <f t="shared" si="7"/>
        <v>0</v>
      </c>
      <c r="AC43" s="24">
        <f t="shared" si="7"/>
        <v>0</v>
      </c>
      <c r="AD43" s="24">
        <f t="shared" si="7"/>
        <v>0</v>
      </c>
      <c r="AE43" s="24">
        <f t="shared" si="7"/>
        <v>0</v>
      </c>
      <c r="AF43" s="24">
        <f t="shared" si="7"/>
        <v>0</v>
      </c>
      <c r="AG43" s="24">
        <f t="shared" si="7"/>
        <v>0</v>
      </c>
      <c r="AH43" s="24">
        <f t="shared" si="7"/>
        <v>0</v>
      </c>
      <c r="AI43" s="24">
        <f t="shared" si="7"/>
        <v>0</v>
      </c>
      <c r="AJ43" s="24">
        <f t="shared" si="7"/>
        <v>0</v>
      </c>
      <c r="AK43" s="24">
        <f t="shared" si="7"/>
        <v>0</v>
      </c>
      <c r="AL43" s="24">
        <f t="shared" si="7"/>
        <v>0</v>
      </c>
      <c r="AM43" s="24">
        <f t="shared" si="7"/>
        <v>0</v>
      </c>
      <c r="AN43" s="24">
        <f t="shared" si="7"/>
        <v>455</v>
      </c>
      <c r="AO43" s="24">
        <f t="shared" si="7"/>
        <v>0</v>
      </c>
      <c r="AP43" s="24">
        <f t="shared" si="7"/>
        <v>0</v>
      </c>
      <c r="AQ43" s="24">
        <f t="shared" si="7"/>
        <v>0</v>
      </c>
      <c r="AR43" s="24">
        <f t="shared" si="7"/>
        <v>0</v>
      </c>
      <c r="AS43" s="24">
        <f t="shared" si="7"/>
        <v>0</v>
      </c>
      <c r="AT43" s="24">
        <f t="shared" si="7"/>
        <v>0</v>
      </c>
      <c r="AU43" s="24">
        <f t="shared" si="7"/>
        <v>0</v>
      </c>
      <c r="AV43" s="24">
        <f t="shared" si="7"/>
        <v>0</v>
      </c>
      <c r="AW43" s="24">
        <f t="shared" si="7"/>
        <v>0</v>
      </c>
      <c r="AX43" s="24">
        <f t="shared" si="7"/>
        <v>0</v>
      </c>
      <c r="AY43" s="24">
        <f t="shared" si="7"/>
        <v>0</v>
      </c>
      <c r="AZ43" s="24">
        <f t="shared" si="7"/>
        <v>0</v>
      </c>
      <c r="BA43" s="24">
        <f t="shared" si="7"/>
        <v>0</v>
      </c>
      <c r="BB43" s="24">
        <f t="shared" si="7"/>
        <v>0</v>
      </c>
      <c r="BC43" s="24">
        <f t="shared" si="7"/>
        <v>0</v>
      </c>
      <c r="BD43" s="24">
        <f t="shared" si="7"/>
        <v>0</v>
      </c>
      <c r="BE43" s="24">
        <f t="shared" si="7"/>
        <v>0</v>
      </c>
      <c r="BF43" s="24">
        <f t="shared" si="7"/>
        <v>0</v>
      </c>
      <c r="BG43" s="24">
        <f t="shared" si="7"/>
        <v>0</v>
      </c>
      <c r="BH43" s="24">
        <f t="shared" si="7"/>
        <v>0</v>
      </c>
      <c r="BI43" s="24">
        <f t="shared" si="7"/>
        <v>0</v>
      </c>
    </row>
    <row r="44" spans="4:61" x14ac:dyDescent="0.3">
      <c r="D44" s="6" t="s">
        <v>56</v>
      </c>
      <c r="E44" s="25"/>
      <c r="F44" s="24">
        <f t="shared" si="7"/>
        <v>0</v>
      </c>
      <c r="G44" s="24">
        <f t="shared" si="7"/>
        <v>0</v>
      </c>
      <c r="H44" s="24">
        <f t="shared" si="7"/>
        <v>0</v>
      </c>
      <c r="I44" s="24">
        <f t="shared" si="7"/>
        <v>0</v>
      </c>
      <c r="J44" s="24">
        <f t="shared" si="7"/>
        <v>0</v>
      </c>
      <c r="K44" s="24">
        <f t="shared" si="7"/>
        <v>0</v>
      </c>
      <c r="L44" s="24">
        <f t="shared" si="7"/>
        <v>0</v>
      </c>
      <c r="M44" s="24">
        <f t="shared" si="7"/>
        <v>0</v>
      </c>
      <c r="N44" s="24">
        <f t="shared" si="7"/>
        <v>0</v>
      </c>
      <c r="O44" s="24">
        <f t="shared" si="7"/>
        <v>0</v>
      </c>
      <c r="P44" s="24">
        <f t="shared" si="7"/>
        <v>0</v>
      </c>
      <c r="Q44" s="24">
        <f t="shared" si="7"/>
        <v>0</v>
      </c>
      <c r="R44" s="24">
        <f t="shared" si="7"/>
        <v>0</v>
      </c>
      <c r="S44" s="24">
        <f t="shared" si="7"/>
        <v>0</v>
      </c>
      <c r="T44" s="24">
        <f t="shared" si="7"/>
        <v>0</v>
      </c>
      <c r="U44" s="24">
        <f t="shared" si="7"/>
        <v>0</v>
      </c>
      <c r="V44" s="24">
        <f t="shared" si="7"/>
        <v>0</v>
      </c>
      <c r="W44" s="24">
        <f t="shared" si="7"/>
        <v>0</v>
      </c>
      <c r="X44" s="24">
        <f t="shared" si="7"/>
        <v>0</v>
      </c>
      <c r="Y44" s="24">
        <f t="shared" si="7"/>
        <v>0</v>
      </c>
      <c r="Z44" s="24">
        <f t="shared" si="7"/>
        <v>0</v>
      </c>
      <c r="AA44" s="24">
        <f t="shared" si="7"/>
        <v>0</v>
      </c>
      <c r="AB44" s="24">
        <f t="shared" si="7"/>
        <v>0</v>
      </c>
      <c r="AC44" s="24">
        <f t="shared" si="7"/>
        <v>0</v>
      </c>
      <c r="AD44" s="24">
        <f t="shared" si="7"/>
        <v>0</v>
      </c>
      <c r="AE44" s="24">
        <f t="shared" si="7"/>
        <v>0</v>
      </c>
      <c r="AF44" s="24">
        <f t="shared" si="7"/>
        <v>0</v>
      </c>
      <c r="AG44" s="24">
        <f t="shared" si="7"/>
        <v>0</v>
      </c>
      <c r="AH44" s="24">
        <f t="shared" si="7"/>
        <v>0</v>
      </c>
      <c r="AI44" s="24">
        <f t="shared" si="7"/>
        <v>0</v>
      </c>
      <c r="AJ44" s="24">
        <f t="shared" si="7"/>
        <v>0</v>
      </c>
      <c r="AK44" s="24">
        <f t="shared" si="7"/>
        <v>0</v>
      </c>
      <c r="AL44" s="24">
        <f t="shared" si="7"/>
        <v>0</v>
      </c>
      <c r="AM44" s="24">
        <f t="shared" si="7"/>
        <v>0</v>
      </c>
      <c r="AN44" s="24">
        <f t="shared" si="7"/>
        <v>0</v>
      </c>
      <c r="AO44" s="24">
        <f t="shared" si="7"/>
        <v>0</v>
      </c>
      <c r="AP44" s="24">
        <f t="shared" si="7"/>
        <v>455</v>
      </c>
      <c r="AQ44" s="24">
        <f t="shared" si="7"/>
        <v>0</v>
      </c>
      <c r="AR44" s="24">
        <f t="shared" si="7"/>
        <v>0</v>
      </c>
      <c r="AS44" s="24">
        <f t="shared" si="7"/>
        <v>0</v>
      </c>
      <c r="AT44" s="24">
        <f t="shared" si="7"/>
        <v>0</v>
      </c>
      <c r="AU44" s="24">
        <f t="shared" si="7"/>
        <v>0</v>
      </c>
      <c r="AV44" s="24">
        <f t="shared" si="7"/>
        <v>0</v>
      </c>
      <c r="AW44" s="24">
        <f t="shared" si="7"/>
        <v>0</v>
      </c>
      <c r="AX44" s="24">
        <f t="shared" si="7"/>
        <v>0</v>
      </c>
      <c r="AY44" s="24">
        <f t="shared" si="7"/>
        <v>0</v>
      </c>
      <c r="AZ44" s="24">
        <f t="shared" si="7"/>
        <v>0</v>
      </c>
      <c r="BA44" s="24">
        <f t="shared" si="7"/>
        <v>0</v>
      </c>
      <c r="BB44" s="24">
        <f t="shared" si="7"/>
        <v>0</v>
      </c>
      <c r="BC44" s="24">
        <f t="shared" si="7"/>
        <v>0</v>
      </c>
      <c r="BD44" s="24">
        <f t="shared" si="7"/>
        <v>0</v>
      </c>
      <c r="BE44" s="24">
        <f t="shared" si="7"/>
        <v>0</v>
      </c>
      <c r="BF44" s="24">
        <f t="shared" si="7"/>
        <v>0</v>
      </c>
      <c r="BG44" s="24">
        <f t="shared" si="7"/>
        <v>0</v>
      </c>
      <c r="BH44" s="24">
        <f t="shared" si="7"/>
        <v>0</v>
      </c>
      <c r="BI44" s="24">
        <f t="shared" si="7"/>
        <v>0</v>
      </c>
    </row>
    <row r="45" spans="4:61" x14ac:dyDescent="0.3">
      <c r="D45" s="6" t="s">
        <v>58</v>
      </c>
      <c r="E45" s="25"/>
      <c r="F45" s="24">
        <f t="shared" si="7"/>
        <v>0</v>
      </c>
      <c r="G45" s="24">
        <f t="shared" si="7"/>
        <v>0</v>
      </c>
      <c r="H45" s="24">
        <f t="shared" si="7"/>
        <v>0</v>
      </c>
      <c r="I45" s="24">
        <f t="shared" si="7"/>
        <v>0</v>
      </c>
      <c r="J45" s="24">
        <f t="shared" si="7"/>
        <v>0</v>
      </c>
      <c r="K45" s="24">
        <f t="shared" si="7"/>
        <v>0</v>
      </c>
      <c r="L45" s="24">
        <f t="shared" si="7"/>
        <v>0</v>
      </c>
      <c r="M45" s="24">
        <f t="shared" si="7"/>
        <v>0</v>
      </c>
      <c r="N45" s="24">
        <f t="shared" si="7"/>
        <v>0</v>
      </c>
      <c r="O45" s="24">
        <f t="shared" si="7"/>
        <v>0</v>
      </c>
      <c r="P45" s="24">
        <f t="shared" si="7"/>
        <v>0</v>
      </c>
      <c r="Q45" s="24">
        <f t="shared" si="7"/>
        <v>0</v>
      </c>
      <c r="R45" s="24">
        <f t="shared" si="7"/>
        <v>0</v>
      </c>
      <c r="S45" s="24">
        <f t="shared" si="7"/>
        <v>0</v>
      </c>
      <c r="T45" s="24">
        <f t="shared" si="7"/>
        <v>0</v>
      </c>
      <c r="U45" s="24">
        <f t="shared" si="7"/>
        <v>0</v>
      </c>
      <c r="V45" s="24">
        <f t="shared" si="7"/>
        <v>0</v>
      </c>
      <c r="W45" s="24">
        <f t="shared" si="7"/>
        <v>0</v>
      </c>
      <c r="X45" s="24">
        <f t="shared" si="7"/>
        <v>0</v>
      </c>
      <c r="Y45" s="24">
        <f t="shared" si="7"/>
        <v>0</v>
      </c>
      <c r="Z45" s="24">
        <f t="shared" si="7"/>
        <v>0</v>
      </c>
      <c r="AA45" s="24">
        <f t="shared" si="7"/>
        <v>0</v>
      </c>
      <c r="AB45" s="24">
        <f t="shared" si="7"/>
        <v>0</v>
      </c>
      <c r="AC45" s="24">
        <f t="shared" si="7"/>
        <v>0</v>
      </c>
      <c r="AD45" s="24">
        <f t="shared" si="7"/>
        <v>0</v>
      </c>
      <c r="AE45" s="24">
        <f t="shared" si="7"/>
        <v>0</v>
      </c>
      <c r="AF45" s="24">
        <f t="shared" si="7"/>
        <v>0</v>
      </c>
      <c r="AG45" s="24">
        <f t="shared" si="7"/>
        <v>0</v>
      </c>
      <c r="AH45" s="24">
        <f t="shared" si="7"/>
        <v>0</v>
      </c>
      <c r="AI45" s="24">
        <f t="shared" si="7"/>
        <v>0</v>
      </c>
      <c r="AJ45" s="24">
        <f t="shared" si="7"/>
        <v>0</v>
      </c>
      <c r="AK45" s="24">
        <f t="shared" si="7"/>
        <v>0</v>
      </c>
      <c r="AL45" s="24">
        <f t="shared" si="7"/>
        <v>0</v>
      </c>
      <c r="AM45" s="24">
        <f t="shared" si="7"/>
        <v>0</v>
      </c>
      <c r="AN45" s="24">
        <f t="shared" si="7"/>
        <v>490</v>
      </c>
      <c r="AO45" s="24">
        <f t="shared" si="7"/>
        <v>0</v>
      </c>
      <c r="AP45" s="24">
        <f t="shared" si="7"/>
        <v>0</v>
      </c>
      <c r="AQ45" s="24">
        <f t="shared" si="7"/>
        <v>0</v>
      </c>
      <c r="AR45" s="24">
        <f t="shared" si="7"/>
        <v>0</v>
      </c>
      <c r="AS45" s="24">
        <f t="shared" si="7"/>
        <v>0</v>
      </c>
      <c r="AT45" s="24">
        <f t="shared" si="7"/>
        <v>0</v>
      </c>
      <c r="AU45" s="24">
        <f t="shared" si="7"/>
        <v>0</v>
      </c>
      <c r="AV45" s="24">
        <f t="shared" si="7"/>
        <v>0</v>
      </c>
      <c r="AW45" s="24">
        <f t="shared" si="7"/>
        <v>0</v>
      </c>
      <c r="AX45" s="24">
        <f t="shared" si="7"/>
        <v>0</v>
      </c>
      <c r="AY45" s="24">
        <f t="shared" si="7"/>
        <v>0</v>
      </c>
      <c r="AZ45" s="24">
        <f t="shared" si="7"/>
        <v>0</v>
      </c>
      <c r="BA45" s="24">
        <f t="shared" si="7"/>
        <v>0</v>
      </c>
      <c r="BB45" s="24">
        <f t="shared" si="7"/>
        <v>0</v>
      </c>
      <c r="BC45" s="24">
        <f t="shared" si="7"/>
        <v>0</v>
      </c>
      <c r="BD45" s="24">
        <f t="shared" si="7"/>
        <v>0</v>
      </c>
      <c r="BE45" s="24">
        <f t="shared" si="7"/>
        <v>0</v>
      </c>
      <c r="BF45" s="24">
        <f t="shared" si="7"/>
        <v>0</v>
      </c>
      <c r="BG45" s="24">
        <f t="shared" si="7"/>
        <v>0</v>
      </c>
      <c r="BH45" s="24">
        <f t="shared" si="7"/>
        <v>0</v>
      </c>
      <c r="BI45" s="24">
        <f t="shared" si="7"/>
        <v>0</v>
      </c>
    </row>
    <row r="46" spans="4:61" x14ac:dyDescent="0.3">
      <c r="D46" s="23" t="s">
        <v>60</v>
      </c>
      <c r="E46" s="25"/>
      <c r="F46" s="24">
        <f t="shared" si="7"/>
        <v>0</v>
      </c>
      <c r="G46" s="24">
        <f t="shared" si="7"/>
        <v>0</v>
      </c>
      <c r="H46" s="24">
        <f t="shared" si="7"/>
        <v>0</v>
      </c>
      <c r="I46" s="24">
        <f t="shared" si="7"/>
        <v>0</v>
      </c>
      <c r="J46" s="24">
        <f t="shared" si="7"/>
        <v>0</v>
      </c>
      <c r="K46" s="24">
        <f t="shared" si="7"/>
        <v>0</v>
      </c>
      <c r="L46" s="24">
        <f t="shared" si="7"/>
        <v>0</v>
      </c>
      <c r="M46" s="24">
        <f t="shared" ref="M46:BI47" si="8">M22*35</f>
        <v>0</v>
      </c>
      <c r="N46" s="24">
        <f t="shared" si="8"/>
        <v>0</v>
      </c>
      <c r="O46" s="24">
        <f t="shared" si="8"/>
        <v>0</v>
      </c>
      <c r="P46" s="24">
        <f t="shared" si="8"/>
        <v>0</v>
      </c>
      <c r="Q46" s="24">
        <f t="shared" si="8"/>
        <v>70</v>
      </c>
      <c r="R46" s="24">
        <f t="shared" si="8"/>
        <v>0</v>
      </c>
      <c r="S46" s="24">
        <f t="shared" si="8"/>
        <v>0</v>
      </c>
      <c r="T46" s="24">
        <f t="shared" si="8"/>
        <v>0</v>
      </c>
      <c r="U46" s="24">
        <f t="shared" si="8"/>
        <v>0</v>
      </c>
      <c r="V46" s="24">
        <f t="shared" si="8"/>
        <v>0</v>
      </c>
      <c r="W46" s="24">
        <f t="shared" si="8"/>
        <v>0</v>
      </c>
      <c r="X46" s="24">
        <f t="shared" si="8"/>
        <v>0</v>
      </c>
      <c r="Y46" s="24">
        <f t="shared" si="8"/>
        <v>0</v>
      </c>
      <c r="Z46" s="24">
        <f t="shared" si="8"/>
        <v>0</v>
      </c>
      <c r="AA46" s="24">
        <f t="shared" si="8"/>
        <v>0</v>
      </c>
      <c r="AB46" s="24">
        <f t="shared" si="8"/>
        <v>0</v>
      </c>
      <c r="AC46" s="24">
        <f t="shared" si="8"/>
        <v>0</v>
      </c>
      <c r="AD46" s="24">
        <f t="shared" si="8"/>
        <v>0</v>
      </c>
      <c r="AE46" s="24">
        <f t="shared" si="8"/>
        <v>0</v>
      </c>
      <c r="AF46" s="24">
        <f t="shared" si="8"/>
        <v>0</v>
      </c>
      <c r="AG46" s="24">
        <f t="shared" si="8"/>
        <v>0</v>
      </c>
      <c r="AH46" s="24">
        <f t="shared" si="8"/>
        <v>0</v>
      </c>
      <c r="AI46" s="24">
        <f t="shared" si="8"/>
        <v>0</v>
      </c>
      <c r="AJ46" s="24">
        <f t="shared" si="8"/>
        <v>0</v>
      </c>
      <c r="AK46" s="24">
        <f t="shared" si="8"/>
        <v>0</v>
      </c>
      <c r="AL46" s="24">
        <f t="shared" si="8"/>
        <v>0</v>
      </c>
      <c r="AM46" s="24">
        <f t="shared" si="8"/>
        <v>0</v>
      </c>
      <c r="AN46" s="24">
        <f t="shared" si="8"/>
        <v>0</v>
      </c>
      <c r="AO46" s="24">
        <f t="shared" si="8"/>
        <v>0</v>
      </c>
      <c r="AP46" s="24">
        <f t="shared" si="8"/>
        <v>0</v>
      </c>
      <c r="AQ46" s="24">
        <f t="shared" si="8"/>
        <v>0</v>
      </c>
      <c r="AR46" s="24">
        <f t="shared" si="8"/>
        <v>420</v>
      </c>
      <c r="AS46" s="24">
        <f t="shared" si="8"/>
        <v>0</v>
      </c>
      <c r="AT46" s="24">
        <f t="shared" si="8"/>
        <v>0</v>
      </c>
      <c r="AU46" s="24">
        <f t="shared" si="8"/>
        <v>0</v>
      </c>
      <c r="AV46" s="24">
        <f t="shared" si="8"/>
        <v>0</v>
      </c>
      <c r="AW46" s="24">
        <f t="shared" si="8"/>
        <v>0</v>
      </c>
      <c r="AX46" s="24">
        <f t="shared" si="8"/>
        <v>0</v>
      </c>
      <c r="AY46" s="24">
        <f t="shared" si="8"/>
        <v>0</v>
      </c>
      <c r="AZ46" s="24">
        <f t="shared" si="8"/>
        <v>0</v>
      </c>
      <c r="BA46" s="24">
        <f t="shared" si="8"/>
        <v>0</v>
      </c>
      <c r="BB46" s="24">
        <f t="shared" si="8"/>
        <v>0</v>
      </c>
      <c r="BC46" s="24">
        <f t="shared" si="8"/>
        <v>0</v>
      </c>
      <c r="BD46" s="24">
        <f t="shared" si="8"/>
        <v>0</v>
      </c>
      <c r="BE46" s="24">
        <f t="shared" si="8"/>
        <v>0</v>
      </c>
      <c r="BF46" s="24">
        <f t="shared" si="8"/>
        <v>0</v>
      </c>
      <c r="BG46" s="24">
        <f t="shared" si="8"/>
        <v>0</v>
      </c>
      <c r="BH46" s="24">
        <f t="shared" si="8"/>
        <v>0</v>
      </c>
      <c r="BI46" s="24">
        <f t="shared" si="8"/>
        <v>0</v>
      </c>
    </row>
    <row r="47" spans="4:61" x14ac:dyDescent="0.3">
      <c r="D47" s="23" t="s">
        <v>64</v>
      </c>
      <c r="E47" s="25"/>
      <c r="F47" s="24">
        <f t="shared" ref="F47:AK47" si="9">F23*35</f>
        <v>0</v>
      </c>
      <c r="G47" s="24">
        <f t="shared" si="9"/>
        <v>0</v>
      </c>
      <c r="H47" s="24">
        <f t="shared" si="9"/>
        <v>0</v>
      </c>
      <c r="I47" s="24">
        <f t="shared" si="9"/>
        <v>0</v>
      </c>
      <c r="J47" s="24">
        <f t="shared" si="9"/>
        <v>0</v>
      </c>
      <c r="K47" s="24">
        <f t="shared" si="9"/>
        <v>0</v>
      </c>
      <c r="L47" s="24">
        <f t="shared" si="9"/>
        <v>0</v>
      </c>
      <c r="M47" s="24">
        <f t="shared" si="9"/>
        <v>0</v>
      </c>
      <c r="N47" s="24">
        <f t="shared" si="9"/>
        <v>0</v>
      </c>
      <c r="O47" s="24">
        <f t="shared" si="9"/>
        <v>0</v>
      </c>
      <c r="P47" s="24">
        <f t="shared" si="9"/>
        <v>0</v>
      </c>
      <c r="Q47" s="24">
        <f t="shared" si="9"/>
        <v>0</v>
      </c>
      <c r="R47" s="24">
        <f t="shared" si="9"/>
        <v>0</v>
      </c>
      <c r="S47" s="24">
        <f t="shared" si="9"/>
        <v>0</v>
      </c>
      <c r="T47" s="24">
        <f t="shared" si="9"/>
        <v>0</v>
      </c>
      <c r="U47" s="24">
        <f t="shared" si="9"/>
        <v>0</v>
      </c>
      <c r="V47" s="24">
        <f t="shared" si="9"/>
        <v>0</v>
      </c>
      <c r="W47" s="24">
        <f t="shared" si="9"/>
        <v>0</v>
      </c>
      <c r="X47" s="24">
        <f t="shared" si="9"/>
        <v>0</v>
      </c>
      <c r="Y47" s="24">
        <f t="shared" si="9"/>
        <v>0</v>
      </c>
      <c r="Z47" s="24">
        <f t="shared" si="9"/>
        <v>0</v>
      </c>
      <c r="AA47" s="24">
        <f t="shared" si="9"/>
        <v>0</v>
      </c>
      <c r="AB47" s="24">
        <f t="shared" si="9"/>
        <v>0</v>
      </c>
      <c r="AC47" s="24">
        <f t="shared" si="9"/>
        <v>0</v>
      </c>
      <c r="AD47" s="24">
        <f t="shared" si="9"/>
        <v>560</v>
      </c>
      <c r="AE47" s="24">
        <f t="shared" si="9"/>
        <v>0</v>
      </c>
      <c r="AF47" s="24">
        <f t="shared" si="9"/>
        <v>0</v>
      </c>
      <c r="AG47" s="24">
        <f t="shared" si="9"/>
        <v>0</v>
      </c>
      <c r="AH47" s="24">
        <f t="shared" si="9"/>
        <v>0</v>
      </c>
      <c r="AI47" s="24">
        <f t="shared" si="9"/>
        <v>0</v>
      </c>
      <c r="AJ47" s="24">
        <f t="shared" si="9"/>
        <v>0</v>
      </c>
      <c r="AK47" s="24">
        <f t="shared" si="9"/>
        <v>0</v>
      </c>
      <c r="AL47" s="24">
        <f t="shared" si="8"/>
        <v>0</v>
      </c>
      <c r="AM47" s="24">
        <f t="shared" si="8"/>
        <v>0</v>
      </c>
      <c r="AN47" s="24">
        <f t="shared" si="8"/>
        <v>0</v>
      </c>
      <c r="AO47" s="24">
        <f t="shared" si="8"/>
        <v>0</v>
      </c>
      <c r="AP47" s="24">
        <f t="shared" si="8"/>
        <v>0</v>
      </c>
      <c r="AQ47" s="24">
        <f t="shared" si="8"/>
        <v>0</v>
      </c>
      <c r="AR47" s="24">
        <f t="shared" si="8"/>
        <v>0</v>
      </c>
      <c r="AS47" s="24">
        <f t="shared" si="8"/>
        <v>0</v>
      </c>
      <c r="AT47" s="24">
        <f t="shared" si="8"/>
        <v>0</v>
      </c>
      <c r="AU47" s="24">
        <f t="shared" si="8"/>
        <v>0</v>
      </c>
      <c r="AV47" s="24">
        <f t="shared" si="8"/>
        <v>0</v>
      </c>
      <c r="AW47" s="24">
        <f t="shared" si="8"/>
        <v>0</v>
      </c>
      <c r="AX47" s="24">
        <f t="shared" si="8"/>
        <v>0</v>
      </c>
      <c r="AY47" s="24">
        <f t="shared" si="8"/>
        <v>0</v>
      </c>
      <c r="AZ47" s="24">
        <f t="shared" si="8"/>
        <v>0</v>
      </c>
      <c r="BA47" s="24">
        <f t="shared" si="8"/>
        <v>0</v>
      </c>
      <c r="BB47" s="24">
        <f t="shared" si="8"/>
        <v>0</v>
      </c>
      <c r="BC47" s="24">
        <f t="shared" si="8"/>
        <v>0</v>
      </c>
      <c r="BD47" s="24">
        <f t="shared" si="8"/>
        <v>0</v>
      </c>
      <c r="BE47" s="24">
        <f t="shared" si="8"/>
        <v>0</v>
      </c>
      <c r="BF47" s="24">
        <f t="shared" si="8"/>
        <v>0</v>
      </c>
      <c r="BG47" s="24">
        <f t="shared" si="8"/>
        <v>0</v>
      </c>
      <c r="BH47" s="24">
        <f t="shared" si="8"/>
        <v>385</v>
      </c>
      <c r="BI47" s="24">
        <f t="shared" si="8"/>
        <v>0</v>
      </c>
    </row>
    <row r="48" spans="4:61" x14ac:dyDescent="0.3">
      <c r="D48" s="23" t="s">
        <v>69</v>
      </c>
      <c r="E48" s="25"/>
      <c r="F48" s="24">
        <f t="shared" ref="F48:BI48" si="10">F24*45</f>
        <v>0</v>
      </c>
      <c r="G48" s="24">
        <f t="shared" si="10"/>
        <v>0</v>
      </c>
      <c r="H48" s="24">
        <f t="shared" si="10"/>
        <v>0</v>
      </c>
      <c r="I48" s="24">
        <f t="shared" si="10"/>
        <v>0</v>
      </c>
      <c r="J48" s="24">
        <f t="shared" si="10"/>
        <v>0</v>
      </c>
      <c r="K48" s="24">
        <f t="shared" si="10"/>
        <v>0</v>
      </c>
      <c r="L48" s="24">
        <f t="shared" si="10"/>
        <v>0</v>
      </c>
      <c r="M48" s="24">
        <f t="shared" si="10"/>
        <v>0</v>
      </c>
      <c r="N48" s="24">
        <f t="shared" si="10"/>
        <v>0</v>
      </c>
      <c r="O48" s="24">
        <f t="shared" si="10"/>
        <v>0</v>
      </c>
      <c r="P48" s="24">
        <f t="shared" si="10"/>
        <v>0</v>
      </c>
      <c r="Q48" s="24">
        <f t="shared" si="10"/>
        <v>0</v>
      </c>
      <c r="R48" s="24">
        <f t="shared" si="10"/>
        <v>0</v>
      </c>
      <c r="S48" s="24">
        <f t="shared" si="10"/>
        <v>0</v>
      </c>
      <c r="T48" s="24">
        <f t="shared" si="10"/>
        <v>0</v>
      </c>
      <c r="U48" s="24">
        <f t="shared" si="10"/>
        <v>0</v>
      </c>
      <c r="V48" s="24">
        <f t="shared" si="10"/>
        <v>0</v>
      </c>
      <c r="W48" s="24">
        <f t="shared" si="10"/>
        <v>0</v>
      </c>
      <c r="X48" s="24">
        <f t="shared" si="10"/>
        <v>0</v>
      </c>
      <c r="Y48" s="24">
        <f t="shared" si="10"/>
        <v>0</v>
      </c>
      <c r="Z48" s="24">
        <f t="shared" si="10"/>
        <v>0</v>
      </c>
      <c r="AA48" s="24">
        <f t="shared" si="10"/>
        <v>0</v>
      </c>
      <c r="AB48" s="24">
        <f t="shared" si="10"/>
        <v>0</v>
      </c>
      <c r="AC48" s="24">
        <f t="shared" si="10"/>
        <v>0</v>
      </c>
      <c r="AD48" s="24">
        <f t="shared" si="10"/>
        <v>0</v>
      </c>
      <c r="AE48" s="24">
        <f t="shared" si="10"/>
        <v>0</v>
      </c>
      <c r="AF48" s="24">
        <f t="shared" si="10"/>
        <v>0</v>
      </c>
      <c r="AG48" s="24">
        <f t="shared" si="10"/>
        <v>0</v>
      </c>
      <c r="AH48" s="24">
        <f t="shared" si="10"/>
        <v>0</v>
      </c>
      <c r="AI48" s="24">
        <f t="shared" si="10"/>
        <v>0</v>
      </c>
      <c r="AJ48" s="24">
        <f t="shared" si="10"/>
        <v>0</v>
      </c>
      <c r="AK48" s="24">
        <f t="shared" si="10"/>
        <v>0</v>
      </c>
      <c r="AL48" s="24">
        <f t="shared" si="10"/>
        <v>0</v>
      </c>
      <c r="AM48" s="24">
        <f t="shared" si="10"/>
        <v>0</v>
      </c>
      <c r="AN48" s="24">
        <f t="shared" si="10"/>
        <v>0</v>
      </c>
      <c r="AO48" s="24">
        <f t="shared" si="10"/>
        <v>0</v>
      </c>
      <c r="AP48" s="24">
        <f t="shared" si="10"/>
        <v>0</v>
      </c>
      <c r="AQ48" s="24">
        <f t="shared" si="10"/>
        <v>0</v>
      </c>
      <c r="AR48" s="24">
        <f t="shared" si="10"/>
        <v>450</v>
      </c>
      <c r="AS48" s="24">
        <f t="shared" si="10"/>
        <v>0</v>
      </c>
      <c r="AT48" s="24">
        <f t="shared" si="10"/>
        <v>0</v>
      </c>
      <c r="AU48" s="24">
        <f t="shared" si="10"/>
        <v>0</v>
      </c>
      <c r="AV48" s="24">
        <f t="shared" si="10"/>
        <v>0</v>
      </c>
      <c r="AW48" s="24">
        <f t="shared" si="10"/>
        <v>0</v>
      </c>
      <c r="AX48" s="24">
        <f t="shared" si="10"/>
        <v>0</v>
      </c>
      <c r="AY48" s="24">
        <f t="shared" si="10"/>
        <v>0</v>
      </c>
      <c r="AZ48" s="24">
        <f t="shared" si="10"/>
        <v>0</v>
      </c>
      <c r="BA48" s="24">
        <f t="shared" si="10"/>
        <v>0</v>
      </c>
      <c r="BB48" s="24">
        <f t="shared" si="10"/>
        <v>0</v>
      </c>
      <c r="BC48" s="24">
        <f t="shared" si="10"/>
        <v>0</v>
      </c>
      <c r="BD48" s="24">
        <f t="shared" si="10"/>
        <v>0</v>
      </c>
      <c r="BE48" s="24">
        <f t="shared" si="10"/>
        <v>0</v>
      </c>
      <c r="BF48" s="24">
        <f t="shared" si="10"/>
        <v>0</v>
      </c>
      <c r="BG48" s="24">
        <f t="shared" si="10"/>
        <v>0</v>
      </c>
      <c r="BH48" s="24">
        <f t="shared" si="10"/>
        <v>0</v>
      </c>
      <c r="BI48" s="24">
        <f t="shared" si="10"/>
        <v>0</v>
      </c>
    </row>
    <row r="49" spans="1:69" x14ac:dyDescent="0.3">
      <c r="D49" s="23" t="s">
        <v>67</v>
      </c>
      <c r="E49" s="25"/>
      <c r="F49" s="24">
        <f t="shared" ref="F49:BI50" si="11">F25*35</f>
        <v>0</v>
      </c>
      <c r="G49" s="24">
        <f t="shared" si="11"/>
        <v>0</v>
      </c>
      <c r="H49" s="24">
        <f t="shared" si="11"/>
        <v>0</v>
      </c>
      <c r="I49" s="24">
        <f t="shared" si="11"/>
        <v>0</v>
      </c>
      <c r="J49" s="24">
        <f t="shared" si="11"/>
        <v>0</v>
      </c>
      <c r="K49" s="24">
        <f t="shared" si="11"/>
        <v>0</v>
      </c>
      <c r="L49" s="24">
        <f t="shared" si="11"/>
        <v>0</v>
      </c>
      <c r="M49" s="24">
        <f t="shared" si="11"/>
        <v>0</v>
      </c>
      <c r="N49" s="24">
        <f t="shared" si="11"/>
        <v>0</v>
      </c>
      <c r="O49" s="24">
        <f t="shared" si="11"/>
        <v>0</v>
      </c>
      <c r="P49" s="24">
        <f t="shared" si="11"/>
        <v>175</v>
      </c>
      <c r="Q49" s="24">
        <f t="shared" si="11"/>
        <v>0</v>
      </c>
      <c r="R49" s="24">
        <f t="shared" si="11"/>
        <v>0</v>
      </c>
      <c r="S49" s="24">
        <f t="shared" si="11"/>
        <v>0</v>
      </c>
      <c r="T49" s="24">
        <f t="shared" si="11"/>
        <v>0</v>
      </c>
      <c r="U49" s="24">
        <f t="shared" si="11"/>
        <v>0</v>
      </c>
      <c r="V49" s="24">
        <f t="shared" si="11"/>
        <v>0</v>
      </c>
      <c r="W49" s="24">
        <f t="shared" si="11"/>
        <v>0</v>
      </c>
      <c r="X49" s="24">
        <f t="shared" si="11"/>
        <v>0</v>
      </c>
      <c r="Y49" s="24">
        <f t="shared" si="11"/>
        <v>0</v>
      </c>
      <c r="Z49" s="24">
        <f t="shared" si="11"/>
        <v>0</v>
      </c>
      <c r="AA49" s="24">
        <f t="shared" si="11"/>
        <v>0</v>
      </c>
      <c r="AB49" s="24">
        <f t="shared" si="11"/>
        <v>0</v>
      </c>
      <c r="AC49" s="24">
        <f t="shared" si="11"/>
        <v>0</v>
      </c>
      <c r="AD49" s="24">
        <f t="shared" si="11"/>
        <v>0</v>
      </c>
      <c r="AE49" s="24">
        <f t="shared" si="11"/>
        <v>0</v>
      </c>
      <c r="AF49" s="24">
        <f t="shared" si="11"/>
        <v>665</v>
      </c>
      <c r="AG49" s="24">
        <f t="shared" si="11"/>
        <v>0</v>
      </c>
      <c r="AH49" s="24">
        <f t="shared" si="11"/>
        <v>0</v>
      </c>
      <c r="AI49" s="24">
        <f t="shared" si="11"/>
        <v>0</v>
      </c>
      <c r="AJ49" s="24">
        <f t="shared" si="11"/>
        <v>0</v>
      </c>
      <c r="AK49" s="24">
        <f t="shared" si="11"/>
        <v>0</v>
      </c>
      <c r="AL49" s="24">
        <f t="shared" si="11"/>
        <v>0</v>
      </c>
      <c r="AM49" s="24">
        <f t="shared" si="11"/>
        <v>0</v>
      </c>
      <c r="AN49" s="24">
        <f t="shared" si="11"/>
        <v>0</v>
      </c>
      <c r="AO49" s="24">
        <f t="shared" si="11"/>
        <v>0</v>
      </c>
      <c r="AP49" s="24">
        <f t="shared" si="11"/>
        <v>0</v>
      </c>
      <c r="AQ49" s="24">
        <f t="shared" si="11"/>
        <v>0</v>
      </c>
      <c r="AR49" s="24">
        <f t="shared" si="11"/>
        <v>0</v>
      </c>
      <c r="AS49" s="24">
        <f t="shared" si="11"/>
        <v>0</v>
      </c>
      <c r="AT49" s="24">
        <f t="shared" si="11"/>
        <v>0</v>
      </c>
      <c r="AU49" s="24">
        <f t="shared" si="11"/>
        <v>0</v>
      </c>
      <c r="AV49" s="24">
        <f t="shared" si="11"/>
        <v>0</v>
      </c>
      <c r="AW49" s="24">
        <f t="shared" si="11"/>
        <v>0</v>
      </c>
      <c r="AX49" s="24">
        <f t="shared" si="11"/>
        <v>0</v>
      </c>
      <c r="AY49" s="24">
        <f t="shared" si="11"/>
        <v>0</v>
      </c>
      <c r="AZ49" s="24">
        <f t="shared" si="11"/>
        <v>0</v>
      </c>
      <c r="BA49" s="24">
        <f t="shared" si="11"/>
        <v>0</v>
      </c>
      <c r="BB49" s="24">
        <f t="shared" si="11"/>
        <v>0</v>
      </c>
      <c r="BC49" s="24">
        <f t="shared" si="11"/>
        <v>0</v>
      </c>
      <c r="BD49" s="24">
        <f t="shared" si="11"/>
        <v>0</v>
      </c>
      <c r="BE49" s="24">
        <f t="shared" si="11"/>
        <v>0</v>
      </c>
      <c r="BF49" s="24">
        <f t="shared" si="11"/>
        <v>0</v>
      </c>
      <c r="BG49" s="24">
        <f t="shared" si="11"/>
        <v>0</v>
      </c>
      <c r="BH49" s="24">
        <f t="shared" si="11"/>
        <v>0</v>
      </c>
      <c r="BI49" s="24">
        <f t="shared" si="11"/>
        <v>0</v>
      </c>
    </row>
    <row r="50" spans="1:69" x14ac:dyDescent="0.3">
      <c r="D50" s="23" t="s">
        <v>72</v>
      </c>
      <c r="E50" s="25"/>
      <c r="F50" s="24">
        <f>F26*35</f>
        <v>0</v>
      </c>
      <c r="G50" s="24">
        <f t="shared" si="11"/>
        <v>0</v>
      </c>
      <c r="H50" s="24">
        <f t="shared" si="11"/>
        <v>0</v>
      </c>
      <c r="I50" s="24">
        <f t="shared" si="11"/>
        <v>0</v>
      </c>
      <c r="J50" s="24">
        <f t="shared" si="11"/>
        <v>0</v>
      </c>
      <c r="K50" s="24">
        <f t="shared" si="11"/>
        <v>0</v>
      </c>
      <c r="L50" s="24">
        <f t="shared" si="11"/>
        <v>0</v>
      </c>
      <c r="M50" s="24">
        <f t="shared" si="11"/>
        <v>0</v>
      </c>
      <c r="N50" s="24">
        <f t="shared" si="11"/>
        <v>0</v>
      </c>
      <c r="O50" s="24">
        <f t="shared" si="11"/>
        <v>0</v>
      </c>
      <c r="P50" s="24">
        <f t="shared" si="11"/>
        <v>0</v>
      </c>
      <c r="Q50" s="24">
        <f t="shared" si="11"/>
        <v>0</v>
      </c>
      <c r="R50" s="24">
        <f t="shared" si="11"/>
        <v>0</v>
      </c>
      <c r="S50" s="24">
        <f t="shared" si="11"/>
        <v>0</v>
      </c>
      <c r="T50" s="24">
        <f t="shared" si="11"/>
        <v>0</v>
      </c>
      <c r="U50" s="24">
        <f t="shared" si="11"/>
        <v>0</v>
      </c>
      <c r="V50" s="24">
        <f t="shared" si="11"/>
        <v>0</v>
      </c>
      <c r="W50" s="24">
        <f t="shared" si="11"/>
        <v>0</v>
      </c>
      <c r="X50" s="24">
        <f t="shared" si="11"/>
        <v>0</v>
      </c>
      <c r="Y50" s="24">
        <f t="shared" si="11"/>
        <v>0</v>
      </c>
      <c r="Z50" s="24">
        <f t="shared" si="11"/>
        <v>0</v>
      </c>
      <c r="AA50" s="24">
        <f t="shared" si="11"/>
        <v>0</v>
      </c>
      <c r="AB50" s="24">
        <f t="shared" si="11"/>
        <v>0</v>
      </c>
      <c r="AC50" s="24">
        <f t="shared" si="11"/>
        <v>0</v>
      </c>
      <c r="AD50" s="24">
        <f t="shared" si="11"/>
        <v>0</v>
      </c>
      <c r="AE50" s="24">
        <f t="shared" si="11"/>
        <v>0</v>
      </c>
      <c r="AF50" s="24">
        <f t="shared" si="11"/>
        <v>0</v>
      </c>
      <c r="AG50" s="24">
        <f t="shared" si="11"/>
        <v>0</v>
      </c>
      <c r="AH50" s="24">
        <f t="shared" si="11"/>
        <v>0</v>
      </c>
      <c r="AI50" s="24">
        <f t="shared" si="11"/>
        <v>0</v>
      </c>
      <c r="AJ50" s="24">
        <f t="shared" si="11"/>
        <v>0</v>
      </c>
      <c r="AK50" s="24">
        <f t="shared" si="11"/>
        <v>0</v>
      </c>
      <c r="AL50" s="24">
        <f t="shared" si="11"/>
        <v>0</v>
      </c>
      <c r="AM50" s="24">
        <f t="shared" si="11"/>
        <v>0</v>
      </c>
      <c r="AN50" s="24">
        <f t="shared" si="11"/>
        <v>0</v>
      </c>
      <c r="AO50" s="24">
        <f t="shared" si="11"/>
        <v>0</v>
      </c>
      <c r="AP50" s="24">
        <f t="shared" si="11"/>
        <v>0</v>
      </c>
      <c r="AQ50" s="24">
        <f t="shared" si="11"/>
        <v>0</v>
      </c>
      <c r="AR50" s="24">
        <f t="shared" si="11"/>
        <v>525</v>
      </c>
      <c r="AS50" s="24">
        <f t="shared" si="11"/>
        <v>0</v>
      </c>
      <c r="AT50" s="24">
        <f t="shared" si="11"/>
        <v>0</v>
      </c>
      <c r="AU50" s="24">
        <f t="shared" si="11"/>
        <v>0</v>
      </c>
      <c r="AV50" s="24">
        <f t="shared" si="11"/>
        <v>0</v>
      </c>
      <c r="AW50" s="24">
        <f t="shared" si="11"/>
        <v>0</v>
      </c>
      <c r="AX50" s="24">
        <f t="shared" si="11"/>
        <v>0</v>
      </c>
      <c r="AY50" s="24">
        <f t="shared" si="11"/>
        <v>0</v>
      </c>
      <c r="AZ50" s="24">
        <f t="shared" si="11"/>
        <v>0</v>
      </c>
      <c r="BA50" s="24">
        <f t="shared" si="11"/>
        <v>0</v>
      </c>
      <c r="BB50" s="24">
        <f t="shared" si="11"/>
        <v>0</v>
      </c>
      <c r="BC50" s="24">
        <f t="shared" si="11"/>
        <v>0</v>
      </c>
      <c r="BD50" s="24">
        <f t="shared" si="11"/>
        <v>0</v>
      </c>
      <c r="BE50" s="24">
        <f t="shared" si="11"/>
        <v>0</v>
      </c>
      <c r="BF50" s="24">
        <f t="shared" si="11"/>
        <v>0</v>
      </c>
      <c r="BG50" s="24">
        <f t="shared" si="11"/>
        <v>0</v>
      </c>
      <c r="BH50" s="24">
        <f t="shared" si="11"/>
        <v>0</v>
      </c>
      <c r="BI50" s="24">
        <f t="shared" si="11"/>
        <v>0</v>
      </c>
    </row>
    <row r="51" spans="1:69" x14ac:dyDescent="0.3">
      <c r="D51" s="23" t="s">
        <v>78</v>
      </c>
      <c r="E51" s="25"/>
      <c r="F51" s="24">
        <f t="shared" ref="F51:BI51" si="12">F27*15</f>
        <v>0</v>
      </c>
      <c r="G51" s="24">
        <f t="shared" si="12"/>
        <v>0</v>
      </c>
      <c r="H51" s="24">
        <f t="shared" si="12"/>
        <v>0</v>
      </c>
      <c r="I51" s="24">
        <f t="shared" si="12"/>
        <v>0</v>
      </c>
      <c r="J51" s="24">
        <f t="shared" si="12"/>
        <v>0</v>
      </c>
      <c r="K51" s="24">
        <f t="shared" si="12"/>
        <v>0</v>
      </c>
      <c r="L51" s="24">
        <f t="shared" si="12"/>
        <v>0</v>
      </c>
      <c r="M51" s="24">
        <f t="shared" si="12"/>
        <v>0</v>
      </c>
      <c r="N51" s="24">
        <f t="shared" si="12"/>
        <v>0</v>
      </c>
      <c r="O51" s="24">
        <f t="shared" si="12"/>
        <v>0</v>
      </c>
      <c r="P51" s="24">
        <f t="shared" si="12"/>
        <v>0</v>
      </c>
      <c r="Q51" s="24">
        <f t="shared" si="12"/>
        <v>0</v>
      </c>
      <c r="R51" s="24">
        <f t="shared" si="12"/>
        <v>0</v>
      </c>
      <c r="S51" s="24">
        <f t="shared" si="12"/>
        <v>0</v>
      </c>
      <c r="T51" s="24">
        <f t="shared" si="12"/>
        <v>0</v>
      </c>
      <c r="U51" s="24">
        <f t="shared" si="12"/>
        <v>0</v>
      </c>
      <c r="V51" s="24">
        <f t="shared" si="12"/>
        <v>0</v>
      </c>
      <c r="W51" s="24">
        <f t="shared" si="12"/>
        <v>0</v>
      </c>
      <c r="X51" s="24">
        <f t="shared" si="12"/>
        <v>0</v>
      </c>
      <c r="Y51" s="24">
        <f t="shared" si="12"/>
        <v>0</v>
      </c>
      <c r="Z51" s="24">
        <f t="shared" si="12"/>
        <v>0</v>
      </c>
      <c r="AA51" s="24">
        <f t="shared" si="12"/>
        <v>0</v>
      </c>
      <c r="AB51" s="24">
        <f t="shared" si="12"/>
        <v>0</v>
      </c>
      <c r="AC51" s="24">
        <f t="shared" si="12"/>
        <v>0</v>
      </c>
      <c r="AD51" s="24">
        <f t="shared" si="12"/>
        <v>0</v>
      </c>
      <c r="AE51" s="24">
        <f t="shared" si="12"/>
        <v>0</v>
      </c>
      <c r="AF51" s="24">
        <f t="shared" si="12"/>
        <v>0</v>
      </c>
      <c r="AG51" s="24">
        <f t="shared" si="12"/>
        <v>0</v>
      </c>
      <c r="AH51" s="24">
        <f t="shared" si="12"/>
        <v>0</v>
      </c>
      <c r="AI51" s="24">
        <f t="shared" si="12"/>
        <v>0</v>
      </c>
      <c r="AJ51" s="24">
        <f t="shared" si="12"/>
        <v>0</v>
      </c>
      <c r="AK51" s="24">
        <f t="shared" si="12"/>
        <v>0</v>
      </c>
      <c r="AL51" s="24">
        <f t="shared" si="12"/>
        <v>0</v>
      </c>
      <c r="AM51" s="24">
        <f t="shared" si="12"/>
        <v>0</v>
      </c>
      <c r="AN51" s="24">
        <f t="shared" si="12"/>
        <v>0</v>
      </c>
      <c r="AO51" s="24">
        <f t="shared" si="12"/>
        <v>0</v>
      </c>
      <c r="AP51" s="24">
        <f t="shared" si="12"/>
        <v>0</v>
      </c>
      <c r="AQ51" s="24">
        <f t="shared" si="12"/>
        <v>0</v>
      </c>
      <c r="AR51" s="24">
        <f t="shared" si="12"/>
        <v>0</v>
      </c>
      <c r="AS51" s="24">
        <f t="shared" si="12"/>
        <v>0</v>
      </c>
      <c r="AT51" s="24">
        <f t="shared" si="12"/>
        <v>0</v>
      </c>
      <c r="AU51" s="24">
        <f t="shared" si="12"/>
        <v>0</v>
      </c>
      <c r="AV51" s="24">
        <f t="shared" si="12"/>
        <v>0</v>
      </c>
      <c r="AW51" s="24">
        <f t="shared" si="12"/>
        <v>0</v>
      </c>
      <c r="AX51" s="24">
        <f t="shared" si="12"/>
        <v>0</v>
      </c>
      <c r="AY51" s="24">
        <f t="shared" si="12"/>
        <v>0</v>
      </c>
      <c r="AZ51" s="24">
        <f t="shared" si="12"/>
        <v>0</v>
      </c>
      <c r="BA51" s="24">
        <f t="shared" si="12"/>
        <v>0</v>
      </c>
      <c r="BB51" s="24">
        <f t="shared" si="12"/>
        <v>0</v>
      </c>
      <c r="BC51" s="24">
        <f t="shared" si="12"/>
        <v>0</v>
      </c>
      <c r="BD51" s="24">
        <f t="shared" si="12"/>
        <v>0</v>
      </c>
      <c r="BE51" s="24">
        <f t="shared" si="12"/>
        <v>0</v>
      </c>
      <c r="BF51" s="24">
        <f t="shared" si="12"/>
        <v>0</v>
      </c>
      <c r="BG51" s="24">
        <f t="shared" si="12"/>
        <v>0</v>
      </c>
      <c r="BH51" s="24">
        <f t="shared" si="12"/>
        <v>0</v>
      </c>
      <c r="BI51" s="24">
        <f t="shared" si="12"/>
        <v>0</v>
      </c>
    </row>
    <row r="52" spans="1:69" x14ac:dyDescent="0.3">
      <c r="D52" s="26"/>
      <c r="E52" s="26" t="s">
        <v>73</v>
      </c>
      <c r="F52" s="27">
        <f>SUM(F30:F51)</f>
        <v>0</v>
      </c>
      <c r="G52" s="27">
        <f>SUM(G30:G51)</f>
        <v>0</v>
      </c>
      <c r="H52" s="27">
        <f>SUM(H30:H51)</f>
        <v>0</v>
      </c>
      <c r="I52" s="27">
        <f t="shared" ref="I52" si="13">SUM(I30:I51)</f>
        <v>0</v>
      </c>
      <c r="J52" s="27">
        <f t="shared" ref="J52:AO52" si="14">SUM(J30:J51)</f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340</v>
      </c>
      <c r="O52" s="27">
        <f t="shared" si="14"/>
        <v>0</v>
      </c>
      <c r="P52" s="27">
        <f t="shared" si="14"/>
        <v>175</v>
      </c>
      <c r="Q52" s="27">
        <f t="shared" si="14"/>
        <v>100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  <c r="Y52" s="27">
        <f t="shared" si="14"/>
        <v>0</v>
      </c>
      <c r="Z52" s="27">
        <f t="shared" si="14"/>
        <v>705</v>
      </c>
      <c r="AA52" s="27">
        <f t="shared" si="14"/>
        <v>0</v>
      </c>
      <c r="AB52" s="27">
        <f t="shared" si="14"/>
        <v>1290</v>
      </c>
      <c r="AC52" s="27">
        <f t="shared" si="14"/>
        <v>0</v>
      </c>
      <c r="AD52" s="27">
        <f t="shared" si="14"/>
        <v>1585</v>
      </c>
      <c r="AE52" s="27">
        <f t="shared" si="14"/>
        <v>0</v>
      </c>
      <c r="AF52" s="27">
        <f t="shared" si="14"/>
        <v>2120</v>
      </c>
      <c r="AG52" s="27">
        <f t="shared" si="14"/>
        <v>0</v>
      </c>
      <c r="AH52" s="27">
        <f t="shared" si="14"/>
        <v>0</v>
      </c>
      <c r="AI52" s="27">
        <f t="shared" si="14"/>
        <v>0</v>
      </c>
      <c r="AJ52" s="27">
        <f t="shared" si="14"/>
        <v>0</v>
      </c>
      <c r="AK52" s="27">
        <f t="shared" si="14"/>
        <v>0</v>
      </c>
      <c r="AL52" s="27">
        <f t="shared" si="14"/>
        <v>0</v>
      </c>
      <c r="AM52" s="27">
        <f t="shared" si="14"/>
        <v>0</v>
      </c>
      <c r="AN52" s="27">
        <f t="shared" si="14"/>
        <v>1305</v>
      </c>
      <c r="AO52" s="27">
        <f t="shared" si="14"/>
        <v>0</v>
      </c>
      <c r="AP52" s="27">
        <f t="shared" ref="AP52:BI52" si="15">SUM(AP30:AP51)</f>
        <v>875</v>
      </c>
      <c r="AQ52" s="27">
        <f t="shared" si="15"/>
        <v>0</v>
      </c>
      <c r="AR52" s="27">
        <f t="shared" si="15"/>
        <v>1395</v>
      </c>
      <c r="AS52" s="27">
        <f t="shared" si="15"/>
        <v>0</v>
      </c>
      <c r="AT52" s="27">
        <f t="shared" si="15"/>
        <v>0</v>
      </c>
      <c r="AU52" s="27">
        <f t="shared" si="15"/>
        <v>0</v>
      </c>
      <c r="AV52" s="27">
        <f t="shared" si="15"/>
        <v>0</v>
      </c>
      <c r="AW52" s="27">
        <f t="shared" si="15"/>
        <v>0</v>
      </c>
      <c r="AX52" s="27">
        <f t="shared" si="15"/>
        <v>0</v>
      </c>
      <c r="AY52" s="27">
        <f t="shared" si="15"/>
        <v>0</v>
      </c>
      <c r="AZ52" s="27">
        <f t="shared" si="15"/>
        <v>0</v>
      </c>
      <c r="BA52" s="27">
        <f t="shared" si="15"/>
        <v>0</v>
      </c>
      <c r="BB52" s="27">
        <f t="shared" si="15"/>
        <v>0</v>
      </c>
      <c r="BC52" s="27">
        <f t="shared" si="15"/>
        <v>0</v>
      </c>
      <c r="BD52" s="27">
        <f t="shared" si="15"/>
        <v>540</v>
      </c>
      <c r="BE52" s="27">
        <f t="shared" si="15"/>
        <v>0</v>
      </c>
      <c r="BF52" s="27">
        <f t="shared" si="15"/>
        <v>765</v>
      </c>
      <c r="BG52" s="27">
        <f t="shared" si="15"/>
        <v>0</v>
      </c>
      <c r="BH52" s="27">
        <f t="shared" si="15"/>
        <v>1570</v>
      </c>
      <c r="BI52" s="27">
        <f t="shared" si="15"/>
        <v>0</v>
      </c>
      <c r="BJ52" s="24">
        <f>SUM(F52:BI52)</f>
        <v>12765</v>
      </c>
      <c r="BP52" s="24"/>
      <c r="BQ52" s="24"/>
    </row>
    <row r="54" spans="1:69" x14ac:dyDescent="0.3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1:69" x14ac:dyDescent="0.3">
      <c r="F55" s="8" t="s">
        <v>8</v>
      </c>
      <c r="G55" s="8" t="s">
        <v>11</v>
      </c>
      <c r="H55" s="8" t="s">
        <v>12</v>
      </c>
      <c r="I55" s="8">
        <v>50</v>
      </c>
      <c r="J55" s="8">
        <v>0</v>
      </c>
      <c r="AR55" s="29"/>
      <c r="AS55" s="29"/>
      <c r="AT55" s="29"/>
    </row>
    <row r="56" spans="1:69" x14ac:dyDescent="0.3">
      <c r="F56" s="8" t="s">
        <v>13</v>
      </c>
      <c r="G56" s="8" t="s">
        <v>16</v>
      </c>
      <c r="H56" s="8" t="s">
        <v>12</v>
      </c>
      <c r="I56" s="8">
        <v>44</v>
      </c>
      <c r="J56" s="8">
        <v>0</v>
      </c>
    </row>
    <row r="57" spans="1:69" x14ac:dyDescent="0.3">
      <c r="F57" s="8" t="s">
        <v>17</v>
      </c>
      <c r="G57" s="8" t="s">
        <v>20</v>
      </c>
      <c r="H57" s="8" t="s">
        <v>12</v>
      </c>
      <c r="I57" s="8">
        <v>34</v>
      </c>
      <c r="J57" s="8">
        <v>0</v>
      </c>
    </row>
    <row r="58" spans="1:69" x14ac:dyDescent="0.3">
      <c r="A58" s="22"/>
      <c r="B58" s="22"/>
      <c r="C58" s="22"/>
      <c r="D58" s="22"/>
      <c r="F58" s="8" t="s">
        <v>21</v>
      </c>
      <c r="G58" s="8" t="s">
        <v>24</v>
      </c>
      <c r="H58" s="8" t="s">
        <v>25</v>
      </c>
      <c r="I58" s="30">
        <v>34</v>
      </c>
      <c r="J58" s="8">
        <v>0</v>
      </c>
    </row>
    <row r="59" spans="1:69" x14ac:dyDescent="0.3">
      <c r="F59" s="8" t="s">
        <v>26</v>
      </c>
      <c r="G59" s="8" t="s">
        <v>29</v>
      </c>
      <c r="H59" s="8" t="s">
        <v>12</v>
      </c>
      <c r="I59" s="8">
        <v>40</v>
      </c>
      <c r="J59" s="8">
        <v>0</v>
      </c>
    </row>
    <row r="60" spans="1:69" x14ac:dyDescent="0.3">
      <c r="F60" s="8" t="s">
        <v>30</v>
      </c>
      <c r="G60" s="8" t="s">
        <v>32</v>
      </c>
      <c r="H60" s="8" t="s">
        <v>25</v>
      </c>
      <c r="I60" s="8">
        <v>41</v>
      </c>
      <c r="J60" s="8">
        <v>0</v>
      </c>
    </row>
    <row r="61" spans="1:69" x14ac:dyDescent="0.3">
      <c r="F61" s="8" t="s">
        <v>33</v>
      </c>
      <c r="G61" s="8" t="s">
        <v>75</v>
      </c>
      <c r="H61" s="8" t="s">
        <v>35</v>
      </c>
      <c r="I61" s="8">
        <v>15</v>
      </c>
      <c r="J61" s="8">
        <v>0</v>
      </c>
    </row>
    <row r="62" spans="1:69" x14ac:dyDescent="0.3">
      <c r="F62" s="8" t="s">
        <v>36</v>
      </c>
      <c r="G62" s="8" t="s">
        <v>38</v>
      </c>
      <c r="H62" s="8" t="s">
        <v>35</v>
      </c>
      <c r="I62" s="8">
        <v>12</v>
      </c>
      <c r="J62" s="8">
        <v>0</v>
      </c>
    </row>
    <row r="63" spans="1:69" x14ac:dyDescent="0.3">
      <c r="F63" s="8" t="s">
        <v>39</v>
      </c>
      <c r="G63" s="8" t="s">
        <v>41</v>
      </c>
      <c r="H63" s="8" t="s">
        <v>42</v>
      </c>
      <c r="I63" s="8">
        <v>35</v>
      </c>
      <c r="J63" s="8">
        <v>0</v>
      </c>
    </row>
    <row r="64" spans="1:69" x14ac:dyDescent="0.3">
      <c r="F64" s="8" t="s">
        <v>43</v>
      </c>
      <c r="G64" s="8" t="s">
        <v>45</v>
      </c>
      <c r="H64" s="8" t="s">
        <v>45</v>
      </c>
      <c r="I64" s="8">
        <v>11</v>
      </c>
      <c r="J64" s="8">
        <v>0</v>
      </c>
    </row>
    <row r="65" spans="6:10" x14ac:dyDescent="0.3">
      <c r="F65" s="8" t="s">
        <v>46</v>
      </c>
      <c r="G65" s="8" t="s">
        <v>47</v>
      </c>
      <c r="H65" s="8" t="s">
        <v>48</v>
      </c>
      <c r="I65" s="8">
        <v>12</v>
      </c>
      <c r="J65" s="8">
        <v>1</v>
      </c>
    </row>
    <row r="66" spans="6:10" x14ac:dyDescent="0.3">
      <c r="F66" s="8" t="s">
        <v>49</v>
      </c>
      <c r="G66" s="8" t="s">
        <v>50</v>
      </c>
      <c r="H66" s="8" t="s">
        <v>50</v>
      </c>
      <c r="I66" s="8">
        <v>30</v>
      </c>
      <c r="J66" s="8">
        <v>0</v>
      </c>
    </row>
    <row r="67" spans="6:10" x14ac:dyDescent="0.3">
      <c r="F67" s="16" t="s">
        <v>51</v>
      </c>
      <c r="G67" s="16" t="s">
        <v>52</v>
      </c>
      <c r="H67" s="16" t="s">
        <v>52</v>
      </c>
      <c r="I67" s="8">
        <v>12</v>
      </c>
      <c r="J67" s="8">
        <v>0</v>
      </c>
    </row>
    <row r="68" spans="6:10" x14ac:dyDescent="0.3">
      <c r="F68" s="16" t="s">
        <v>53</v>
      </c>
      <c r="G68" s="16" t="s">
        <v>54</v>
      </c>
      <c r="H68" s="16" t="s">
        <v>54</v>
      </c>
      <c r="I68" s="8">
        <v>13</v>
      </c>
      <c r="J68" s="8">
        <v>0</v>
      </c>
    </row>
    <row r="69" spans="6:10" x14ac:dyDescent="0.3">
      <c r="F69" s="16" t="s">
        <v>55</v>
      </c>
      <c r="G69" s="16" t="s">
        <v>56</v>
      </c>
      <c r="H69" s="16" t="s">
        <v>56</v>
      </c>
      <c r="I69" s="8">
        <v>13</v>
      </c>
      <c r="J69" s="8">
        <v>0</v>
      </c>
    </row>
    <row r="70" spans="6:10" x14ac:dyDescent="0.3">
      <c r="F70" s="16" t="s">
        <v>57</v>
      </c>
      <c r="G70" s="16" t="s">
        <v>58</v>
      </c>
      <c r="H70" s="16" t="s">
        <v>58</v>
      </c>
      <c r="I70" s="8">
        <v>14</v>
      </c>
      <c r="J70" s="8">
        <v>0</v>
      </c>
    </row>
    <row r="71" spans="6:10" x14ac:dyDescent="0.3">
      <c r="F71" s="16" t="s">
        <v>59</v>
      </c>
      <c r="G71" s="16" t="s">
        <v>60</v>
      </c>
      <c r="H71" s="16" t="s">
        <v>60</v>
      </c>
      <c r="I71" s="31">
        <v>12</v>
      </c>
      <c r="J71" s="8">
        <v>2</v>
      </c>
    </row>
    <row r="72" spans="6:10" x14ac:dyDescent="0.3">
      <c r="F72" s="16" t="s">
        <v>61</v>
      </c>
      <c r="G72" s="16" t="s">
        <v>76</v>
      </c>
      <c r="H72" s="16" t="s">
        <v>64</v>
      </c>
      <c r="I72" s="31">
        <v>27</v>
      </c>
      <c r="J72" s="8">
        <v>0</v>
      </c>
    </row>
    <row r="73" spans="6:10" x14ac:dyDescent="0.3">
      <c r="F73" s="16" t="s">
        <v>65</v>
      </c>
      <c r="G73" s="16" t="s">
        <v>69</v>
      </c>
      <c r="H73" s="16" t="s">
        <v>69</v>
      </c>
      <c r="I73" s="8">
        <v>10</v>
      </c>
      <c r="J73" s="8">
        <v>0</v>
      </c>
    </row>
    <row r="74" spans="6:10" x14ac:dyDescent="0.3">
      <c r="F74" s="16" t="s">
        <v>68</v>
      </c>
      <c r="G74" s="16" t="s">
        <v>67</v>
      </c>
      <c r="H74" s="16" t="s">
        <v>67</v>
      </c>
      <c r="I74" s="8">
        <v>24</v>
      </c>
      <c r="J74" s="8">
        <v>0</v>
      </c>
    </row>
    <row r="75" spans="6:10" x14ac:dyDescent="0.3">
      <c r="F75" s="16" t="s">
        <v>70</v>
      </c>
      <c r="G75" s="16" t="s">
        <v>72</v>
      </c>
      <c r="H75" s="16" t="s">
        <v>72</v>
      </c>
      <c r="I75" s="8">
        <v>15</v>
      </c>
      <c r="J75" s="8">
        <v>0</v>
      </c>
    </row>
    <row r="76" spans="6:10" x14ac:dyDescent="0.3">
      <c r="F76" s="16" t="s">
        <v>78</v>
      </c>
      <c r="G76" s="16" t="s">
        <v>12</v>
      </c>
      <c r="H76" s="16" t="s">
        <v>12</v>
      </c>
      <c r="I76" s="8">
        <v>0</v>
      </c>
      <c r="J76" s="8">
        <v>0</v>
      </c>
    </row>
    <row r="77" spans="6:10" x14ac:dyDescent="0.3">
      <c r="F77" s="32"/>
      <c r="G77" s="33" t="s">
        <v>77</v>
      </c>
      <c r="H77" s="34"/>
      <c r="I77" s="60">
        <f>12765*117.3938</f>
        <v>1498531.8570000001</v>
      </c>
      <c r="J77" s="60"/>
    </row>
  </sheetData>
  <mergeCells count="34">
    <mergeCell ref="I77:J77"/>
    <mergeCell ref="D30:E30"/>
    <mergeCell ref="D31:E31"/>
    <mergeCell ref="D32:E32"/>
    <mergeCell ref="D33:E33"/>
    <mergeCell ref="AZ4:BA4"/>
    <mergeCell ref="BB4:BC4"/>
    <mergeCell ref="BD4:BE4"/>
    <mergeCell ref="BF4:BG4"/>
    <mergeCell ref="BH4:BI4"/>
    <mergeCell ref="AX4:AY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hyperlinks>
    <hyperlink ref="C8" r:id="rId1" xr:uid="{EE86C517-F005-4FA1-8C77-8AF1466C888D}"/>
    <hyperlink ref="C10" r:id="rId2" xr:uid="{0C4607B8-5212-4133-B566-1C09B8AB887D}"/>
    <hyperlink ref="C15" r:id="rId3" xr:uid="{0311ECBD-1EF6-4E14-B88A-0A791F69B9F5}"/>
    <hyperlink ref="C7" r:id="rId4" xr:uid="{BBBCEEE8-212D-4C76-B204-9F0A2FD2831A}"/>
    <hyperlink ref="C13" r:id="rId5" xr:uid="{D4C1C57B-F13C-466B-8981-77BA8119C101}"/>
    <hyperlink ref="C23" r:id="rId6" display="mailto:bigcacak@madamecoco.com" xr:uid="{47C2E00E-5AD4-49F5-90A8-62168F3522B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9EAB9-D83A-47FD-BF45-3FCAD974A973}">
  <dimension ref="A3:BR77"/>
  <sheetViews>
    <sheetView topLeftCell="BB35" workbookViewId="0">
      <selection activeCell="I78" sqref="I78"/>
    </sheetView>
  </sheetViews>
  <sheetFormatPr defaultRowHeight="14.4" x14ac:dyDescent="0.3"/>
  <cols>
    <col min="1" max="1" width="23.109375" customWidth="1"/>
    <col min="2" max="2" width="14.44140625" customWidth="1"/>
    <col min="3" max="3" width="31.6640625" customWidth="1"/>
    <col min="4" max="4" width="19.44140625" customWidth="1"/>
    <col min="5" max="5" width="17.6640625" customWidth="1"/>
    <col min="6" max="6" width="12.88671875" customWidth="1"/>
    <col min="7" max="7" width="17.88671875" customWidth="1"/>
    <col min="8" max="8" width="14.33203125" customWidth="1"/>
    <col min="9" max="9" width="11.33203125" customWidth="1"/>
    <col min="10" max="10" width="12.44140625" customWidth="1"/>
    <col min="12" max="12" width="13.88671875" customWidth="1"/>
    <col min="13" max="13" width="11.21875" customWidth="1"/>
    <col min="14" max="14" width="12.33203125" customWidth="1"/>
    <col min="15" max="15" width="14.44140625" customWidth="1"/>
    <col min="16" max="16" width="13.6640625" customWidth="1"/>
    <col min="17" max="17" width="12" customWidth="1"/>
    <col min="18" max="18" width="10.6640625" customWidth="1"/>
    <col min="20" max="20" width="11.6640625" customWidth="1"/>
    <col min="22" max="22" width="13.77734375" customWidth="1"/>
    <col min="23" max="23" width="12.5546875" customWidth="1"/>
    <col min="24" max="24" width="13.44140625" customWidth="1"/>
    <col min="26" max="26" width="12.33203125" customWidth="1"/>
    <col min="27" max="27" width="11.88671875" customWidth="1"/>
    <col min="28" max="28" width="11.6640625" customWidth="1"/>
    <col min="29" max="29" width="11.77734375" customWidth="1"/>
    <col min="30" max="30" width="12.33203125" customWidth="1"/>
    <col min="31" max="31" width="10.44140625" customWidth="1"/>
    <col min="32" max="32" width="13.88671875" customWidth="1"/>
    <col min="33" max="33" width="9.77734375" customWidth="1"/>
    <col min="34" max="34" width="10.33203125" customWidth="1"/>
    <col min="35" max="35" width="10.5546875" customWidth="1"/>
    <col min="36" max="36" width="11.109375" customWidth="1"/>
    <col min="37" max="37" width="10.33203125" customWidth="1"/>
    <col min="38" max="38" width="13.21875" customWidth="1"/>
    <col min="39" max="39" width="11.88671875" customWidth="1"/>
    <col min="40" max="40" width="12.109375" customWidth="1"/>
    <col min="42" max="42" width="13.88671875" customWidth="1"/>
    <col min="43" max="43" width="11.21875" customWidth="1"/>
    <col min="44" max="44" width="12.109375" customWidth="1"/>
    <col min="45" max="45" width="10.88671875" customWidth="1"/>
    <col min="46" max="46" width="12.21875" customWidth="1"/>
    <col min="47" max="47" width="10.5546875" customWidth="1"/>
    <col min="48" max="48" width="11.6640625" customWidth="1"/>
    <col min="49" max="49" width="14.77734375" customWidth="1"/>
    <col min="50" max="50" width="10.44140625" customWidth="1"/>
    <col min="51" max="51" width="11.5546875" customWidth="1"/>
    <col min="52" max="52" width="14.109375" customWidth="1"/>
    <col min="54" max="54" width="12" customWidth="1"/>
    <col min="56" max="56" width="13.6640625" customWidth="1"/>
    <col min="57" max="57" width="9.88671875" customWidth="1"/>
    <col min="58" max="58" width="12" customWidth="1"/>
    <col min="59" max="59" width="10.6640625" customWidth="1"/>
    <col min="60" max="60" width="12.6640625" customWidth="1"/>
    <col min="61" max="61" width="11.77734375" customWidth="1"/>
    <col min="62" max="62" width="12.6640625" customWidth="1"/>
    <col min="64" max="64" width="11.5546875" customWidth="1"/>
    <col min="65" max="65" width="11.44140625" customWidth="1"/>
    <col min="66" max="66" width="14.21875" customWidth="1"/>
    <col min="68" max="68" width="17.21875" customWidth="1"/>
    <col min="69" max="69" width="10.88671875" customWidth="1"/>
    <col min="70" max="70" width="15.44140625" bestFit="1" customWidth="1"/>
  </cols>
  <sheetData>
    <row r="3" spans="1:67" ht="18" x14ac:dyDescent="0.35">
      <c r="A3" s="61"/>
      <c r="B3" s="61"/>
      <c r="C3" s="1" t="s">
        <v>0</v>
      </c>
    </row>
    <row r="4" spans="1:67" x14ac:dyDescent="0.3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57">
        <v>46082</v>
      </c>
      <c r="G4" s="58"/>
      <c r="H4" s="57">
        <v>46083</v>
      </c>
      <c r="I4" s="58"/>
      <c r="J4" s="57">
        <v>46084</v>
      </c>
      <c r="K4" s="58"/>
      <c r="L4" s="57">
        <v>46085</v>
      </c>
      <c r="M4" s="58"/>
      <c r="N4" s="57">
        <v>46086</v>
      </c>
      <c r="O4" s="58"/>
      <c r="P4" s="57">
        <v>46087</v>
      </c>
      <c r="Q4" s="58"/>
      <c r="R4" s="57">
        <v>46088</v>
      </c>
      <c r="S4" s="58"/>
      <c r="T4" s="57">
        <v>46089</v>
      </c>
      <c r="U4" s="58"/>
      <c r="V4" s="57">
        <v>46090</v>
      </c>
      <c r="W4" s="58"/>
      <c r="X4" s="57">
        <v>46091</v>
      </c>
      <c r="Y4" s="58"/>
      <c r="Z4" s="57">
        <v>46092</v>
      </c>
      <c r="AA4" s="58"/>
      <c r="AB4" s="57">
        <v>46093</v>
      </c>
      <c r="AC4" s="58"/>
      <c r="AD4" s="57">
        <v>46094</v>
      </c>
      <c r="AE4" s="58"/>
      <c r="AF4" s="57">
        <v>46095</v>
      </c>
      <c r="AG4" s="58"/>
      <c r="AH4" s="57">
        <v>46096</v>
      </c>
      <c r="AI4" s="58"/>
      <c r="AJ4" s="57">
        <v>46097</v>
      </c>
      <c r="AK4" s="58"/>
      <c r="AL4" s="57">
        <v>46098</v>
      </c>
      <c r="AM4" s="58"/>
      <c r="AN4" s="57">
        <v>46099</v>
      </c>
      <c r="AO4" s="58"/>
      <c r="AP4" s="57">
        <v>46100</v>
      </c>
      <c r="AQ4" s="58"/>
      <c r="AR4" s="57">
        <v>46101</v>
      </c>
      <c r="AS4" s="58"/>
      <c r="AT4" s="57">
        <v>46102</v>
      </c>
      <c r="AU4" s="58"/>
      <c r="AV4" s="57">
        <v>46103</v>
      </c>
      <c r="AW4" s="58"/>
      <c r="AX4" s="57">
        <v>46104</v>
      </c>
      <c r="AY4" s="58"/>
      <c r="AZ4" s="57">
        <v>46105</v>
      </c>
      <c r="BA4" s="58"/>
      <c r="BB4" s="57">
        <v>46106</v>
      </c>
      <c r="BC4" s="58"/>
      <c r="BD4" s="57">
        <v>46107</v>
      </c>
      <c r="BE4" s="58"/>
      <c r="BF4" s="57">
        <v>46108</v>
      </c>
      <c r="BG4" s="58"/>
      <c r="BH4" s="57">
        <v>46109</v>
      </c>
      <c r="BI4" s="58"/>
      <c r="BJ4" s="57">
        <v>46110</v>
      </c>
      <c r="BK4" s="58"/>
      <c r="BL4" s="57">
        <v>46111</v>
      </c>
      <c r="BM4" s="58"/>
      <c r="BN4" s="57">
        <v>46112</v>
      </c>
      <c r="BO4" s="58"/>
    </row>
    <row r="5" spans="1:67" x14ac:dyDescent="0.3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4" t="s">
        <v>6</v>
      </c>
      <c r="K5" s="4" t="s">
        <v>7</v>
      </c>
      <c r="L5" s="4" t="s">
        <v>6</v>
      </c>
      <c r="M5" s="4" t="s">
        <v>7</v>
      </c>
      <c r="N5" s="4" t="s">
        <v>6</v>
      </c>
      <c r="O5" s="4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4" t="s">
        <v>6</v>
      </c>
      <c r="Y5" s="4" t="s">
        <v>7</v>
      </c>
      <c r="Z5" s="4" t="s">
        <v>6</v>
      </c>
      <c r="AA5" s="4" t="s">
        <v>7</v>
      </c>
      <c r="AB5" s="4" t="s">
        <v>6</v>
      </c>
      <c r="AC5" s="4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4" t="s">
        <v>6</v>
      </c>
      <c r="AM5" s="4" t="s">
        <v>7</v>
      </c>
      <c r="AN5" s="4" t="s">
        <v>6</v>
      </c>
      <c r="AO5" s="4" t="s">
        <v>7</v>
      </c>
      <c r="AP5" s="4" t="s">
        <v>6</v>
      </c>
      <c r="AQ5" s="4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4" t="s">
        <v>6</v>
      </c>
      <c r="BA5" s="4" t="s">
        <v>7</v>
      </c>
      <c r="BB5" s="4" t="s">
        <v>6</v>
      </c>
      <c r="BC5" s="4" t="s">
        <v>7</v>
      </c>
      <c r="BD5" s="4" t="s">
        <v>6</v>
      </c>
      <c r="BE5" s="4" t="s">
        <v>7</v>
      </c>
      <c r="BF5" s="5" t="s">
        <v>6</v>
      </c>
      <c r="BG5" s="5" t="s">
        <v>7</v>
      </c>
      <c r="BH5" s="5" t="s">
        <v>6</v>
      </c>
      <c r="BI5" s="5" t="s">
        <v>7</v>
      </c>
      <c r="BJ5" s="5" t="s">
        <v>6</v>
      </c>
      <c r="BK5" s="5" t="s">
        <v>7</v>
      </c>
      <c r="BL5" s="6"/>
      <c r="BM5" s="6"/>
      <c r="BN5" s="6"/>
      <c r="BO5" s="6"/>
    </row>
    <row r="6" spans="1:67" x14ac:dyDescent="0.3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41"/>
      <c r="G6" s="42"/>
      <c r="H6" s="10"/>
      <c r="I6" s="10"/>
      <c r="J6" s="10"/>
      <c r="K6" s="10"/>
      <c r="L6" s="10"/>
      <c r="M6" s="10"/>
      <c r="N6" s="10"/>
      <c r="O6" s="10"/>
      <c r="P6" s="10"/>
      <c r="Q6" s="10"/>
      <c r="R6" s="42"/>
      <c r="S6" s="42"/>
      <c r="T6" s="42"/>
      <c r="U6" s="42"/>
      <c r="V6" s="10"/>
      <c r="W6" s="10"/>
      <c r="X6" s="10">
        <v>14</v>
      </c>
      <c r="Y6" s="10"/>
      <c r="Z6" s="10">
        <v>4</v>
      </c>
      <c r="AA6" s="10"/>
      <c r="AB6" s="10"/>
      <c r="AC6" s="10"/>
      <c r="AD6" s="10"/>
      <c r="AE6" s="10"/>
      <c r="AF6" s="42"/>
      <c r="AG6" s="42"/>
      <c r="AH6" s="42"/>
      <c r="AI6" s="42"/>
      <c r="AJ6" s="10"/>
      <c r="AK6" s="10"/>
      <c r="AL6" s="10"/>
      <c r="AM6" s="10"/>
      <c r="AN6" s="10">
        <v>17</v>
      </c>
      <c r="AO6" s="10"/>
      <c r="AP6" s="10"/>
      <c r="AQ6" s="10"/>
      <c r="AR6" s="10"/>
      <c r="AS6" s="10"/>
      <c r="AT6" s="42"/>
      <c r="AU6" s="42"/>
      <c r="AV6" s="42"/>
      <c r="AW6" s="42"/>
      <c r="AX6" s="10"/>
      <c r="AY6" s="10"/>
      <c r="AZ6" s="10"/>
      <c r="BA6" s="10"/>
      <c r="BB6" s="10">
        <v>10</v>
      </c>
      <c r="BC6" s="10"/>
      <c r="BD6" s="10"/>
      <c r="BE6" s="10"/>
      <c r="BF6" s="10"/>
      <c r="BG6" s="10"/>
      <c r="BH6" s="42"/>
      <c r="BI6" s="42"/>
      <c r="BJ6" s="42"/>
      <c r="BK6" s="42"/>
      <c r="BL6" s="6"/>
      <c r="BM6" s="6"/>
      <c r="BN6" s="6"/>
      <c r="BO6" s="6"/>
    </row>
    <row r="7" spans="1:67" x14ac:dyDescent="0.3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41"/>
      <c r="G7" s="42"/>
      <c r="H7" s="10"/>
      <c r="I7" s="10"/>
      <c r="J7" s="10"/>
      <c r="K7" s="10"/>
      <c r="L7" s="10"/>
      <c r="M7" s="10"/>
      <c r="N7" s="10"/>
      <c r="O7" s="10"/>
      <c r="P7" s="10"/>
      <c r="Q7" s="10"/>
      <c r="R7" s="42"/>
      <c r="S7" s="42"/>
      <c r="T7" s="42"/>
      <c r="U7" s="42"/>
      <c r="V7" s="10"/>
      <c r="W7" s="10"/>
      <c r="X7" s="10">
        <v>15</v>
      </c>
      <c r="Y7" s="10"/>
      <c r="Z7" s="10">
        <v>4</v>
      </c>
      <c r="AA7" s="10"/>
      <c r="AB7" s="10"/>
      <c r="AC7" s="10"/>
      <c r="AD7" s="10"/>
      <c r="AE7" s="10"/>
      <c r="AF7" s="42"/>
      <c r="AG7" s="42"/>
      <c r="AH7" s="42"/>
      <c r="AI7" s="42"/>
      <c r="AJ7" s="10"/>
      <c r="AK7" s="10"/>
      <c r="AL7" s="10"/>
      <c r="AM7" s="10"/>
      <c r="AN7" s="10">
        <v>17</v>
      </c>
      <c r="AO7" s="10"/>
      <c r="AP7" s="10"/>
      <c r="AQ7" s="10"/>
      <c r="AR7" s="10"/>
      <c r="AS7" s="10"/>
      <c r="AT7" s="42"/>
      <c r="AU7" s="42"/>
      <c r="AV7" s="42"/>
      <c r="AW7" s="42"/>
      <c r="AX7" s="10"/>
      <c r="AY7" s="10"/>
      <c r="AZ7" s="10"/>
      <c r="BA7" s="10"/>
      <c r="BB7" s="10">
        <v>17</v>
      </c>
      <c r="BC7" s="10"/>
      <c r="BD7" s="10"/>
      <c r="BE7" s="10"/>
      <c r="BF7" s="10"/>
      <c r="BG7" s="10"/>
      <c r="BH7" s="42"/>
      <c r="BI7" s="42"/>
      <c r="BJ7" s="42"/>
      <c r="BK7" s="42"/>
      <c r="BL7" s="6"/>
      <c r="BM7" s="6"/>
      <c r="BN7" s="6"/>
      <c r="BO7" s="6"/>
    </row>
    <row r="8" spans="1:67" x14ac:dyDescent="0.3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41"/>
      <c r="G8" s="42"/>
      <c r="H8" s="10"/>
      <c r="I8" s="10"/>
      <c r="J8" s="10"/>
      <c r="K8" s="10"/>
      <c r="L8" s="10"/>
      <c r="M8" s="10"/>
      <c r="N8" s="10"/>
      <c r="O8" s="10"/>
      <c r="P8" s="10"/>
      <c r="Q8" s="10"/>
      <c r="R8" s="42"/>
      <c r="S8" s="42"/>
      <c r="T8" s="42"/>
      <c r="U8" s="42"/>
      <c r="V8" s="10"/>
      <c r="W8" s="10"/>
      <c r="X8" s="10"/>
      <c r="Y8" s="10"/>
      <c r="Z8" s="10">
        <v>13</v>
      </c>
      <c r="AA8" s="10"/>
      <c r="AB8" s="10"/>
      <c r="AC8" s="10"/>
      <c r="AD8" s="10"/>
      <c r="AE8" s="10"/>
      <c r="AF8" s="42"/>
      <c r="AG8" s="42"/>
      <c r="AH8" s="42"/>
      <c r="AI8" s="42"/>
      <c r="AJ8" s="10"/>
      <c r="AK8" s="10"/>
      <c r="AL8" s="10"/>
      <c r="AM8" s="10"/>
      <c r="AN8" s="10">
        <v>12</v>
      </c>
      <c r="AO8" s="10"/>
      <c r="AP8" s="10"/>
      <c r="AQ8" s="10"/>
      <c r="AR8" s="10"/>
      <c r="AS8" s="10"/>
      <c r="AT8" s="42"/>
      <c r="AU8" s="42"/>
      <c r="AV8" s="42"/>
      <c r="AW8" s="42"/>
      <c r="AX8" s="10"/>
      <c r="AY8" s="10"/>
      <c r="AZ8" s="10"/>
      <c r="BA8" s="10"/>
      <c r="BB8" s="10">
        <v>12</v>
      </c>
      <c r="BC8" s="10"/>
      <c r="BD8" s="10"/>
      <c r="BE8" s="10"/>
      <c r="BF8" s="10"/>
      <c r="BG8" s="10"/>
      <c r="BH8" s="42"/>
      <c r="BI8" s="42"/>
      <c r="BJ8" s="42"/>
      <c r="BK8" s="42"/>
      <c r="BL8" s="6"/>
      <c r="BM8" s="6"/>
      <c r="BN8" s="6"/>
      <c r="BO8" s="6"/>
    </row>
    <row r="9" spans="1:67" x14ac:dyDescent="0.3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41"/>
      <c r="G9" s="42"/>
      <c r="H9" s="10"/>
      <c r="I9" s="10"/>
      <c r="J9" s="10"/>
      <c r="K9" s="10"/>
      <c r="L9" s="10"/>
      <c r="M9" s="10"/>
      <c r="N9" s="10"/>
      <c r="O9" s="10"/>
      <c r="P9" s="10"/>
      <c r="Q9" s="10"/>
      <c r="R9" s="42"/>
      <c r="S9" s="42"/>
      <c r="T9" s="42"/>
      <c r="U9" s="42"/>
      <c r="V9" s="10"/>
      <c r="W9" s="10"/>
      <c r="X9" s="10">
        <v>7</v>
      </c>
      <c r="Y9" s="10"/>
      <c r="Z9" s="10"/>
      <c r="AA9" s="10"/>
      <c r="AB9" s="10"/>
      <c r="AC9" s="10"/>
      <c r="AD9" s="10"/>
      <c r="AE9" s="10"/>
      <c r="AF9" s="42"/>
      <c r="AG9" s="42"/>
      <c r="AH9" s="42"/>
      <c r="AI9" s="42"/>
      <c r="AJ9" s="10"/>
      <c r="AK9" s="10"/>
      <c r="AL9" s="10"/>
      <c r="AM9" s="10"/>
      <c r="AN9" s="10"/>
      <c r="AO9" s="10"/>
      <c r="AP9" s="10">
        <v>11</v>
      </c>
      <c r="AQ9" s="10"/>
      <c r="AR9" s="10"/>
      <c r="AS9" s="10"/>
      <c r="AT9" s="42"/>
      <c r="AU9" s="42"/>
      <c r="AV9" s="42"/>
      <c r="AW9" s="42"/>
      <c r="AX9" s="10"/>
      <c r="AY9" s="10"/>
      <c r="AZ9" s="10"/>
      <c r="BA9" s="10"/>
      <c r="BB9" s="10"/>
      <c r="BC9" s="10"/>
      <c r="BD9" s="10"/>
      <c r="BE9" s="10"/>
      <c r="BF9" s="10">
        <v>8</v>
      </c>
      <c r="BG9" s="10"/>
      <c r="BH9" s="42"/>
      <c r="BI9" s="42"/>
      <c r="BJ9" s="42"/>
      <c r="BK9" s="42"/>
      <c r="BL9" s="6"/>
      <c r="BM9" s="6"/>
      <c r="BN9" s="6"/>
      <c r="BO9" s="6"/>
    </row>
    <row r="10" spans="1:67" x14ac:dyDescent="0.3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41"/>
      <c r="G10" s="42"/>
      <c r="H10" s="10"/>
      <c r="I10" s="12"/>
      <c r="J10" s="10"/>
      <c r="K10" s="12"/>
      <c r="L10" s="10"/>
      <c r="M10" s="12"/>
      <c r="N10" s="10"/>
      <c r="O10" s="12"/>
      <c r="P10" s="10"/>
      <c r="Q10" s="12"/>
      <c r="R10" s="44"/>
      <c r="S10" s="44"/>
      <c r="T10" s="44"/>
      <c r="U10" s="44"/>
      <c r="V10" s="12"/>
      <c r="W10" s="12"/>
      <c r="X10" s="12"/>
      <c r="Y10" s="12"/>
      <c r="Z10" s="12">
        <v>10</v>
      </c>
      <c r="AA10" s="12"/>
      <c r="AB10" s="12"/>
      <c r="AC10" s="12"/>
      <c r="AD10" s="12"/>
      <c r="AE10" s="12"/>
      <c r="AF10" s="44"/>
      <c r="AG10" s="44"/>
      <c r="AH10" s="44"/>
      <c r="AI10" s="44"/>
      <c r="AJ10" s="12"/>
      <c r="AK10" s="12"/>
      <c r="AL10" s="12"/>
      <c r="AM10" s="12"/>
      <c r="AN10" s="12"/>
      <c r="AO10" s="12"/>
      <c r="AP10" s="12">
        <v>12</v>
      </c>
      <c r="AQ10" s="12"/>
      <c r="AR10" s="12"/>
      <c r="AS10" s="12"/>
      <c r="AT10" s="44"/>
      <c r="AU10" s="44"/>
      <c r="AV10" s="44"/>
      <c r="AW10" s="44"/>
      <c r="AX10" s="12"/>
      <c r="AY10" s="12"/>
      <c r="AZ10" s="12"/>
      <c r="BA10" s="12"/>
      <c r="BB10" s="12">
        <v>10</v>
      </c>
      <c r="BC10" s="12"/>
      <c r="BD10" s="12"/>
      <c r="BE10" s="12"/>
      <c r="BF10" s="12"/>
      <c r="BG10" s="12"/>
      <c r="BH10" s="44"/>
      <c r="BI10" s="44"/>
      <c r="BJ10" s="44"/>
      <c r="BK10" s="44"/>
      <c r="BL10" s="6"/>
      <c r="BM10" s="6"/>
      <c r="BN10" s="6"/>
      <c r="BO10" s="6"/>
    </row>
    <row r="11" spans="1:67" x14ac:dyDescent="0.3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43"/>
      <c r="G11" s="42"/>
      <c r="H11" s="10"/>
      <c r="I11" s="12"/>
      <c r="J11" s="10"/>
      <c r="K11" s="12"/>
      <c r="L11" s="10"/>
      <c r="M11" s="12"/>
      <c r="N11" s="10"/>
      <c r="O11" s="12"/>
      <c r="P11" s="12"/>
      <c r="Q11" s="12"/>
      <c r="R11" s="44"/>
      <c r="S11" s="44"/>
      <c r="T11" s="44"/>
      <c r="U11" s="44"/>
      <c r="V11" s="12"/>
      <c r="W11" s="12"/>
      <c r="X11" s="12">
        <v>9</v>
      </c>
      <c r="Y11" s="12"/>
      <c r="Z11" s="12"/>
      <c r="AA11" s="12"/>
      <c r="AB11" s="12"/>
      <c r="AC11" s="12"/>
      <c r="AD11" s="12"/>
      <c r="AE11" s="12"/>
      <c r="AF11" s="44"/>
      <c r="AG11" s="44"/>
      <c r="AH11" s="44"/>
      <c r="AI11" s="44"/>
      <c r="AJ11" s="12"/>
      <c r="AK11" s="12"/>
      <c r="AL11" s="12"/>
      <c r="AM11" s="12"/>
      <c r="AN11" s="12"/>
      <c r="AO11" s="12"/>
      <c r="AP11" s="12">
        <v>13</v>
      </c>
      <c r="AQ11" s="12"/>
      <c r="AR11" s="12"/>
      <c r="AS11" s="12"/>
      <c r="AT11" s="44"/>
      <c r="AU11" s="44"/>
      <c r="AV11" s="44"/>
      <c r="AW11" s="44"/>
      <c r="AX11" s="12"/>
      <c r="AY11" s="12"/>
      <c r="AZ11" s="12"/>
      <c r="BA11" s="12"/>
      <c r="BB11" s="12"/>
      <c r="BC11" s="12"/>
      <c r="BD11" s="12">
        <v>10</v>
      </c>
      <c r="BE11" s="12"/>
      <c r="BF11" s="12"/>
      <c r="BG11" s="12"/>
      <c r="BH11" s="44"/>
      <c r="BI11" s="44"/>
      <c r="BJ11" s="44"/>
      <c r="BK11" s="44"/>
      <c r="BL11" s="6"/>
      <c r="BM11" s="6"/>
      <c r="BN11" s="6"/>
      <c r="BO11" s="6"/>
    </row>
    <row r="12" spans="1:67" x14ac:dyDescent="0.3">
      <c r="A12" s="6" t="s">
        <v>33</v>
      </c>
      <c r="C12" s="11"/>
      <c r="D12" s="6" t="s">
        <v>34</v>
      </c>
      <c r="E12" s="8" t="s">
        <v>35</v>
      </c>
      <c r="F12" s="43"/>
      <c r="G12" s="42"/>
      <c r="H12" s="10"/>
      <c r="I12" s="12"/>
      <c r="J12" s="10">
        <v>10</v>
      </c>
      <c r="K12" s="12"/>
      <c r="L12" s="10"/>
      <c r="M12" s="12"/>
      <c r="N12" s="10"/>
      <c r="O12" s="12"/>
      <c r="P12" s="12"/>
      <c r="Q12" s="12"/>
      <c r="R12" s="44"/>
      <c r="S12" s="44"/>
      <c r="T12" s="44"/>
      <c r="U12" s="44"/>
      <c r="V12" s="12"/>
      <c r="W12" s="12"/>
      <c r="X12" s="12"/>
      <c r="Y12" s="12"/>
      <c r="Z12" s="12"/>
      <c r="AA12" s="12"/>
      <c r="AB12" s="12">
        <v>9</v>
      </c>
      <c r="AC12" s="12"/>
      <c r="AD12" s="12"/>
      <c r="AE12" s="12"/>
      <c r="AF12" s="44"/>
      <c r="AG12" s="44"/>
      <c r="AH12" s="44"/>
      <c r="AI12" s="44"/>
      <c r="AJ12" s="12"/>
      <c r="AK12" s="12"/>
      <c r="AL12" s="12"/>
      <c r="AM12" s="12"/>
      <c r="AN12" s="12">
        <v>6</v>
      </c>
      <c r="AO12" s="12"/>
      <c r="AP12" s="12"/>
      <c r="AQ12" s="12"/>
      <c r="AR12" s="12"/>
      <c r="AS12" s="12"/>
      <c r="AT12" s="44"/>
      <c r="AU12" s="44"/>
      <c r="AV12" s="44"/>
      <c r="AW12" s="44"/>
      <c r="AX12" s="12"/>
      <c r="AY12" s="12"/>
      <c r="AZ12" s="12"/>
      <c r="BA12" s="12"/>
      <c r="BB12" s="12"/>
      <c r="BC12" s="12"/>
      <c r="BD12" s="12">
        <v>4</v>
      </c>
      <c r="BE12" s="12"/>
      <c r="BF12" s="12"/>
      <c r="BG12" s="12"/>
      <c r="BH12" s="44"/>
      <c r="BI12" s="44"/>
      <c r="BJ12" s="44"/>
      <c r="BK12" s="44"/>
      <c r="BL12" s="6"/>
      <c r="BM12" s="6"/>
      <c r="BN12" s="6"/>
      <c r="BO12" s="6"/>
    </row>
    <row r="13" spans="1:67" ht="15" customHeight="1" x14ac:dyDescent="0.3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41"/>
      <c r="G13" s="42"/>
      <c r="H13" s="10"/>
      <c r="I13" s="12"/>
      <c r="J13" s="10"/>
      <c r="K13" s="12"/>
      <c r="L13" s="10">
        <v>8</v>
      </c>
      <c r="M13" s="12"/>
      <c r="N13" s="10"/>
      <c r="O13" s="12"/>
      <c r="P13" s="12"/>
      <c r="Q13" s="12"/>
      <c r="R13" s="44"/>
      <c r="S13" s="44"/>
      <c r="T13" s="44"/>
      <c r="U13" s="44"/>
      <c r="V13" s="12"/>
      <c r="W13" s="12"/>
      <c r="X13" s="12"/>
      <c r="Y13" s="12"/>
      <c r="Z13" s="12">
        <v>7</v>
      </c>
      <c r="AA13" s="12"/>
      <c r="AB13" s="12"/>
      <c r="AC13" s="12"/>
      <c r="AD13" s="12"/>
      <c r="AE13" s="12"/>
      <c r="AF13" s="44"/>
      <c r="AG13" s="44"/>
      <c r="AH13" s="44"/>
      <c r="AI13" s="44"/>
      <c r="AJ13" s="12"/>
      <c r="AK13" s="12"/>
      <c r="AL13" s="12"/>
      <c r="AM13" s="12"/>
      <c r="AN13" s="12">
        <v>6</v>
      </c>
      <c r="AO13" s="12"/>
      <c r="AP13" s="12"/>
      <c r="AQ13" s="12"/>
      <c r="AR13" s="12"/>
      <c r="AS13" s="12"/>
      <c r="AT13" s="44"/>
      <c r="AU13" s="44"/>
      <c r="AV13" s="44"/>
      <c r="AW13" s="44"/>
      <c r="AX13" s="12"/>
      <c r="AY13" s="12"/>
      <c r="AZ13" s="12"/>
      <c r="BA13" s="12"/>
      <c r="BB13" s="12"/>
      <c r="BC13" s="12"/>
      <c r="BD13" s="12"/>
      <c r="BE13" s="12"/>
      <c r="BF13" s="12">
        <v>4</v>
      </c>
      <c r="BG13" s="12"/>
      <c r="BH13" s="44"/>
      <c r="BI13" s="44"/>
      <c r="BJ13" s="44"/>
      <c r="BK13" s="44"/>
      <c r="BL13" s="6"/>
      <c r="BM13" s="6"/>
      <c r="BN13" s="6"/>
      <c r="BO13" s="6"/>
    </row>
    <row r="14" spans="1:67" x14ac:dyDescent="0.3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41"/>
      <c r="G14" s="42"/>
      <c r="H14" s="10"/>
      <c r="I14" s="12"/>
      <c r="J14" s="10"/>
      <c r="K14" s="12"/>
      <c r="L14" s="10"/>
      <c r="M14" s="12"/>
      <c r="N14" s="10"/>
      <c r="O14" s="12"/>
      <c r="P14" s="12"/>
      <c r="Q14" s="12"/>
      <c r="R14" s="44"/>
      <c r="S14" s="44"/>
      <c r="T14" s="44"/>
      <c r="U14" s="44"/>
      <c r="V14" s="12"/>
      <c r="W14" s="12"/>
      <c r="X14" s="12"/>
      <c r="Y14" s="12"/>
      <c r="Z14" s="12">
        <v>12</v>
      </c>
      <c r="AA14" s="12"/>
      <c r="AB14" s="12"/>
      <c r="AC14" s="12"/>
      <c r="AD14" s="12"/>
      <c r="AE14" s="12"/>
      <c r="AF14" s="44"/>
      <c r="AG14" s="44"/>
      <c r="AH14" s="44"/>
      <c r="AI14" s="44"/>
      <c r="AJ14" s="12"/>
      <c r="AK14" s="12"/>
      <c r="AL14" s="12"/>
      <c r="AM14" s="12"/>
      <c r="AN14" s="12"/>
      <c r="AO14" s="12"/>
      <c r="AP14" s="12"/>
      <c r="AQ14" s="12"/>
      <c r="AR14" s="12">
        <v>14</v>
      </c>
      <c r="AS14" s="12"/>
      <c r="AT14" s="44"/>
      <c r="AU14" s="44"/>
      <c r="AV14" s="44"/>
      <c r="AW14" s="44"/>
      <c r="AX14" s="12"/>
      <c r="AY14" s="12"/>
      <c r="AZ14" s="12"/>
      <c r="BA14" s="12"/>
      <c r="BB14" s="12"/>
      <c r="BC14" s="12"/>
      <c r="BD14" s="12">
        <v>12</v>
      </c>
      <c r="BE14" s="12"/>
      <c r="BF14" s="12"/>
      <c r="BG14" s="12"/>
      <c r="BH14" s="44"/>
      <c r="BI14" s="44"/>
      <c r="BJ14" s="44"/>
      <c r="BK14" s="44"/>
      <c r="BL14" s="6"/>
      <c r="BM14" s="6"/>
      <c r="BN14" s="6"/>
      <c r="BO14" s="6"/>
    </row>
    <row r="15" spans="1:67" x14ac:dyDescent="0.3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43"/>
      <c r="G15" s="42"/>
      <c r="H15" s="14"/>
      <c r="I15" s="15"/>
      <c r="J15" s="14">
        <v>7</v>
      </c>
      <c r="K15" s="15"/>
      <c r="L15" s="14"/>
      <c r="M15" s="15"/>
      <c r="N15" s="14"/>
      <c r="O15" s="15"/>
      <c r="P15" s="15"/>
      <c r="Q15" s="15"/>
      <c r="R15" s="45"/>
      <c r="S15" s="45"/>
      <c r="T15" s="45"/>
      <c r="U15" s="4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45"/>
      <c r="AG15" s="45"/>
      <c r="AH15" s="45"/>
      <c r="AI15" s="4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45">
        <v>5</v>
      </c>
      <c r="AU15" s="45">
        <v>2</v>
      </c>
      <c r="AV15" s="45"/>
      <c r="AW15" s="45"/>
      <c r="AX15" s="15"/>
      <c r="AY15" s="15"/>
      <c r="AZ15" s="15"/>
      <c r="BA15" s="15"/>
      <c r="BB15" s="15"/>
      <c r="BC15" s="15"/>
      <c r="BD15" s="15"/>
      <c r="BE15" s="15"/>
      <c r="BF15" s="15">
        <v>5</v>
      </c>
      <c r="BG15" s="15"/>
      <c r="BH15" s="45"/>
      <c r="BI15" s="45"/>
      <c r="BJ15" s="45"/>
      <c r="BK15" s="45"/>
      <c r="BL15" s="6"/>
      <c r="BM15" s="6"/>
      <c r="BN15" s="6"/>
      <c r="BO15" s="6"/>
    </row>
    <row r="16" spans="1:67" x14ac:dyDescent="0.3">
      <c r="A16" s="6" t="s">
        <v>46</v>
      </c>
      <c r="B16" s="6"/>
      <c r="C16" s="11"/>
      <c r="D16" s="6" t="s">
        <v>47</v>
      </c>
      <c r="E16" s="8" t="s">
        <v>48</v>
      </c>
      <c r="F16" s="41"/>
      <c r="G16" s="42"/>
      <c r="H16" s="14"/>
      <c r="I16" s="15"/>
      <c r="J16" s="14">
        <v>6</v>
      </c>
      <c r="K16" s="15"/>
      <c r="L16" s="14"/>
      <c r="M16" s="15"/>
      <c r="N16" s="14"/>
      <c r="O16" s="15"/>
      <c r="P16" s="15"/>
      <c r="Q16" s="15"/>
      <c r="R16" s="45"/>
      <c r="S16" s="45"/>
      <c r="T16" s="45"/>
      <c r="U16" s="4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45"/>
      <c r="AG16" s="45"/>
      <c r="AH16" s="45"/>
      <c r="AI16" s="45"/>
      <c r="AJ16" s="15"/>
      <c r="AK16" s="15"/>
      <c r="AL16" s="15"/>
      <c r="AM16" s="15"/>
      <c r="AN16" s="15"/>
      <c r="AO16" s="15"/>
      <c r="AP16" s="15"/>
      <c r="AQ16" s="15"/>
      <c r="AR16" s="15">
        <v>6</v>
      </c>
      <c r="AS16" s="15"/>
      <c r="AT16" s="45"/>
      <c r="AU16" s="45"/>
      <c r="AV16" s="45"/>
      <c r="AW16" s="45"/>
      <c r="AX16" s="15"/>
      <c r="AY16" s="15"/>
      <c r="AZ16" s="15"/>
      <c r="BA16" s="15"/>
      <c r="BB16" s="15"/>
      <c r="BC16" s="15"/>
      <c r="BD16" s="15">
        <v>8</v>
      </c>
      <c r="BE16" s="15"/>
      <c r="BF16" s="15"/>
      <c r="BG16" s="15"/>
      <c r="BH16" s="45"/>
      <c r="BI16" s="45"/>
      <c r="BJ16" s="45"/>
      <c r="BK16" s="45"/>
      <c r="BL16" s="6"/>
      <c r="BM16" s="6"/>
      <c r="BN16" s="6"/>
      <c r="BO16" s="6"/>
    </row>
    <row r="17" spans="1:67" x14ac:dyDescent="0.3">
      <c r="A17" s="6" t="s">
        <v>49</v>
      </c>
      <c r="B17" s="6"/>
      <c r="C17" s="11"/>
      <c r="D17" s="6" t="s">
        <v>50</v>
      </c>
      <c r="E17" s="8" t="s">
        <v>50</v>
      </c>
      <c r="F17" s="41"/>
      <c r="G17" s="42"/>
      <c r="H17" s="14"/>
      <c r="I17" s="15"/>
      <c r="J17" s="14"/>
      <c r="K17" s="15"/>
      <c r="L17" s="14"/>
      <c r="M17" s="15"/>
      <c r="N17" s="14"/>
      <c r="O17" s="15"/>
      <c r="P17" s="15"/>
      <c r="Q17" s="15"/>
      <c r="R17" s="45"/>
      <c r="S17" s="45"/>
      <c r="T17" s="45"/>
      <c r="U17" s="45"/>
      <c r="V17" s="15"/>
      <c r="W17" s="15"/>
      <c r="X17" s="15"/>
      <c r="Y17" s="15"/>
      <c r="Z17" s="15">
        <v>10</v>
      </c>
      <c r="AA17" s="15"/>
      <c r="AB17" s="15"/>
      <c r="AC17" s="15"/>
      <c r="AD17" s="15"/>
      <c r="AE17" s="15"/>
      <c r="AF17" s="45"/>
      <c r="AG17" s="45"/>
      <c r="AH17" s="45"/>
      <c r="AI17" s="45"/>
      <c r="AJ17" s="15"/>
      <c r="AK17" s="15"/>
      <c r="AL17" s="15"/>
      <c r="AM17" s="15"/>
      <c r="AN17" s="15"/>
      <c r="AO17" s="15"/>
      <c r="AP17" s="15"/>
      <c r="AQ17" s="15"/>
      <c r="AR17" s="15">
        <v>12</v>
      </c>
      <c r="AS17" s="15"/>
      <c r="AT17" s="45"/>
      <c r="AU17" s="45"/>
      <c r="AV17" s="45"/>
      <c r="AW17" s="45"/>
      <c r="AX17" s="15"/>
      <c r="AY17" s="15"/>
      <c r="AZ17" s="15"/>
      <c r="BA17" s="15"/>
      <c r="BB17" s="15"/>
      <c r="BC17" s="15"/>
      <c r="BD17" s="15"/>
      <c r="BE17" s="15"/>
      <c r="BF17" s="15">
        <v>9</v>
      </c>
      <c r="BG17" s="15"/>
      <c r="BH17" s="45"/>
      <c r="BI17" s="45"/>
      <c r="BJ17" s="45"/>
      <c r="BK17" s="45"/>
      <c r="BL17" s="6"/>
      <c r="BM17" s="6"/>
      <c r="BN17" s="6"/>
      <c r="BO17" s="6"/>
    </row>
    <row r="18" spans="1:67" x14ac:dyDescent="0.3">
      <c r="A18" s="6" t="s">
        <v>51</v>
      </c>
      <c r="B18" s="6"/>
      <c r="C18" s="11"/>
      <c r="D18" s="6" t="s">
        <v>52</v>
      </c>
      <c r="E18" s="16" t="s">
        <v>52</v>
      </c>
      <c r="F18" s="41"/>
      <c r="G18" s="42"/>
      <c r="H18" s="14"/>
      <c r="I18" s="15"/>
      <c r="J18" s="14"/>
      <c r="K18" s="15"/>
      <c r="L18" s="14">
        <v>8</v>
      </c>
      <c r="M18" s="15"/>
      <c r="N18" s="14"/>
      <c r="O18" s="15"/>
      <c r="P18" s="15"/>
      <c r="Q18" s="15"/>
      <c r="R18" s="45"/>
      <c r="S18" s="45"/>
      <c r="T18" s="45"/>
      <c r="U18" s="4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45"/>
      <c r="AG18" s="45"/>
      <c r="AH18" s="45"/>
      <c r="AI18" s="4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45">
        <v>4</v>
      </c>
      <c r="AU18" s="45"/>
      <c r="AV18" s="45"/>
      <c r="AW18" s="4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45">
        <v>6</v>
      </c>
      <c r="BI18" s="45"/>
      <c r="BJ18" s="45"/>
      <c r="BK18" s="45"/>
      <c r="BL18" s="6"/>
      <c r="BM18" s="6"/>
      <c r="BN18" s="6"/>
      <c r="BO18" s="6"/>
    </row>
    <row r="19" spans="1:67" x14ac:dyDescent="0.3">
      <c r="A19" s="6" t="s">
        <v>53</v>
      </c>
      <c r="B19" s="6"/>
      <c r="C19" s="11"/>
      <c r="D19" s="6" t="s">
        <v>54</v>
      </c>
      <c r="E19" s="16" t="s">
        <v>54</v>
      </c>
      <c r="F19" s="41"/>
      <c r="G19" s="42"/>
      <c r="H19" s="14"/>
      <c r="I19" s="15"/>
      <c r="J19" s="14">
        <v>9</v>
      </c>
      <c r="K19" s="15"/>
      <c r="L19" s="14"/>
      <c r="M19" s="15"/>
      <c r="N19" s="14"/>
      <c r="O19" s="15"/>
      <c r="P19" s="15"/>
      <c r="Q19" s="15"/>
      <c r="R19" s="45"/>
      <c r="S19" s="45"/>
      <c r="T19" s="45"/>
      <c r="U19" s="4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45"/>
      <c r="AG19" s="45"/>
      <c r="AH19" s="45"/>
      <c r="AI19" s="45"/>
      <c r="AJ19" s="15"/>
      <c r="AK19" s="15"/>
      <c r="AL19" s="15"/>
      <c r="AM19" s="15"/>
      <c r="AN19" s="15"/>
      <c r="AO19" s="15"/>
      <c r="AP19" s="15"/>
      <c r="AQ19" s="15"/>
      <c r="AR19" s="15">
        <v>6</v>
      </c>
      <c r="AS19" s="15">
        <v>1</v>
      </c>
      <c r="AT19" s="45"/>
      <c r="AU19" s="45"/>
      <c r="AV19" s="45"/>
      <c r="AW19" s="45"/>
      <c r="AX19" s="15"/>
      <c r="AY19" s="15"/>
      <c r="AZ19" s="15"/>
      <c r="BA19" s="15"/>
      <c r="BB19" s="15"/>
      <c r="BC19" s="15"/>
      <c r="BD19" s="15"/>
      <c r="BE19" s="15"/>
      <c r="BF19" s="15">
        <v>5</v>
      </c>
      <c r="BG19" s="15"/>
      <c r="BH19" s="45"/>
      <c r="BI19" s="45"/>
      <c r="BJ19" s="45"/>
      <c r="BK19" s="45"/>
      <c r="BL19" s="6"/>
      <c r="BM19" s="6"/>
      <c r="BN19" s="6"/>
      <c r="BO19" s="6"/>
    </row>
    <row r="20" spans="1:67" x14ac:dyDescent="0.3">
      <c r="A20" s="6" t="s">
        <v>55</v>
      </c>
      <c r="B20" s="6"/>
      <c r="C20" s="11"/>
      <c r="D20" s="6" t="s">
        <v>56</v>
      </c>
      <c r="E20" s="16" t="s">
        <v>56</v>
      </c>
      <c r="F20" s="41"/>
      <c r="G20" s="42"/>
      <c r="H20" s="14"/>
      <c r="I20" s="15"/>
      <c r="J20" s="14"/>
      <c r="K20" s="15"/>
      <c r="L20" s="14">
        <v>9</v>
      </c>
      <c r="M20" s="15"/>
      <c r="N20" s="14"/>
      <c r="O20" s="15"/>
      <c r="P20" s="15"/>
      <c r="Q20" s="15"/>
      <c r="R20" s="45"/>
      <c r="S20" s="45"/>
      <c r="T20" s="45"/>
      <c r="U20" s="4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45"/>
      <c r="AG20" s="45"/>
      <c r="AH20" s="45"/>
      <c r="AI20" s="45"/>
      <c r="AJ20" s="15"/>
      <c r="AK20" s="15"/>
      <c r="AL20" s="15"/>
      <c r="AM20" s="15"/>
      <c r="AN20" s="15"/>
      <c r="AO20" s="15"/>
      <c r="AP20" s="15"/>
      <c r="AQ20" s="15"/>
      <c r="AR20" s="15">
        <v>8</v>
      </c>
      <c r="AS20" s="15">
        <v>2</v>
      </c>
      <c r="AT20" s="45"/>
      <c r="AU20" s="45"/>
      <c r="AV20" s="45"/>
      <c r="AW20" s="4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45">
        <v>6</v>
      </c>
      <c r="BI20" s="45"/>
      <c r="BJ20" s="45"/>
      <c r="BK20" s="45"/>
      <c r="BL20" s="6"/>
      <c r="BM20" s="6"/>
      <c r="BN20" s="6"/>
      <c r="BO20" s="6"/>
    </row>
    <row r="21" spans="1:67" x14ac:dyDescent="0.3">
      <c r="A21" s="6" t="s">
        <v>57</v>
      </c>
      <c r="B21" s="6"/>
      <c r="C21" s="11"/>
      <c r="D21" s="6" t="s">
        <v>58</v>
      </c>
      <c r="E21" s="16" t="s">
        <v>58</v>
      </c>
      <c r="F21" s="41"/>
      <c r="G21" s="42"/>
      <c r="H21" s="14"/>
      <c r="I21" s="15"/>
      <c r="J21" s="14"/>
      <c r="K21" s="15"/>
      <c r="L21" s="14">
        <v>8</v>
      </c>
      <c r="M21" s="15"/>
      <c r="N21" s="14"/>
      <c r="O21" s="15"/>
      <c r="P21" s="15"/>
      <c r="Q21" s="15"/>
      <c r="R21" s="45"/>
      <c r="S21" s="45"/>
      <c r="T21" s="45"/>
      <c r="U21" s="4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45"/>
      <c r="AG21" s="45"/>
      <c r="AH21" s="45"/>
      <c r="AI21" s="45"/>
      <c r="AJ21" s="15"/>
      <c r="AK21" s="15"/>
      <c r="AL21" s="15"/>
      <c r="AM21" s="15"/>
      <c r="AN21" s="15"/>
      <c r="AO21" s="15"/>
      <c r="AP21" s="15"/>
      <c r="AQ21" s="15"/>
      <c r="AR21" s="15">
        <v>6</v>
      </c>
      <c r="AS21" s="15"/>
      <c r="AT21" s="45"/>
      <c r="AU21" s="45"/>
      <c r="AV21" s="45"/>
      <c r="AW21" s="45"/>
      <c r="AX21" s="15"/>
      <c r="AY21" s="15"/>
      <c r="AZ21" s="15"/>
      <c r="BA21" s="15"/>
      <c r="BB21" s="15"/>
      <c r="BC21" s="15"/>
      <c r="BD21" s="15"/>
      <c r="BE21" s="15"/>
      <c r="BF21" s="15">
        <v>7</v>
      </c>
      <c r="BG21" s="15"/>
      <c r="BH21" s="45"/>
      <c r="BI21" s="45"/>
      <c r="BJ21" s="45"/>
      <c r="BK21" s="45"/>
      <c r="BL21" s="6"/>
      <c r="BM21" s="6"/>
      <c r="BN21" s="6"/>
      <c r="BO21" s="6"/>
    </row>
    <row r="22" spans="1:67" x14ac:dyDescent="0.3">
      <c r="A22" s="17" t="s">
        <v>59</v>
      </c>
      <c r="C22" s="18"/>
      <c r="D22" s="17" t="s">
        <v>60</v>
      </c>
      <c r="E22" s="16" t="s">
        <v>60</v>
      </c>
      <c r="F22" s="41"/>
      <c r="G22" s="42"/>
      <c r="H22" s="14"/>
      <c r="I22" s="15"/>
      <c r="J22" s="14"/>
      <c r="K22" s="15"/>
      <c r="L22" s="14">
        <v>7</v>
      </c>
      <c r="M22" s="15"/>
      <c r="N22" s="14"/>
      <c r="O22" s="15"/>
      <c r="P22" s="15"/>
      <c r="Q22" s="15"/>
      <c r="R22" s="45"/>
      <c r="S22" s="45"/>
      <c r="T22" s="45"/>
      <c r="U22" s="4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45"/>
      <c r="AG22" s="45"/>
      <c r="AH22" s="45"/>
      <c r="AI22" s="45"/>
      <c r="AJ22" s="15"/>
      <c r="AK22" s="15"/>
      <c r="AL22" s="15"/>
      <c r="AM22" s="15"/>
      <c r="AN22" s="15"/>
      <c r="AO22" s="15"/>
      <c r="AP22" s="15">
        <v>9</v>
      </c>
      <c r="AQ22" s="15">
        <v>2</v>
      </c>
      <c r="AR22" s="15"/>
      <c r="AS22" s="15"/>
      <c r="AT22" s="45"/>
      <c r="AU22" s="45"/>
      <c r="AV22" s="45"/>
      <c r="AW22" s="45"/>
      <c r="AX22" s="15"/>
      <c r="AY22" s="15"/>
      <c r="AZ22" s="15"/>
      <c r="BA22" s="15"/>
      <c r="BB22" s="15"/>
      <c r="BC22" s="15"/>
      <c r="BD22" s="15"/>
      <c r="BE22" s="15"/>
      <c r="BF22" s="15">
        <v>5</v>
      </c>
      <c r="BG22" s="15"/>
      <c r="BH22" s="45"/>
      <c r="BI22" s="45"/>
      <c r="BJ22" s="45"/>
      <c r="BK22" s="45"/>
      <c r="BL22" s="6"/>
      <c r="BM22" s="6"/>
      <c r="BN22" s="6"/>
      <c r="BO22" s="6"/>
    </row>
    <row r="23" spans="1:67" ht="15.6" x14ac:dyDescent="0.3">
      <c r="A23" s="17" t="s">
        <v>61</v>
      </c>
      <c r="B23" s="19" t="s">
        <v>62</v>
      </c>
      <c r="C23" s="20" t="s">
        <v>63</v>
      </c>
      <c r="D23" s="17" t="s">
        <v>64</v>
      </c>
      <c r="E23" s="16" t="s">
        <v>64</v>
      </c>
      <c r="F23" s="41"/>
      <c r="G23" s="42"/>
      <c r="H23" s="14"/>
      <c r="I23" s="15"/>
      <c r="J23" s="14"/>
      <c r="K23" s="15"/>
      <c r="L23" s="14"/>
      <c r="M23" s="15"/>
      <c r="N23" s="14"/>
      <c r="O23" s="15"/>
      <c r="P23" s="15"/>
      <c r="Q23" s="15"/>
      <c r="R23" s="45"/>
      <c r="S23" s="45"/>
      <c r="T23" s="45"/>
      <c r="U23" s="45"/>
      <c r="V23" s="15"/>
      <c r="W23" s="15"/>
      <c r="X23" s="15"/>
      <c r="Y23" s="15"/>
      <c r="Z23" s="15"/>
      <c r="AA23" s="15"/>
      <c r="AB23" s="15">
        <v>9</v>
      </c>
      <c r="AC23" s="15"/>
      <c r="AD23" s="15"/>
      <c r="AE23" s="15"/>
      <c r="AF23" s="45"/>
      <c r="AG23" s="45"/>
      <c r="AH23" s="45"/>
      <c r="AI23" s="45"/>
      <c r="AJ23" s="15"/>
      <c r="AK23" s="15"/>
      <c r="AL23" s="15"/>
      <c r="AM23" s="15"/>
      <c r="AN23" s="15"/>
      <c r="AO23" s="15"/>
      <c r="AP23" s="15"/>
      <c r="AQ23" s="15"/>
      <c r="AR23" s="15">
        <v>8</v>
      </c>
      <c r="AS23" s="15"/>
      <c r="AT23" s="45"/>
      <c r="AU23" s="45"/>
      <c r="AV23" s="45"/>
      <c r="AW23" s="4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45">
        <v>9</v>
      </c>
      <c r="BI23" s="45"/>
      <c r="BJ23" s="45"/>
      <c r="BK23" s="45"/>
      <c r="BL23" s="6"/>
      <c r="BM23" s="6"/>
      <c r="BN23" s="6"/>
      <c r="BO23" s="6"/>
    </row>
    <row r="24" spans="1:67" ht="15.6" x14ac:dyDescent="0.3">
      <c r="A24" s="6" t="s">
        <v>65</v>
      </c>
      <c r="B24" s="21"/>
      <c r="C24" s="11"/>
      <c r="D24" s="6" t="s">
        <v>66</v>
      </c>
      <c r="E24" s="16" t="s">
        <v>69</v>
      </c>
      <c r="F24" s="41"/>
      <c r="G24" s="42"/>
      <c r="H24" s="14"/>
      <c r="I24" s="15"/>
      <c r="J24" s="14">
        <v>9</v>
      </c>
      <c r="K24" s="15"/>
      <c r="L24" s="14"/>
      <c r="M24" s="15"/>
      <c r="N24" s="14"/>
      <c r="O24" s="15"/>
      <c r="P24" s="15"/>
      <c r="Q24" s="15"/>
      <c r="R24" s="45"/>
      <c r="S24" s="45"/>
      <c r="T24" s="45"/>
      <c r="U24" s="45"/>
      <c r="V24" s="15"/>
      <c r="W24" s="15"/>
      <c r="X24" s="15"/>
      <c r="Y24" s="15"/>
      <c r="Z24" s="15"/>
      <c r="AA24" s="15">
        <v>2</v>
      </c>
      <c r="AB24" s="15">
        <v>7</v>
      </c>
      <c r="AC24" s="15">
        <v>2</v>
      </c>
      <c r="AD24" s="15"/>
      <c r="AE24" s="15"/>
      <c r="AF24" s="45"/>
      <c r="AG24" s="45"/>
      <c r="AH24" s="45"/>
      <c r="AI24" s="4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45">
        <v>4</v>
      </c>
      <c r="AU24" s="45"/>
      <c r="AV24" s="45"/>
      <c r="AW24" s="4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45"/>
      <c r="BI24" s="45"/>
      <c r="BJ24" s="45"/>
      <c r="BK24" s="45"/>
      <c r="BL24" s="6"/>
      <c r="BM24" s="6"/>
      <c r="BN24" s="6"/>
      <c r="BO24" s="6"/>
    </row>
    <row r="25" spans="1:67" ht="15.6" x14ac:dyDescent="0.3">
      <c r="A25" s="6" t="s">
        <v>68</v>
      </c>
      <c r="B25" s="21"/>
      <c r="C25" s="11"/>
      <c r="D25" s="6" t="s">
        <v>66</v>
      </c>
      <c r="E25" s="16" t="s">
        <v>67</v>
      </c>
      <c r="F25" s="41"/>
      <c r="G25" s="42"/>
      <c r="H25" s="14"/>
      <c r="I25" s="15"/>
      <c r="J25" s="14"/>
      <c r="K25" s="15"/>
      <c r="L25" s="14">
        <v>9</v>
      </c>
      <c r="M25" s="15"/>
      <c r="N25" s="14"/>
      <c r="O25" s="15"/>
      <c r="P25" s="15"/>
      <c r="Q25" s="15"/>
      <c r="R25" s="45"/>
      <c r="S25" s="45"/>
      <c r="T25" s="45"/>
      <c r="U25" s="45"/>
      <c r="V25" s="15"/>
      <c r="W25" s="15"/>
      <c r="X25" s="15"/>
      <c r="Y25" s="15"/>
      <c r="Z25" s="15">
        <v>9</v>
      </c>
      <c r="AA25" s="15"/>
      <c r="AB25" s="15"/>
      <c r="AC25" s="15"/>
      <c r="AD25" s="15"/>
      <c r="AE25" s="15"/>
      <c r="AF25" s="45"/>
      <c r="AG25" s="45"/>
      <c r="AH25" s="45"/>
      <c r="AI25" s="45"/>
      <c r="AJ25" s="15"/>
      <c r="AK25" s="15"/>
      <c r="AL25" s="15"/>
      <c r="AM25" s="15"/>
      <c r="AN25" s="15"/>
      <c r="AO25" s="15"/>
      <c r="AP25" s="15"/>
      <c r="AQ25" s="15"/>
      <c r="AR25" s="15">
        <v>8</v>
      </c>
      <c r="AS25" s="15"/>
      <c r="AT25" s="45"/>
      <c r="AU25" s="45"/>
      <c r="AV25" s="45"/>
      <c r="AW25" s="4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45">
        <v>5</v>
      </c>
      <c r="BI25" s="45"/>
      <c r="BJ25" s="45"/>
      <c r="BK25" s="45"/>
      <c r="BL25" s="6"/>
      <c r="BM25" s="6"/>
      <c r="BN25" s="6"/>
      <c r="BO25" s="6"/>
    </row>
    <row r="26" spans="1:67" ht="15.6" x14ac:dyDescent="0.3">
      <c r="A26" s="6" t="s">
        <v>70</v>
      </c>
      <c r="B26" s="21"/>
      <c r="C26" s="11"/>
      <c r="D26" s="6" t="s">
        <v>71</v>
      </c>
      <c r="E26" s="16" t="s">
        <v>72</v>
      </c>
      <c r="F26" s="41"/>
      <c r="G26" s="42"/>
      <c r="H26" s="14"/>
      <c r="I26" s="15"/>
      <c r="J26" s="14">
        <v>9</v>
      </c>
      <c r="K26" s="15"/>
      <c r="L26" s="14"/>
      <c r="M26" s="15"/>
      <c r="N26" s="14"/>
      <c r="O26" s="15"/>
      <c r="P26" s="15"/>
      <c r="Q26" s="15"/>
      <c r="R26" s="45"/>
      <c r="S26" s="45"/>
      <c r="T26" s="45"/>
      <c r="U26" s="45"/>
      <c r="V26" s="15"/>
      <c r="W26" s="15"/>
      <c r="X26" s="15"/>
      <c r="Y26" s="15"/>
      <c r="Z26" s="15"/>
      <c r="AA26" s="15">
        <v>5</v>
      </c>
      <c r="AB26" s="15"/>
      <c r="AC26" s="15"/>
      <c r="AD26" s="15"/>
      <c r="AE26" s="15"/>
      <c r="AF26" s="45"/>
      <c r="AG26" s="45"/>
      <c r="AH26" s="45"/>
      <c r="AI26" s="4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45">
        <v>7</v>
      </c>
      <c r="AU26" s="45"/>
      <c r="AV26" s="45"/>
      <c r="AW26" s="4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45">
        <v>6</v>
      </c>
      <c r="BI26" s="45"/>
      <c r="BJ26" s="45"/>
      <c r="BK26" s="45"/>
      <c r="BL26" s="6"/>
      <c r="BM26" s="6"/>
      <c r="BN26" s="6"/>
      <c r="BO26" s="6"/>
    </row>
    <row r="27" spans="1:67" ht="15.6" x14ac:dyDescent="0.3">
      <c r="A27" s="6" t="s">
        <v>78</v>
      </c>
      <c r="B27" s="21"/>
      <c r="C27" s="11"/>
      <c r="D27" s="6"/>
      <c r="E27" s="16"/>
      <c r="F27" s="41"/>
      <c r="G27" s="42"/>
      <c r="H27" s="14"/>
      <c r="I27" s="15"/>
      <c r="J27" s="14"/>
      <c r="K27" s="15"/>
      <c r="L27" s="14"/>
      <c r="M27" s="15"/>
      <c r="N27" s="14"/>
      <c r="O27" s="15"/>
      <c r="P27" s="15"/>
      <c r="Q27" s="15"/>
      <c r="R27" s="45"/>
      <c r="S27" s="45"/>
      <c r="T27" s="45"/>
      <c r="U27" s="4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45"/>
      <c r="AG27" s="45"/>
      <c r="AH27" s="45"/>
      <c r="AI27" s="45"/>
      <c r="AJ27" s="15"/>
      <c r="AK27" s="15"/>
      <c r="AL27" s="15">
        <v>18</v>
      </c>
      <c r="AM27" s="15"/>
      <c r="AN27" s="15"/>
      <c r="AO27" s="15"/>
      <c r="AP27" s="15"/>
      <c r="AQ27" s="15"/>
      <c r="AR27" s="15"/>
      <c r="AS27" s="15">
        <v>18</v>
      </c>
      <c r="AT27" s="45">
        <v>72</v>
      </c>
      <c r="AU27" s="45"/>
      <c r="AV27" s="45"/>
      <c r="AW27" s="45"/>
      <c r="AX27" s="15"/>
      <c r="AY27" s="15"/>
      <c r="AZ27" s="15"/>
      <c r="BA27" s="15"/>
      <c r="BB27" s="15"/>
      <c r="BC27" s="15"/>
      <c r="BD27" s="15"/>
      <c r="BE27" s="15"/>
      <c r="BF27" s="15"/>
      <c r="BG27" s="15">
        <v>11</v>
      </c>
      <c r="BH27" s="45"/>
      <c r="BI27" s="45"/>
      <c r="BJ27" s="45"/>
      <c r="BK27" s="45"/>
      <c r="BL27" s="6"/>
      <c r="BM27" s="6"/>
      <c r="BN27" s="6"/>
      <c r="BO27" s="6"/>
    </row>
    <row r="28" spans="1:67" ht="18.600000000000001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x14ac:dyDescent="0.3">
      <c r="BB29" s="22"/>
      <c r="BC29" s="22"/>
      <c r="BD29" s="22"/>
      <c r="BE29" s="22"/>
    </row>
    <row r="30" spans="1:67" x14ac:dyDescent="0.3">
      <c r="D30" s="59" t="s">
        <v>11</v>
      </c>
      <c r="E30" s="59"/>
      <c r="F30" s="24">
        <f t="shared" ref="F30:BI34" si="0">F6*15</f>
        <v>0</v>
      </c>
      <c r="G30" s="24">
        <f t="shared" si="0"/>
        <v>0</v>
      </c>
      <c r="H30" s="24">
        <f t="shared" si="0"/>
        <v>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0</v>
      </c>
      <c r="S30" s="24">
        <f t="shared" si="0"/>
        <v>0</v>
      </c>
      <c r="T30" s="24">
        <f t="shared" si="0"/>
        <v>0</v>
      </c>
      <c r="U30" s="24">
        <f t="shared" si="0"/>
        <v>0</v>
      </c>
      <c r="V30" s="24">
        <f t="shared" si="0"/>
        <v>0</v>
      </c>
      <c r="W30" s="24">
        <f t="shared" si="0"/>
        <v>0</v>
      </c>
      <c r="X30" s="24">
        <f t="shared" si="0"/>
        <v>210</v>
      </c>
      <c r="Y30" s="24">
        <f t="shared" si="0"/>
        <v>0</v>
      </c>
      <c r="Z30" s="24">
        <f t="shared" si="0"/>
        <v>60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0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0</v>
      </c>
      <c r="AK30" s="24">
        <f t="shared" si="0"/>
        <v>0</v>
      </c>
      <c r="AL30" s="24">
        <f t="shared" si="0"/>
        <v>0</v>
      </c>
      <c r="AM30" s="24">
        <f t="shared" si="0"/>
        <v>0</v>
      </c>
      <c r="AN30" s="24">
        <f t="shared" si="0"/>
        <v>255</v>
      </c>
      <c r="AO30" s="24">
        <f t="shared" si="0"/>
        <v>0</v>
      </c>
      <c r="AP30" s="24">
        <f t="shared" si="0"/>
        <v>0</v>
      </c>
      <c r="AQ30" s="24">
        <f t="shared" si="0"/>
        <v>0</v>
      </c>
      <c r="AR30" s="24">
        <f t="shared" si="0"/>
        <v>0</v>
      </c>
      <c r="AS30" s="24">
        <f t="shared" si="0"/>
        <v>0</v>
      </c>
      <c r="AT30" s="24">
        <f t="shared" si="0"/>
        <v>0</v>
      </c>
      <c r="AU30" s="24">
        <f t="shared" si="0"/>
        <v>0</v>
      </c>
      <c r="AV30" s="24">
        <f t="shared" si="0"/>
        <v>0</v>
      </c>
      <c r="AW30" s="24">
        <f t="shared" si="0"/>
        <v>0</v>
      </c>
      <c r="AX30" s="24">
        <f t="shared" si="0"/>
        <v>0</v>
      </c>
      <c r="AY30" s="24">
        <f t="shared" si="0"/>
        <v>0</v>
      </c>
      <c r="AZ30" s="24">
        <f t="shared" si="0"/>
        <v>0</v>
      </c>
      <c r="BA30" s="24">
        <f t="shared" si="0"/>
        <v>0</v>
      </c>
      <c r="BB30" s="24">
        <f t="shared" si="0"/>
        <v>150</v>
      </c>
      <c r="BC30" s="24">
        <f t="shared" si="0"/>
        <v>0</v>
      </c>
      <c r="BD30" s="24">
        <f t="shared" si="0"/>
        <v>0</v>
      </c>
      <c r="BE30" s="24">
        <f t="shared" si="0"/>
        <v>0</v>
      </c>
      <c r="BF30" s="24">
        <f t="shared" si="0"/>
        <v>0</v>
      </c>
      <c r="BG30" s="24">
        <f t="shared" si="0"/>
        <v>0</v>
      </c>
      <c r="BH30" s="24">
        <f t="shared" si="0"/>
        <v>0</v>
      </c>
      <c r="BI30" s="24">
        <f t="shared" si="0"/>
        <v>0</v>
      </c>
      <c r="BJ30" s="24">
        <f t="shared" ref="BJ30:BO33" si="1">BJ6*15</f>
        <v>0</v>
      </c>
      <c r="BK30" s="24">
        <f t="shared" si="1"/>
        <v>0</v>
      </c>
      <c r="BL30" s="24">
        <f t="shared" si="1"/>
        <v>0</v>
      </c>
      <c r="BM30" s="24">
        <f t="shared" si="1"/>
        <v>0</v>
      </c>
      <c r="BN30" s="24">
        <f t="shared" si="1"/>
        <v>0</v>
      </c>
      <c r="BO30" s="24">
        <f t="shared" si="1"/>
        <v>0</v>
      </c>
    </row>
    <row r="31" spans="1:67" x14ac:dyDescent="0.3">
      <c r="D31" s="59" t="s">
        <v>16</v>
      </c>
      <c r="E31" s="59"/>
      <c r="F31" s="24">
        <f t="shared" si="0"/>
        <v>0</v>
      </c>
      <c r="G31" s="24">
        <f t="shared" si="0"/>
        <v>0</v>
      </c>
      <c r="H31" s="24">
        <f t="shared" si="0"/>
        <v>0</v>
      </c>
      <c r="I31" s="24">
        <f t="shared" si="0"/>
        <v>0</v>
      </c>
      <c r="J31" s="24">
        <f t="shared" si="0"/>
        <v>0</v>
      </c>
      <c r="K31" s="24">
        <f t="shared" si="0"/>
        <v>0</v>
      </c>
      <c r="L31" s="24">
        <f t="shared" si="0"/>
        <v>0</v>
      </c>
      <c r="M31" s="24">
        <f t="shared" si="0"/>
        <v>0</v>
      </c>
      <c r="N31" s="24">
        <f t="shared" si="0"/>
        <v>0</v>
      </c>
      <c r="O31" s="24">
        <f t="shared" si="0"/>
        <v>0</v>
      </c>
      <c r="P31" s="24">
        <f t="shared" si="0"/>
        <v>0</v>
      </c>
      <c r="Q31" s="24">
        <f t="shared" si="0"/>
        <v>0</v>
      </c>
      <c r="R31" s="24">
        <f t="shared" si="0"/>
        <v>0</v>
      </c>
      <c r="S31" s="24">
        <f t="shared" si="0"/>
        <v>0</v>
      </c>
      <c r="T31" s="24">
        <f t="shared" si="0"/>
        <v>0</v>
      </c>
      <c r="U31" s="24">
        <f t="shared" si="0"/>
        <v>0</v>
      </c>
      <c r="V31" s="24">
        <f t="shared" si="0"/>
        <v>0</v>
      </c>
      <c r="W31" s="24">
        <f t="shared" si="0"/>
        <v>0</v>
      </c>
      <c r="X31" s="24">
        <f t="shared" si="0"/>
        <v>225</v>
      </c>
      <c r="Y31" s="24">
        <f t="shared" si="0"/>
        <v>0</v>
      </c>
      <c r="Z31" s="24">
        <f t="shared" si="0"/>
        <v>60</v>
      </c>
      <c r="AA31" s="24">
        <f t="shared" si="0"/>
        <v>0</v>
      </c>
      <c r="AB31" s="24">
        <f t="shared" si="0"/>
        <v>0</v>
      </c>
      <c r="AC31" s="24">
        <f t="shared" si="0"/>
        <v>0</v>
      </c>
      <c r="AD31" s="24">
        <f t="shared" si="0"/>
        <v>0</v>
      </c>
      <c r="AE31" s="24">
        <f t="shared" si="0"/>
        <v>0</v>
      </c>
      <c r="AF31" s="24">
        <f t="shared" si="0"/>
        <v>0</v>
      </c>
      <c r="AG31" s="24">
        <f t="shared" si="0"/>
        <v>0</v>
      </c>
      <c r="AH31" s="24">
        <f t="shared" si="0"/>
        <v>0</v>
      </c>
      <c r="AI31" s="24">
        <f t="shared" si="0"/>
        <v>0</v>
      </c>
      <c r="AJ31" s="24">
        <f t="shared" si="0"/>
        <v>0</v>
      </c>
      <c r="AK31" s="24">
        <f t="shared" si="0"/>
        <v>0</v>
      </c>
      <c r="AL31" s="24">
        <f t="shared" si="0"/>
        <v>0</v>
      </c>
      <c r="AM31" s="24">
        <f t="shared" si="0"/>
        <v>0</v>
      </c>
      <c r="AN31" s="24">
        <f t="shared" si="0"/>
        <v>255</v>
      </c>
      <c r="AO31" s="24">
        <f t="shared" si="0"/>
        <v>0</v>
      </c>
      <c r="AP31" s="24">
        <f t="shared" si="0"/>
        <v>0</v>
      </c>
      <c r="AQ31" s="24">
        <f t="shared" si="0"/>
        <v>0</v>
      </c>
      <c r="AR31" s="24">
        <f t="shared" si="0"/>
        <v>0</v>
      </c>
      <c r="AS31" s="24">
        <f t="shared" si="0"/>
        <v>0</v>
      </c>
      <c r="AT31" s="24">
        <f t="shared" si="0"/>
        <v>0</v>
      </c>
      <c r="AU31" s="24">
        <f t="shared" si="0"/>
        <v>0</v>
      </c>
      <c r="AV31" s="24">
        <f t="shared" si="0"/>
        <v>0</v>
      </c>
      <c r="AW31" s="24">
        <f t="shared" si="0"/>
        <v>0</v>
      </c>
      <c r="AX31" s="24">
        <f t="shared" si="0"/>
        <v>0</v>
      </c>
      <c r="AY31" s="24">
        <f t="shared" si="0"/>
        <v>0</v>
      </c>
      <c r="AZ31" s="24">
        <f t="shared" si="0"/>
        <v>0</v>
      </c>
      <c r="BA31" s="24">
        <f t="shared" si="0"/>
        <v>0</v>
      </c>
      <c r="BB31" s="24">
        <f t="shared" si="0"/>
        <v>255</v>
      </c>
      <c r="BC31" s="24">
        <f t="shared" si="0"/>
        <v>0</v>
      </c>
      <c r="BD31" s="24">
        <f t="shared" si="0"/>
        <v>0</v>
      </c>
      <c r="BE31" s="24">
        <f t="shared" si="0"/>
        <v>0</v>
      </c>
      <c r="BF31" s="24">
        <f t="shared" si="0"/>
        <v>0</v>
      </c>
      <c r="BG31" s="24">
        <f t="shared" si="0"/>
        <v>0</v>
      </c>
      <c r="BH31" s="24">
        <f t="shared" si="0"/>
        <v>0</v>
      </c>
      <c r="BI31" s="24">
        <f t="shared" si="0"/>
        <v>0</v>
      </c>
      <c r="BJ31" s="24">
        <f t="shared" si="1"/>
        <v>0</v>
      </c>
      <c r="BK31" s="24">
        <f t="shared" si="1"/>
        <v>0</v>
      </c>
      <c r="BL31" s="24">
        <f t="shared" si="1"/>
        <v>0</v>
      </c>
      <c r="BM31" s="24">
        <f t="shared" si="1"/>
        <v>0</v>
      </c>
      <c r="BN31" s="24">
        <f t="shared" si="1"/>
        <v>0</v>
      </c>
      <c r="BO31" s="24">
        <f t="shared" si="1"/>
        <v>0</v>
      </c>
    </row>
    <row r="32" spans="1:67" x14ac:dyDescent="0.3">
      <c r="D32" s="59" t="s">
        <v>20</v>
      </c>
      <c r="E32" s="59"/>
      <c r="F32" s="24">
        <f t="shared" si="0"/>
        <v>0</v>
      </c>
      <c r="G32" s="24">
        <f t="shared" si="0"/>
        <v>0</v>
      </c>
      <c r="H32" s="24">
        <f t="shared" si="0"/>
        <v>0</v>
      </c>
      <c r="I32" s="24">
        <f t="shared" si="0"/>
        <v>0</v>
      </c>
      <c r="J32" s="24">
        <f t="shared" si="0"/>
        <v>0</v>
      </c>
      <c r="K32" s="24">
        <f t="shared" si="0"/>
        <v>0</v>
      </c>
      <c r="L32" s="24">
        <f t="shared" si="0"/>
        <v>0</v>
      </c>
      <c r="M32" s="24">
        <f t="shared" si="0"/>
        <v>0</v>
      </c>
      <c r="N32" s="24">
        <f t="shared" si="0"/>
        <v>0</v>
      </c>
      <c r="O32" s="24">
        <f t="shared" si="0"/>
        <v>0</v>
      </c>
      <c r="P32" s="24">
        <f t="shared" si="0"/>
        <v>0</v>
      </c>
      <c r="Q32" s="24">
        <f t="shared" si="0"/>
        <v>0</v>
      </c>
      <c r="R32" s="24">
        <f t="shared" si="0"/>
        <v>0</v>
      </c>
      <c r="S32" s="24">
        <f t="shared" si="0"/>
        <v>0</v>
      </c>
      <c r="T32" s="24">
        <f t="shared" si="0"/>
        <v>0</v>
      </c>
      <c r="U32" s="24">
        <f t="shared" si="0"/>
        <v>0</v>
      </c>
      <c r="V32" s="24">
        <f t="shared" si="0"/>
        <v>0</v>
      </c>
      <c r="W32" s="24">
        <f t="shared" si="0"/>
        <v>0</v>
      </c>
      <c r="X32" s="24">
        <f t="shared" si="0"/>
        <v>0</v>
      </c>
      <c r="Y32" s="24">
        <f t="shared" si="0"/>
        <v>0</v>
      </c>
      <c r="Z32" s="24">
        <f t="shared" si="0"/>
        <v>195</v>
      </c>
      <c r="AA32" s="24">
        <f t="shared" si="0"/>
        <v>0</v>
      </c>
      <c r="AB32" s="24">
        <f t="shared" si="0"/>
        <v>0</v>
      </c>
      <c r="AC32" s="24">
        <f t="shared" si="0"/>
        <v>0</v>
      </c>
      <c r="AD32" s="24">
        <f t="shared" si="0"/>
        <v>0</v>
      </c>
      <c r="AE32" s="24">
        <f t="shared" si="0"/>
        <v>0</v>
      </c>
      <c r="AF32" s="24">
        <f t="shared" si="0"/>
        <v>0</v>
      </c>
      <c r="AG32" s="24">
        <f t="shared" si="0"/>
        <v>0</v>
      </c>
      <c r="AH32" s="24">
        <f t="shared" si="0"/>
        <v>0</v>
      </c>
      <c r="AI32" s="24">
        <f t="shared" si="0"/>
        <v>0</v>
      </c>
      <c r="AJ32" s="24">
        <f t="shared" si="0"/>
        <v>0</v>
      </c>
      <c r="AK32" s="24">
        <f t="shared" si="0"/>
        <v>0</v>
      </c>
      <c r="AL32" s="24">
        <f t="shared" si="0"/>
        <v>0</v>
      </c>
      <c r="AM32" s="24">
        <f t="shared" si="0"/>
        <v>0</v>
      </c>
      <c r="AN32" s="24">
        <f t="shared" si="0"/>
        <v>180</v>
      </c>
      <c r="AO32" s="24">
        <f t="shared" si="0"/>
        <v>0</v>
      </c>
      <c r="AP32" s="24">
        <f t="shared" si="0"/>
        <v>0</v>
      </c>
      <c r="AQ32" s="24">
        <f t="shared" si="0"/>
        <v>0</v>
      </c>
      <c r="AR32" s="24">
        <f t="shared" si="0"/>
        <v>0</v>
      </c>
      <c r="AS32" s="24">
        <f t="shared" si="0"/>
        <v>0</v>
      </c>
      <c r="AT32" s="24">
        <f t="shared" si="0"/>
        <v>0</v>
      </c>
      <c r="AU32" s="24">
        <f t="shared" si="0"/>
        <v>0</v>
      </c>
      <c r="AV32" s="24">
        <f t="shared" si="0"/>
        <v>0</v>
      </c>
      <c r="AW32" s="24">
        <f t="shared" si="0"/>
        <v>0</v>
      </c>
      <c r="AX32" s="24">
        <f t="shared" si="0"/>
        <v>0</v>
      </c>
      <c r="AY32" s="24">
        <f t="shared" si="0"/>
        <v>0</v>
      </c>
      <c r="AZ32" s="24">
        <f t="shared" si="0"/>
        <v>0</v>
      </c>
      <c r="BA32" s="24">
        <f t="shared" si="0"/>
        <v>0</v>
      </c>
      <c r="BB32" s="24">
        <f t="shared" si="0"/>
        <v>180</v>
      </c>
      <c r="BC32" s="24">
        <f t="shared" si="0"/>
        <v>0</v>
      </c>
      <c r="BD32" s="24">
        <f t="shared" si="0"/>
        <v>0</v>
      </c>
      <c r="BE32" s="24">
        <f t="shared" si="0"/>
        <v>0</v>
      </c>
      <c r="BF32" s="24">
        <f t="shared" si="0"/>
        <v>0</v>
      </c>
      <c r="BG32" s="24">
        <f t="shared" si="0"/>
        <v>0</v>
      </c>
      <c r="BH32" s="24">
        <f t="shared" si="0"/>
        <v>0</v>
      </c>
      <c r="BI32" s="24">
        <f t="shared" si="0"/>
        <v>0</v>
      </c>
      <c r="BJ32" s="24">
        <f t="shared" si="1"/>
        <v>0</v>
      </c>
      <c r="BK32" s="24">
        <f t="shared" si="1"/>
        <v>0</v>
      </c>
      <c r="BL32" s="24">
        <f t="shared" si="1"/>
        <v>0</v>
      </c>
      <c r="BM32" s="24">
        <f t="shared" si="1"/>
        <v>0</v>
      </c>
      <c r="BN32" s="24">
        <f t="shared" si="1"/>
        <v>0</v>
      </c>
      <c r="BO32" s="24">
        <f t="shared" si="1"/>
        <v>0</v>
      </c>
    </row>
    <row r="33" spans="4:67" x14ac:dyDescent="0.3">
      <c r="D33" s="59" t="s">
        <v>24</v>
      </c>
      <c r="E33" s="59"/>
      <c r="F33" s="24">
        <f t="shared" si="0"/>
        <v>0</v>
      </c>
      <c r="G33" s="24">
        <f t="shared" si="0"/>
        <v>0</v>
      </c>
      <c r="H33" s="24">
        <f t="shared" si="0"/>
        <v>0</v>
      </c>
      <c r="I33" s="24">
        <f t="shared" si="0"/>
        <v>0</v>
      </c>
      <c r="J33" s="24">
        <f t="shared" si="0"/>
        <v>0</v>
      </c>
      <c r="K33" s="24">
        <f t="shared" si="0"/>
        <v>0</v>
      </c>
      <c r="L33" s="24">
        <f t="shared" si="0"/>
        <v>0</v>
      </c>
      <c r="M33" s="24">
        <f t="shared" si="0"/>
        <v>0</v>
      </c>
      <c r="N33" s="24">
        <f t="shared" si="0"/>
        <v>0</v>
      </c>
      <c r="O33" s="24">
        <f t="shared" si="0"/>
        <v>0</v>
      </c>
      <c r="P33" s="24">
        <f t="shared" si="0"/>
        <v>0</v>
      </c>
      <c r="Q33" s="24">
        <f t="shared" si="0"/>
        <v>0</v>
      </c>
      <c r="R33" s="24">
        <f t="shared" si="0"/>
        <v>0</v>
      </c>
      <c r="S33" s="24">
        <f t="shared" si="0"/>
        <v>0</v>
      </c>
      <c r="T33" s="24">
        <f t="shared" si="0"/>
        <v>0</v>
      </c>
      <c r="U33" s="24">
        <f t="shared" si="0"/>
        <v>0</v>
      </c>
      <c r="V33" s="24">
        <f t="shared" si="0"/>
        <v>0</v>
      </c>
      <c r="W33" s="24">
        <f t="shared" si="0"/>
        <v>0</v>
      </c>
      <c r="X33" s="24">
        <f t="shared" si="0"/>
        <v>105</v>
      </c>
      <c r="Y33" s="24">
        <f t="shared" si="0"/>
        <v>0</v>
      </c>
      <c r="Z33" s="24">
        <f t="shared" si="0"/>
        <v>0</v>
      </c>
      <c r="AA33" s="24">
        <f t="shared" si="0"/>
        <v>0</v>
      </c>
      <c r="AB33" s="24">
        <f t="shared" si="0"/>
        <v>0</v>
      </c>
      <c r="AC33" s="24">
        <f t="shared" si="0"/>
        <v>0</v>
      </c>
      <c r="AD33" s="24">
        <f t="shared" si="0"/>
        <v>0</v>
      </c>
      <c r="AE33" s="24">
        <f t="shared" si="0"/>
        <v>0</v>
      </c>
      <c r="AF33" s="24">
        <f t="shared" si="0"/>
        <v>0</v>
      </c>
      <c r="AG33" s="24">
        <f t="shared" si="0"/>
        <v>0</v>
      </c>
      <c r="AH33" s="24">
        <f t="shared" si="0"/>
        <v>0</v>
      </c>
      <c r="AI33" s="24">
        <f t="shared" si="0"/>
        <v>0</v>
      </c>
      <c r="AJ33" s="24">
        <f t="shared" si="0"/>
        <v>0</v>
      </c>
      <c r="AK33" s="24">
        <f t="shared" si="0"/>
        <v>0</v>
      </c>
      <c r="AL33" s="24">
        <f t="shared" si="0"/>
        <v>0</v>
      </c>
      <c r="AM33" s="24">
        <f t="shared" si="0"/>
        <v>0</v>
      </c>
      <c r="AN33" s="24">
        <f t="shared" si="0"/>
        <v>0</v>
      </c>
      <c r="AO33" s="24">
        <f t="shared" si="0"/>
        <v>0</v>
      </c>
      <c r="AP33" s="24">
        <f t="shared" si="0"/>
        <v>165</v>
      </c>
      <c r="AQ33" s="24">
        <f t="shared" si="0"/>
        <v>0</v>
      </c>
      <c r="AR33" s="24">
        <f t="shared" si="0"/>
        <v>0</v>
      </c>
      <c r="AS33" s="24">
        <f t="shared" si="0"/>
        <v>0</v>
      </c>
      <c r="AT33" s="24">
        <f t="shared" si="0"/>
        <v>0</v>
      </c>
      <c r="AU33" s="24">
        <f t="shared" si="0"/>
        <v>0</v>
      </c>
      <c r="AV33" s="24">
        <f t="shared" si="0"/>
        <v>0</v>
      </c>
      <c r="AW33" s="24">
        <f t="shared" si="0"/>
        <v>0</v>
      </c>
      <c r="AX33" s="24">
        <f t="shared" si="0"/>
        <v>0</v>
      </c>
      <c r="AY33" s="24">
        <f t="shared" si="0"/>
        <v>0</v>
      </c>
      <c r="AZ33" s="24">
        <f t="shared" si="0"/>
        <v>0</v>
      </c>
      <c r="BA33" s="24">
        <f t="shared" si="0"/>
        <v>0</v>
      </c>
      <c r="BB33" s="24">
        <f t="shared" si="0"/>
        <v>0</v>
      </c>
      <c r="BC33" s="24">
        <f t="shared" si="0"/>
        <v>0</v>
      </c>
      <c r="BD33" s="24">
        <f t="shared" si="0"/>
        <v>0</v>
      </c>
      <c r="BE33" s="24">
        <f t="shared" si="0"/>
        <v>0</v>
      </c>
      <c r="BF33" s="24">
        <f t="shared" si="0"/>
        <v>120</v>
      </c>
      <c r="BG33" s="24">
        <f t="shared" si="0"/>
        <v>0</v>
      </c>
      <c r="BH33" s="24">
        <f t="shared" si="0"/>
        <v>0</v>
      </c>
      <c r="BI33" s="24">
        <f t="shared" si="0"/>
        <v>0</v>
      </c>
      <c r="BJ33" s="24">
        <f t="shared" si="1"/>
        <v>0</v>
      </c>
      <c r="BK33" s="24">
        <f t="shared" si="1"/>
        <v>0</v>
      </c>
      <c r="BL33" s="24">
        <f t="shared" si="1"/>
        <v>0</v>
      </c>
      <c r="BM33" s="24">
        <f t="shared" si="1"/>
        <v>0</v>
      </c>
      <c r="BN33" s="24">
        <f t="shared" si="1"/>
        <v>0</v>
      </c>
      <c r="BO33" s="24">
        <f t="shared" si="1"/>
        <v>0</v>
      </c>
    </row>
    <row r="34" spans="4:67" x14ac:dyDescent="0.3">
      <c r="D34" t="s">
        <v>29</v>
      </c>
      <c r="E34" s="25"/>
      <c r="F34" s="24">
        <f t="shared" si="0"/>
        <v>0</v>
      </c>
      <c r="G34" s="24">
        <f t="shared" si="0"/>
        <v>0</v>
      </c>
      <c r="H34" s="24">
        <f t="shared" si="0"/>
        <v>0</v>
      </c>
      <c r="I34" s="24">
        <f t="shared" si="0"/>
        <v>0</v>
      </c>
      <c r="J34" s="24">
        <f t="shared" si="0"/>
        <v>0</v>
      </c>
      <c r="K34" s="24">
        <f t="shared" si="0"/>
        <v>0</v>
      </c>
      <c r="L34" s="24">
        <f t="shared" si="0"/>
        <v>0</v>
      </c>
      <c r="M34" s="24">
        <f t="shared" si="0"/>
        <v>0</v>
      </c>
      <c r="N34" s="24">
        <f t="shared" si="0"/>
        <v>0</v>
      </c>
      <c r="O34" s="24">
        <f t="shared" si="0"/>
        <v>0</v>
      </c>
      <c r="P34" s="24">
        <f t="shared" si="0"/>
        <v>0</v>
      </c>
      <c r="Q34" s="24">
        <f t="shared" si="0"/>
        <v>0</v>
      </c>
      <c r="R34" s="24">
        <f t="shared" si="0"/>
        <v>0</v>
      </c>
      <c r="S34" s="24">
        <f t="shared" si="0"/>
        <v>0</v>
      </c>
      <c r="T34" s="24">
        <f t="shared" si="0"/>
        <v>0</v>
      </c>
      <c r="U34" s="24">
        <f t="shared" si="0"/>
        <v>0</v>
      </c>
      <c r="V34" s="24">
        <f t="shared" si="0"/>
        <v>0</v>
      </c>
      <c r="W34" s="24">
        <f t="shared" si="0"/>
        <v>0</v>
      </c>
      <c r="X34" s="24">
        <f t="shared" si="0"/>
        <v>0</v>
      </c>
      <c r="Y34" s="24">
        <f t="shared" si="0"/>
        <v>0</v>
      </c>
      <c r="Z34" s="24">
        <f t="shared" si="0"/>
        <v>150</v>
      </c>
      <c r="AA34" s="24">
        <f t="shared" si="0"/>
        <v>0</v>
      </c>
      <c r="AB34" s="24">
        <f t="shared" si="0"/>
        <v>0</v>
      </c>
      <c r="AC34" s="24">
        <f t="shared" si="0"/>
        <v>0</v>
      </c>
      <c r="AD34" s="24">
        <f t="shared" si="0"/>
        <v>0</v>
      </c>
      <c r="AE34" s="24">
        <f t="shared" si="0"/>
        <v>0</v>
      </c>
      <c r="AF34" s="24">
        <f t="shared" si="0"/>
        <v>0</v>
      </c>
      <c r="AG34" s="24">
        <f t="shared" si="0"/>
        <v>0</v>
      </c>
      <c r="AH34" s="24">
        <f t="shared" si="0"/>
        <v>0</v>
      </c>
      <c r="AI34" s="24">
        <f t="shared" si="0"/>
        <v>0</v>
      </c>
      <c r="AJ34" s="24">
        <f t="shared" si="0"/>
        <v>0</v>
      </c>
      <c r="AK34" s="24">
        <f t="shared" ref="AK34:BI35" si="2">AK10*15</f>
        <v>0</v>
      </c>
      <c r="AL34" s="24">
        <f t="shared" si="2"/>
        <v>0</v>
      </c>
      <c r="AM34" s="24">
        <f t="shared" si="2"/>
        <v>0</v>
      </c>
      <c r="AN34" s="24">
        <f t="shared" si="2"/>
        <v>0</v>
      </c>
      <c r="AO34" s="24">
        <f t="shared" si="2"/>
        <v>0</v>
      </c>
      <c r="AP34" s="24">
        <f t="shared" si="2"/>
        <v>180</v>
      </c>
      <c r="AQ34" s="24">
        <f t="shared" si="2"/>
        <v>0</v>
      </c>
      <c r="AR34" s="24">
        <f t="shared" si="2"/>
        <v>0</v>
      </c>
      <c r="AS34" s="24">
        <f t="shared" si="2"/>
        <v>0</v>
      </c>
      <c r="AT34" s="24">
        <f t="shared" si="2"/>
        <v>0</v>
      </c>
      <c r="AU34" s="24">
        <f t="shared" si="2"/>
        <v>0</v>
      </c>
      <c r="AV34" s="24">
        <f t="shared" si="2"/>
        <v>0</v>
      </c>
      <c r="AW34" s="24">
        <f t="shared" si="2"/>
        <v>0</v>
      </c>
      <c r="AX34" s="24">
        <f t="shared" si="2"/>
        <v>0</v>
      </c>
      <c r="AY34" s="24">
        <f t="shared" si="2"/>
        <v>0</v>
      </c>
      <c r="AZ34" s="24">
        <f t="shared" si="2"/>
        <v>0</v>
      </c>
      <c r="BA34" s="24">
        <f t="shared" si="2"/>
        <v>0</v>
      </c>
      <c r="BB34" s="24">
        <f t="shared" si="2"/>
        <v>150</v>
      </c>
      <c r="BC34" s="24">
        <f t="shared" si="2"/>
        <v>0</v>
      </c>
      <c r="BD34" s="24">
        <f t="shared" si="2"/>
        <v>0</v>
      </c>
      <c r="BE34" s="24">
        <f t="shared" si="2"/>
        <v>0</v>
      </c>
      <c r="BF34" s="24">
        <f t="shared" si="2"/>
        <v>0</v>
      </c>
      <c r="BG34" s="24">
        <f t="shared" si="2"/>
        <v>0</v>
      </c>
      <c r="BH34" s="24">
        <f t="shared" si="2"/>
        <v>0</v>
      </c>
      <c r="BI34" s="24">
        <f t="shared" si="2"/>
        <v>0</v>
      </c>
      <c r="BJ34" s="24">
        <f t="shared" ref="BJ34:BO34" si="3">BJ10*15</f>
        <v>0</v>
      </c>
      <c r="BK34" s="24">
        <f t="shared" si="3"/>
        <v>0</v>
      </c>
      <c r="BL34" s="24">
        <f t="shared" si="3"/>
        <v>0</v>
      </c>
      <c r="BM34" s="24">
        <f t="shared" si="3"/>
        <v>0</v>
      </c>
      <c r="BN34" s="24">
        <f t="shared" si="3"/>
        <v>0</v>
      </c>
      <c r="BO34" s="24">
        <f t="shared" si="3"/>
        <v>0</v>
      </c>
    </row>
    <row r="35" spans="4:67" x14ac:dyDescent="0.3">
      <c r="D35" t="s">
        <v>32</v>
      </c>
      <c r="E35" s="25"/>
      <c r="F35" s="24">
        <f t="shared" ref="F35:AK35" si="4">F11*15</f>
        <v>0</v>
      </c>
      <c r="G35" s="24">
        <f t="shared" si="4"/>
        <v>0</v>
      </c>
      <c r="H35" s="24">
        <f t="shared" si="4"/>
        <v>0</v>
      </c>
      <c r="I35" s="24">
        <f t="shared" si="4"/>
        <v>0</v>
      </c>
      <c r="J35" s="24">
        <f t="shared" si="4"/>
        <v>0</v>
      </c>
      <c r="K35" s="24">
        <f t="shared" si="4"/>
        <v>0</v>
      </c>
      <c r="L35" s="24">
        <f t="shared" si="4"/>
        <v>0</v>
      </c>
      <c r="M35" s="24">
        <f t="shared" si="4"/>
        <v>0</v>
      </c>
      <c r="N35" s="24">
        <f t="shared" si="4"/>
        <v>0</v>
      </c>
      <c r="O35" s="24">
        <f t="shared" si="4"/>
        <v>0</v>
      </c>
      <c r="P35" s="24">
        <f t="shared" si="4"/>
        <v>0</v>
      </c>
      <c r="Q35" s="24">
        <f t="shared" si="4"/>
        <v>0</v>
      </c>
      <c r="R35" s="24">
        <f t="shared" si="4"/>
        <v>0</v>
      </c>
      <c r="S35" s="24">
        <f t="shared" si="4"/>
        <v>0</v>
      </c>
      <c r="T35" s="24">
        <f t="shared" si="4"/>
        <v>0</v>
      </c>
      <c r="U35" s="24">
        <f t="shared" si="4"/>
        <v>0</v>
      </c>
      <c r="V35" s="24">
        <f t="shared" si="4"/>
        <v>0</v>
      </c>
      <c r="W35" s="24">
        <f t="shared" si="4"/>
        <v>0</v>
      </c>
      <c r="X35" s="24">
        <f t="shared" si="4"/>
        <v>135</v>
      </c>
      <c r="Y35" s="24">
        <f t="shared" si="4"/>
        <v>0</v>
      </c>
      <c r="Z35" s="24">
        <f t="shared" si="4"/>
        <v>0</v>
      </c>
      <c r="AA35" s="24">
        <f t="shared" si="4"/>
        <v>0</v>
      </c>
      <c r="AB35" s="24">
        <f t="shared" si="4"/>
        <v>0</v>
      </c>
      <c r="AC35" s="24">
        <f t="shared" si="4"/>
        <v>0</v>
      </c>
      <c r="AD35" s="24">
        <f t="shared" si="4"/>
        <v>0</v>
      </c>
      <c r="AE35" s="24">
        <f t="shared" si="4"/>
        <v>0</v>
      </c>
      <c r="AF35" s="24">
        <f t="shared" si="4"/>
        <v>0</v>
      </c>
      <c r="AG35" s="24">
        <f t="shared" si="4"/>
        <v>0</v>
      </c>
      <c r="AH35" s="24">
        <f t="shared" si="4"/>
        <v>0</v>
      </c>
      <c r="AI35" s="24">
        <f t="shared" si="4"/>
        <v>0</v>
      </c>
      <c r="AJ35" s="24">
        <f t="shared" si="4"/>
        <v>0</v>
      </c>
      <c r="AK35" s="24">
        <f t="shared" si="4"/>
        <v>0</v>
      </c>
      <c r="AL35" s="24">
        <f t="shared" si="2"/>
        <v>0</v>
      </c>
      <c r="AM35" s="24">
        <f t="shared" si="2"/>
        <v>0</v>
      </c>
      <c r="AN35" s="24">
        <f t="shared" si="2"/>
        <v>0</v>
      </c>
      <c r="AO35" s="24">
        <f t="shared" si="2"/>
        <v>0</v>
      </c>
      <c r="AP35" s="24">
        <f t="shared" si="2"/>
        <v>195</v>
      </c>
      <c r="AQ35" s="24">
        <f t="shared" si="2"/>
        <v>0</v>
      </c>
      <c r="AR35" s="24">
        <f t="shared" si="2"/>
        <v>0</v>
      </c>
      <c r="AS35" s="24">
        <f t="shared" si="2"/>
        <v>0</v>
      </c>
      <c r="AT35" s="24">
        <f t="shared" si="2"/>
        <v>0</v>
      </c>
      <c r="AU35" s="24">
        <f t="shared" si="2"/>
        <v>0</v>
      </c>
      <c r="AV35" s="24">
        <f t="shared" si="2"/>
        <v>0</v>
      </c>
      <c r="AW35" s="24">
        <f t="shared" si="2"/>
        <v>0</v>
      </c>
      <c r="AX35" s="24">
        <f t="shared" si="2"/>
        <v>0</v>
      </c>
      <c r="AY35" s="24">
        <f t="shared" si="2"/>
        <v>0</v>
      </c>
      <c r="AZ35" s="24">
        <f t="shared" si="2"/>
        <v>0</v>
      </c>
      <c r="BA35" s="24">
        <f t="shared" si="2"/>
        <v>0</v>
      </c>
      <c r="BB35" s="24">
        <f t="shared" si="2"/>
        <v>0</v>
      </c>
      <c r="BC35" s="24">
        <f t="shared" si="2"/>
        <v>0</v>
      </c>
      <c r="BD35" s="24">
        <f t="shared" si="2"/>
        <v>150</v>
      </c>
      <c r="BE35" s="24">
        <f t="shared" si="2"/>
        <v>0</v>
      </c>
      <c r="BF35" s="24">
        <f t="shared" si="2"/>
        <v>0</v>
      </c>
      <c r="BG35" s="24">
        <f t="shared" si="2"/>
        <v>0</v>
      </c>
      <c r="BH35" s="24">
        <f t="shared" si="2"/>
        <v>0</v>
      </c>
      <c r="BI35" s="24">
        <f t="shared" si="2"/>
        <v>0</v>
      </c>
      <c r="BJ35" s="24">
        <f t="shared" ref="BJ35:BO35" si="5">BJ11*15</f>
        <v>0</v>
      </c>
      <c r="BK35" s="24">
        <f t="shared" si="5"/>
        <v>0</v>
      </c>
      <c r="BL35" s="24">
        <f t="shared" si="5"/>
        <v>0</v>
      </c>
      <c r="BM35" s="24">
        <f t="shared" si="5"/>
        <v>0</v>
      </c>
      <c r="BN35" s="24">
        <f t="shared" si="5"/>
        <v>0</v>
      </c>
      <c r="BO35" s="24">
        <f t="shared" si="5"/>
        <v>0</v>
      </c>
    </row>
    <row r="36" spans="4:67" x14ac:dyDescent="0.3">
      <c r="D36" s="23" t="s">
        <v>35</v>
      </c>
      <c r="E36" s="25"/>
      <c r="F36" s="24">
        <f t="shared" ref="F36:BI36" si="6">F13*40</f>
        <v>0</v>
      </c>
      <c r="G36" s="24">
        <f t="shared" si="6"/>
        <v>0</v>
      </c>
      <c r="H36" s="24">
        <f t="shared" si="6"/>
        <v>0</v>
      </c>
      <c r="I36" s="24">
        <f t="shared" si="6"/>
        <v>0</v>
      </c>
      <c r="J36" s="24">
        <f t="shared" si="6"/>
        <v>0</v>
      </c>
      <c r="K36" s="24">
        <f t="shared" si="6"/>
        <v>0</v>
      </c>
      <c r="L36" s="24">
        <f t="shared" si="6"/>
        <v>320</v>
      </c>
      <c r="M36" s="24">
        <f t="shared" si="6"/>
        <v>0</v>
      </c>
      <c r="N36" s="24">
        <f t="shared" si="6"/>
        <v>0</v>
      </c>
      <c r="O36" s="24">
        <f t="shared" si="6"/>
        <v>0</v>
      </c>
      <c r="P36" s="24">
        <f t="shared" si="6"/>
        <v>0</v>
      </c>
      <c r="Q36" s="24">
        <f t="shared" si="6"/>
        <v>0</v>
      </c>
      <c r="R36" s="24">
        <f t="shared" si="6"/>
        <v>0</v>
      </c>
      <c r="S36" s="24">
        <f t="shared" si="6"/>
        <v>0</v>
      </c>
      <c r="T36" s="24">
        <f t="shared" si="6"/>
        <v>0</v>
      </c>
      <c r="U36" s="24">
        <f t="shared" si="6"/>
        <v>0</v>
      </c>
      <c r="V36" s="24">
        <f t="shared" si="6"/>
        <v>0</v>
      </c>
      <c r="W36" s="24">
        <f t="shared" si="6"/>
        <v>0</v>
      </c>
      <c r="X36" s="24">
        <f t="shared" si="6"/>
        <v>0</v>
      </c>
      <c r="Y36" s="24">
        <f t="shared" si="6"/>
        <v>0</v>
      </c>
      <c r="Z36" s="24">
        <f t="shared" si="6"/>
        <v>280</v>
      </c>
      <c r="AA36" s="24">
        <f t="shared" si="6"/>
        <v>0</v>
      </c>
      <c r="AB36" s="24">
        <f t="shared" si="6"/>
        <v>0</v>
      </c>
      <c r="AC36" s="24">
        <f t="shared" si="6"/>
        <v>0</v>
      </c>
      <c r="AD36" s="24">
        <f t="shared" si="6"/>
        <v>0</v>
      </c>
      <c r="AE36" s="24">
        <f t="shared" si="6"/>
        <v>0</v>
      </c>
      <c r="AF36" s="24">
        <f t="shared" si="6"/>
        <v>0</v>
      </c>
      <c r="AG36" s="24">
        <f t="shared" si="6"/>
        <v>0</v>
      </c>
      <c r="AH36" s="24">
        <f t="shared" si="6"/>
        <v>0</v>
      </c>
      <c r="AI36" s="24">
        <f t="shared" si="6"/>
        <v>0</v>
      </c>
      <c r="AJ36" s="24">
        <f t="shared" si="6"/>
        <v>0</v>
      </c>
      <c r="AK36" s="24">
        <f t="shared" si="6"/>
        <v>0</v>
      </c>
      <c r="AL36" s="24">
        <f t="shared" si="6"/>
        <v>0</v>
      </c>
      <c r="AM36" s="24">
        <f t="shared" si="6"/>
        <v>0</v>
      </c>
      <c r="AN36" s="24">
        <f t="shared" si="6"/>
        <v>240</v>
      </c>
      <c r="AO36" s="24">
        <f t="shared" si="6"/>
        <v>0</v>
      </c>
      <c r="AP36" s="24">
        <f t="shared" si="6"/>
        <v>0</v>
      </c>
      <c r="AQ36" s="24">
        <f t="shared" si="6"/>
        <v>0</v>
      </c>
      <c r="AR36" s="24">
        <f t="shared" si="6"/>
        <v>0</v>
      </c>
      <c r="AS36" s="24">
        <f t="shared" si="6"/>
        <v>0</v>
      </c>
      <c r="AT36" s="24">
        <f t="shared" si="6"/>
        <v>0</v>
      </c>
      <c r="AU36" s="24">
        <f t="shared" si="6"/>
        <v>0</v>
      </c>
      <c r="AV36" s="24">
        <f t="shared" si="6"/>
        <v>0</v>
      </c>
      <c r="AW36" s="24">
        <f t="shared" si="6"/>
        <v>0</v>
      </c>
      <c r="AX36" s="24">
        <f t="shared" si="6"/>
        <v>0</v>
      </c>
      <c r="AY36" s="24">
        <f t="shared" si="6"/>
        <v>0</v>
      </c>
      <c r="AZ36" s="24">
        <f t="shared" si="6"/>
        <v>0</v>
      </c>
      <c r="BA36" s="24">
        <f t="shared" si="6"/>
        <v>0</v>
      </c>
      <c r="BB36" s="24">
        <f t="shared" si="6"/>
        <v>0</v>
      </c>
      <c r="BC36" s="24">
        <f t="shared" si="6"/>
        <v>0</v>
      </c>
      <c r="BD36" s="24">
        <f t="shared" si="6"/>
        <v>0</v>
      </c>
      <c r="BE36" s="24">
        <f t="shared" si="6"/>
        <v>0</v>
      </c>
      <c r="BF36" s="24">
        <f t="shared" si="6"/>
        <v>160</v>
      </c>
      <c r="BG36" s="24">
        <f t="shared" si="6"/>
        <v>0</v>
      </c>
      <c r="BH36" s="24">
        <f t="shared" si="6"/>
        <v>0</v>
      </c>
      <c r="BI36" s="24">
        <f t="shared" si="6"/>
        <v>0</v>
      </c>
      <c r="BJ36" s="24">
        <f t="shared" ref="BJ36:BO36" si="7">BJ13*40</f>
        <v>0</v>
      </c>
      <c r="BK36" s="24">
        <f t="shared" si="7"/>
        <v>0</v>
      </c>
      <c r="BL36" s="24">
        <f t="shared" si="7"/>
        <v>0</v>
      </c>
      <c r="BM36" s="24">
        <f t="shared" si="7"/>
        <v>0</v>
      </c>
      <c r="BN36" s="24">
        <f t="shared" si="7"/>
        <v>0</v>
      </c>
      <c r="BO36" s="24">
        <f t="shared" si="7"/>
        <v>0</v>
      </c>
    </row>
    <row r="37" spans="4:67" x14ac:dyDescent="0.3">
      <c r="D37" s="23" t="s">
        <v>35</v>
      </c>
      <c r="E37" s="25"/>
      <c r="F37" s="24">
        <f t="shared" ref="F37:BI37" si="8">F12*40</f>
        <v>0</v>
      </c>
      <c r="G37" s="24">
        <f t="shared" si="8"/>
        <v>0</v>
      </c>
      <c r="H37" s="24">
        <f t="shared" si="8"/>
        <v>0</v>
      </c>
      <c r="I37" s="24">
        <f t="shared" si="8"/>
        <v>0</v>
      </c>
      <c r="J37" s="24">
        <f t="shared" si="8"/>
        <v>400</v>
      </c>
      <c r="K37" s="24">
        <f t="shared" si="8"/>
        <v>0</v>
      </c>
      <c r="L37" s="24">
        <f t="shared" si="8"/>
        <v>0</v>
      </c>
      <c r="M37" s="24">
        <f t="shared" si="8"/>
        <v>0</v>
      </c>
      <c r="N37" s="24">
        <f t="shared" si="8"/>
        <v>0</v>
      </c>
      <c r="O37" s="24">
        <f t="shared" si="8"/>
        <v>0</v>
      </c>
      <c r="P37" s="24">
        <f t="shared" si="8"/>
        <v>0</v>
      </c>
      <c r="Q37" s="24">
        <f t="shared" si="8"/>
        <v>0</v>
      </c>
      <c r="R37" s="24">
        <f t="shared" si="8"/>
        <v>0</v>
      </c>
      <c r="S37" s="24">
        <f t="shared" si="8"/>
        <v>0</v>
      </c>
      <c r="T37" s="24">
        <f t="shared" si="8"/>
        <v>0</v>
      </c>
      <c r="U37" s="24">
        <f t="shared" si="8"/>
        <v>0</v>
      </c>
      <c r="V37" s="24">
        <f t="shared" si="8"/>
        <v>0</v>
      </c>
      <c r="W37" s="24">
        <f t="shared" si="8"/>
        <v>0</v>
      </c>
      <c r="X37" s="24">
        <f t="shared" si="8"/>
        <v>0</v>
      </c>
      <c r="Y37" s="24">
        <f t="shared" si="8"/>
        <v>0</v>
      </c>
      <c r="Z37" s="24">
        <f t="shared" si="8"/>
        <v>0</v>
      </c>
      <c r="AA37" s="24">
        <f t="shared" si="8"/>
        <v>0</v>
      </c>
      <c r="AB37" s="24">
        <f t="shared" si="8"/>
        <v>360</v>
      </c>
      <c r="AC37" s="24">
        <f t="shared" si="8"/>
        <v>0</v>
      </c>
      <c r="AD37" s="24">
        <f t="shared" si="8"/>
        <v>0</v>
      </c>
      <c r="AE37" s="24">
        <f t="shared" si="8"/>
        <v>0</v>
      </c>
      <c r="AF37" s="24">
        <f t="shared" si="8"/>
        <v>0</v>
      </c>
      <c r="AG37" s="24">
        <f t="shared" si="8"/>
        <v>0</v>
      </c>
      <c r="AH37" s="24">
        <f t="shared" si="8"/>
        <v>0</v>
      </c>
      <c r="AI37" s="24">
        <f t="shared" si="8"/>
        <v>0</v>
      </c>
      <c r="AJ37" s="24">
        <f t="shared" si="8"/>
        <v>0</v>
      </c>
      <c r="AK37" s="24">
        <f t="shared" si="8"/>
        <v>0</v>
      </c>
      <c r="AL37" s="24">
        <f t="shared" si="8"/>
        <v>0</v>
      </c>
      <c r="AM37" s="24">
        <f t="shared" si="8"/>
        <v>0</v>
      </c>
      <c r="AN37" s="24">
        <f t="shared" si="8"/>
        <v>240</v>
      </c>
      <c r="AO37" s="24">
        <f t="shared" si="8"/>
        <v>0</v>
      </c>
      <c r="AP37" s="24">
        <f t="shared" si="8"/>
        <v>0</v>
      </c>
      <c r="AQ37" s="24">
        <f t="shared" si="8"/>
        <v>0</v>
      </c>
      <c r="AR37" s="24">
        <f t="shared" si="8"/>
        <v>0</v>
      </c>
      <c r="AS37" s="24">
        <f t="shared" si="8"/>
        <v>0</v>
      </c>
      <c r="AT37" s="24">
        <f t="shared" si="8"/>
        <v>0</v>
      </c>
      <c r="AU37" s="24">
        <f t="shared" si="8"/>
        <v>0</v>
      </c>
      <c r="AV37" s="24">
        <f t="shared" si="8"/>
        <v>0</v>
      </c>
      <c r="AW37" s="24">
        <f t="shared" si="8"/>
        <v>0</v>
      </c>
      <c r="AX37" s="24">
        <f t="shared" si="8"/>
        <v>0</v>
      </c>
      <c r="AY37" s="24">
        <f t="shared" si="8"/>
        <v>0</v>
      </c>
      <c r="AZ37" s="24">
        <f t="shared" si="8"/>
        <v>0</v>
      </c>
      <c r="BA37" s="24">
        <f t="shared" si="8"/>
        <v>0</v>
      </c>
      <c r="BB37" s="24">
        <f t="shared" si="8"/>
        <v>0</v>
      </c>
      <c r="BC37" s="24">
        <f t="shared" si="8"/>
        <v>0</v>
      </c>
      <c r="BD37" s="24">
        <f t="shared" si="8"/>
        <v>160</v>
      </c>
      <c r="BE37" s="24">
        <f t="shared" si="8"/>
        <v>0</v>
      </c>
      <c r="BF37" s="24">
        <f t="shared" si="8"/>
        <v>0</v>
      </c>
      <c r="BG37" s="24">
        <f t="shared" si="8"/>
        <v>0</v>
      </c>
      <c r="BH37" s="24">
        <f t="shared" si="8"/>
        <v>0</v>
      </c>
      <c r="BI37" s="24">
        <f t="shared" si="8"/>
        <v>0</v>
      </c>
      <c r="BJ37" s="24">
        <f t="shared" ref="BJ37:BO37" si="9">BJ12*40</f>
        <v>0</v>
      </c>
      <c r="BK37" s="24">
        <f t="shared" si="9"/>
        <v>0</v>
      </c>
      <c r="BL37" s="24">
        <f t="shared" si="9"/>
        <v>0</v>
      </c>
      <c r="BM37" s="24">
        <f t="shared" si="9"/>
        <v>0</v>
      </c>
      <c r="BN37" s="24">
        <f t="shared" si="9"/>
        <v>0</v>
      </c>
      <c r="BO37" s="24">
        <f t="shared" si="9"/>
        <v>0</v>
      </c>
    </row>
    <row r="38" spans="4:67" x14ac:dyDescent="0.3">
      <c r="D38" s="23" t="s">
        <v>42</v>
      </c>
      <c r="E38" s="25"/>
      <c r="F38" s="24">
        <f t="shared" ref="F38:BI40" si="10">F14*30</f>
        <v>0</v>
      </c>
      <c r="G38" s="24">
        <f t="shared" si="10"/>
        <v>0</v>
      </c>
      <c r="H38" s="24">
        <f t="shared" si="10"/>
        <v>0</v>
      </c>
      <c r="I38" s="24">
        <f t="shared" si="10"/>
        <v>0</v>
      </c>
      <c r="J38" s="24">
        <f t="shared" si="10"/>
        <v>0</v>
      </c>
      <c r="K38" s="24">
        <f t="shared" si="10"/>
        <v>0</v>
      </c>
      <c r="L38" s="24">
        <f t="shared" si="10"/>
        <v>0</v>
      </c>
      <c r="M38" s="24">
        <f t="shared" si="10"/>
        <v>0</v>
      </c>
      <c r="N38" s="24">
        <f t="shared" si="10"/>
        <v>0</v>
      </c>
      <c r="O38" s="24">
        <f t="shared" si="10"/>
        <v>0</v>
      </c>
      <c r="P38" s="24">
        <f t="shared" si="10"/>
        <v>0</v>
      </c>
      <c r="Q38" s="24">
        <f t="shared" si="10"/>
        <v>0</v>
      </c>
      <c r="R38" s="24">
        <f t="shared" si="10"/>
        <v>0</v>
      </c>
      <c r="S38" s="24">
        <f t="shared" si="10"/>
        <v>0</v>
      </c>
      <c r="T38" s="24">
        <f t="shared" si="10"/>
        <v>0</v>
      </c>
      <c r="U38" s="24">
        <f t="shared" si="10"/>
        <v>0</v>
      </c>
      <c r="V38" s="24">
        <f t="shared" si="10"/>
        <v>0</v>
      </c>
      <c r="W38" s="24">
        <f t="shared" si="10"/>
        <v>0</v>
      </c>
      <c r="X38" s="24">
        <f t="shared" si="10"/>
        <v>0</v>
      </c>
      <c r="Y38" s="24">
        <f t="shared" si="10"/>
        <v>0</v>
      </c>
      <c r="Z38" s="24">
        <f t="shared" si="10"/>
        <v>360</v>
      </c>
      <c r="AA38" s="24">
        <f t="shared" si="10"/>
        <v>0</v>
      </c>
      <c r="AB38" s="24">
        <f t="shared" si="10"/>
        <v>0</v>
      </c>
      <c r="AC38" s="24">
        <f t="shared" si="10"/>
        <v>0</v>
      </c>
      <c r="AD38" s="24">
        <f t="shared" si="10"/>
        <v>0</v>
      </c>
      <c r="AE38" s="24">
        <f t="shared" si="10"/>
        <v>0</v>
      </c>
      <c r="AF38" s="24">
        <f t="shared" si="10"/>
        <v>0</v>
      </c>
      <c r="AG38" s="24">
        <f t="shared" si="10"/>
        <v>0</v>
      </c>
      <c r="AH38" s="24">
        <f t="shared" si="10"/>
        <v>0</v>
      </c>
      <c r="AI38" s="24">
        <f t="shared" si="10"/>
        <v>0</v>
      </c>
      <c r="AJ38" s="24">
        <f t="shared" si="10"/>
        <v>0</v>
      </c>
      <c r="AK38" s="24">
        <f t="shared" si="10"/>
        <v>0</v>
      </c>
      <c r="AL38" s="24">
        <f t="shared" si="10"/>
        <v>0</v>
      </c>
      <c r="AM38" s="24">
        <f t="shared" si="10"/>
        <v>0</v>
      </c>
      <c r="AN38" s="24">
        <f t="shared" si="10"/>
        <v>0</v>
      </c>
      <c r="AO38" s="24">
        <f t="shared" si="10"/>
        <v>0</v>
      </c>
      <c r="AP38" s="24">
        <f t="shared" si="10"/>
        <v>0</v>
      </c>
      <c r="AQ38" s="24">
        <f t="shared" si="10"/>
        <v>0</v>
      </c>
      <c r="AR38" s="24">
        <f t="shared" si="10"/>
        <v>420</v>
      </c>
      <c r="AS38" s="24">
        <f t="shared" si="10"/>
        <v>0</v>
      </c>
      <c r="AT38" s="24">
        <f t="shared" si="10"/>
        <v>0</v>
      </c>
      <c r="AU38" s="24">
        <f t="shared" si="10"/>
        <v>0</v>
      </c>
      <c r="AV38" s="24">
        <f t="shared" si="10"/>
        <v>0</v>
      </c>
      <c r="AW38" s="24">
        <f t="shared" si="10"/>
        <v>0</v>
      </c>
      <c r="AX38" s="24">
        <f t="shared" si="10"/>
        <v>0</v>
      </c>
      <c r="AY38" s="24">
        <f t="shared" si="10"/>
        <v>0</v>
      </c>
      <c r="AZ38" s="24">
        <f t="shared" si="10"/>
        <v>0</v>
      </c>
      <c r="BA38" s="24">
        <f t="shared" si="10"/>
        <v>0</v>
      </c>
      <c r="BB38" s="24">
        <f t="shared" si="10"/>
        <v>0</v>
      </c>
      <c r="BC38" s="24">
        <f t="shared" si="10"/>
        <v>0</v>
      </c>
      <c r="BD38" s="24">
        <f t="shared" si="10"/>
        <v>360</v>
      </c>
      <c r="BE38" s="24">
        <f t="shared" si="10"/>
        <v>0</v>
      </c>
      <c r="BF38" s="24">
        <f t="shared" si="10"/>
        <v>0</v>
      </c>
      <c r="BG38" s="24">
        <f t="shared" si="10"/>
        <v>0</v>
      </c>
      <c r="BH38" s="24">
        <f t="shared" si="10"/>
        <v>0</v>
      </c>
      <c r="BI38" s="24">
        <f t="shared" si="10"/>
        <v>0</v>
      </c>
      <c r="BJ38" s="24">
        <f t="shared" ref="BJ38:BO38" si="11">BJ14*30</f>
        <v>0</v>
      </c>
      <c r="BK38" s="24">
        <f t="shared" si="11"/>
        <v>0</v>
      </c>
      <c r="BL38" s="24">
        <f t="shared" si="11"/>
        <v>0</v>
      </c>
      <c r="BM38" s="24">
        <f t="shared" si="11"/>
        <v>0</v>
      </c>
      <c r="BN38" s="24">
        <f t="shared" si="11"/>
        <v>0</v>
      </c>
      <c r="BO38" s="24">
        <f t="shared" si="11"/>
        <v>0</v>
      </c>
    </row>
    <row r="39" spans="4:67" x14ac:dyDescent="0.3">
      <c r="D39" s="23" t="s">
        <v>45</v>
      </c>
      <c r="E39" s="25"/>
      <c r="F39" s="24">
        <f t="shared" si="10"/>
        <v>0</v>
      </c>
      <c r="G39" s="24">
        <f t="shared" si="10"/>
        <v>0</v>
      </c>
      <c r="H39" s="24">
        <f t="shared" si="10"/>
        <v>0</v>
      </c>
      <c r="I39" s="24">
        <f t="shared" si="10"/>
        <v>0</v>
      </c>
      <c r="J39" s="24">
        <f t="shared" si="10"/>
        <v>210</v>
      </c>
      <c r="K39" s="24">
        <f t="shared" si="10"/>
        <v>0</v>
      </c>
      <c r="L39" s="24">
        <f t="shared" si="10"/>
        <v>0</v>
      </c>
      <c r="M39" s="24">
        <f t="shared" si="10"/>
        <v>0</v>
      </c>
      <c r="N39" s="24">
        <f t="shared" si="10"/>
        <v>0</v>
      </c>
      <c r="O39" s="24">
        <f t="shared" si="10"/>
        <v>0</v>
      </c>
      <c r="P39" s="24">
        <f t="shared" si="10"/>
        <v>0</v>
      </c>
      <c r="Q39" s="24">
        <f t="shared" si="10"/>
        <v>0</v>
      </c>
      <c r="R39" s="24">
        <f t="shared" si="10"/>
        <v>0</v>
      </c>
      <c r="S39" s="24">
        <f t="shared" si="10"/>
        <v>0</v>
      </c>
      <c r="T39" s="24">
        <f t="shared" si="10"/>
        <v>0</v>
      </c>
      <c r="U39" s="24">
        <f t="shared" si="10"/>
        <v>0</v>
      </c>
      <c r="V39" s="24">
        <f t="shared" si="10"/>
        <v>0</v>
      </c>
      <c r="W39" s="24">
        <f t="shared" si="10"/>
        <v>0</v>
      </c>
      <c r="X39" s="24">
        <f t="shared" si="10"/>
        <v>0</v>
      </c>
      <c r="Y39" s="24">
        <f t="shared" si="10"/>
        <v>0</v>
      </c>
      <c r="Z39" s="24">
        <f t="shared" si="10"/>
        <v>0</v>
      </c>
      <c r="AA39" s="24">
        <f t="shared" si="10"/>
        <v>0</v>
      </c>
      <c r="AB39" s="24">
        <f t="shared" si="10"/>
        <v>0</v>
      </c>
      <c r="AC39" s="24">
        <f t="shared" si="10"/>
        <v>0</v>
      </c>
      <c r="AD39" s="24">
        <f t="shared" si="10"/>
        <v>0</v>
      </c>
      <c r="AE39" s="24">
        <f t="shared" si="10"/>
        <v>0</v>
      </c>
      <c r="AF39" s="24">
        <f t="shared" si="10"/>
        <v>0</v>
      </c>
      <c r="AG39" s="24">
        <f t="shared" si="10"/>
        <v>0</v>
      </c>
      <c r="AH39" s="24">
        <f t="shared" si="10"/>
        <v>0</v>
      </c>
      <c r="AI39" s="24">
        <f t="shared" si="10"/>
        <v>0</v>
      </c>
      <c r="AJ39" s="24">
        <f t="shared" si="10"/>
        <v>0</v>
      </c>
      <c r="AK39" s="24">
        <f t="shared" si="10"/>
        <v>0</v>
      </c>
      <c r="AL39" s="24">
        <f t="shared" si="10"/>
        <v>0</v>
      </c>
      <c r="AM39" s="24">
        <f t="shared" si="10"/>
        <v>0</v>
      </c>
      <c r="AN39" s="24">
        <f t="shared" si="10"/>
        <v>0</v>
      </c>
      <c r="AO39" s="24">
        <f t="shared" si="10"/>
        <v>0</v>
      </c>
      <c r="AP39" s="24">
        <f t="shared" si="10"/>
        <v>0</v>
      </c>
      <c r="AQ39" s="24">
        <f t="shared" si="10"/>
        <v>0</v>
      </c>
      <c r="AR39" s="24">
        <f t="shared" si="10"/>
        <v>0</v>
      </c>
      <c r="AS39" s="24">
        <f t="shared" si="10"/>
        <v>0</v>
      </c>
      <c r="AT39" s="24">
        <f t="shared" si="10"/>
        <v>150</v>
      </c>
      <c r="AU39" s="24">
        <f t="shared" si="10"/>
        <v>60</v>
      </c>
      <c r="AV39" s="24">
        <f t="shared" si="10"/>
        <v>0</v>
      </c>
      <c r="AW39" s="24">
        <f t="shared" si="10"/>
        <v>0</v>
      </c>
      <c r="AX39" s="24">
        <f t="shared" si="10"/>
        <v>0</v>
      </c>
      <c r="AY39" s="24">
        <f t="shared" si="10"/>
        <v>0</v>
      </c>
      <c r="AZ39" s="24">
        <f t="shared" si="10"/>
        <v>0</v>
      </c>
      <c r="BA39" s="24">
        <f t="shared" si="10"/>
        <v>0</v>
      </c>
      <c r="BB39" s="24">
        <f t="shared" si="10"/>
        <v>0</v>
      </c>
      <c r="BC39" s="24">
        <f t="shared" si="10"/>
        <v>0</v>
      </c>
      <c r="BD39" s="24">
        <f t="shared" si="10"/>
        <v>0</v>
      </c>
      <c r="BE39" s="24">
        <f t="shared" si="10"/>
        <v>0</v>
      </c>
      <c r="BF39" s="24">
        <f t="shared" si="10"/>
        <v>150</v>
      </c>
      <c r="BG39" s="24">
        <f t="shared" si="10"/>
        <v>0</v>
      </c>
      <c r="BH39" s="24">
        <f t="shared" si="10"/>
        <v>0</v>
      </c>
      <c r="BI39" s="24">
        <f t="shared" si="10"/>
        <v>0</v>
      </c>
      <c r="BJ39" s="24">
        <f t="shared" ref="BJ39:BO39" si="12">BJ15*30</f>
        <v>0</v>
      </c>
      <c r="BK39" s="24">
        <f t="shared" si="12"/>
        <v>0</v>
      </c>
      <c r="BL39" s="24">
        <f t="shared" si="12"/>
        <v>0</v>
      </c>
      <c r="BM39" s="24">
        <f t="shared" si="12"/>
        <v>0</v>
      </c>
      <c r="BN39" s="24">
        <f t="shared" si="12"/>
        <v>0</v>
      </c>
      <c r="BO39" s="24">
        <f t="shared" si="12"/>
        <v>0</v>
      </c>
    </row>
    <row r="40" spans="4:67" x14ac:dyDescent="0.3">
      <c r="D40" s="23" t="s">
        <v>47</v>
      </c>
      <c r="E40" s="25"/>
      <c r="F40" s="24">
        <f t="shared" si="10"/>
        <v>0</v>
      </c>
      <c r="G40" s="24">
        <f t="shared" si="10"/>
        <v>0</v>
      </c>
      <c r="H40" s="24">
        <f t="shared" si="10"/>
        <v>0</v>
      </c>
      <c r="I40" s="24">
        <f t="shared" si="10"/>
        <v>0</v>
      </c>
      <c r="J40" s="24">
        <f t="shared" si="10"/>
        <v>180</v>
      </c>
      <c r="K40" s="24">
        <f t="shared" si="10"/>
        <v>0</v>
      </c>
      <c r="L40" s="24">
        <f t="shared" si="10"/>
        <v>0</v>
      </c>
      <c r="M40" s="24">
        <f t="shared" si="10"/>
        <v>0</v>
      </c>
      <c r="N40" s="24">
        <f t="shared" si="10"/>
        <v>0</v>
      </c>
      <c r="O40" s="24">
        <f t="shared" si="10"/>
        <v>0</v>
      </c>
      <c r="P40" s="24">
        <f t="shared" si="10"/>
        <v>0</v>
      </c>
      <c r="Q40" s="24">
        <f t="shared" si="10"/>
        <v>0</v>
      </c>
      <c r="R40" s="24">
        <f t="shared" si="10"/>
        <v>0</v>
      </c>
      <c r="S40" s="24">
        <f t="shared" si="10"/>
        <v>0</v>
      </c>
      <c r="T40" s="24">
        <f t="shared" si="10"/>
        <v>0</v>
      </c>
      <c r="U40" s="24">
        <f t="shared" si="10"/>
        <v>0</v>
      </c>
      <c r="V40" s="24">
        <f t="shared" si="10"/>
        <v>0</v>
      </c>
      <c r="W40" s="24">
        <f t="shared" si="10"/>
        <v>0</v>
      </c>
      <c r="X40" s="24">
        <f t="shared" si="10"/>
        <v>0</v>
      </c>
      <c r="Y40" s="24">
        <f t="shared" si="10"/>
        <v>0</v>
      </c>
      <c r="Z40" s="24">
        <f t="shared" si="10"/>
        <v>0</v>
      </c>
      <c r="AA40" s="24">
        <f t="shared" si="10"/>
        <v>0</v>
      </c>
      <c r="AB40" s="24">
        <f t="shared" si="10"/>
        <v>0</v>
      </c>
      <c r="AC40" s="24">
        <f t="shared" si="10"/>
        <v>0</v>
      </c>
      <c r="AD40" s="24">
        <f t="shared" si="10"/>
        <v>0</v>
      </c>
      <c r="AE40" s="24">
        <f t="shared" si="10"/>
        <v>0</v>
      </c>
      <c r="AF40" s="24">
        <f t="shared" si="10"/>
        <v>0</v>
      </c>
      <c r="AG40" s="24">
        <f t="shared" si="10"/>
        <v>0</v>
      </c>
      <c r="AH40" s="24">
        <f t="shared" si="10"/>
        <v>0</v>
      </c>
      <c r="AI40" s="24">
        <f t="shared" si="10"/>
        <v>0</v>
      </c>
      <c r="AJ40" s="24">
        <f t="shared" si="10"/>
        <v>0</v>
      </c>
      <c r="AK40" s="24">
        <f t="shared" si="10"/>
        <v>0</v>
      </c>
      <c r="AL40" s="24">
        <f t="shared" si="10"/>
        <v>0</v>
      </c>
      <c r="AM40" s="24">
        <f t="shared" si="10"/>
        <v>0</v>
      </c>
      <c r="AN40" s="24">
        <f t="shared" si="10"/>
        <v>0</v>
      </c>
      <c r="AO40" s="24">
        <f t="shared" si="10"/>
        <v>0</v>
      </c>
      <c r="AP40" s="24">
        <f t="shared" si="10"/>
        <v>0</v>
      </c>
      <c r="AQ40" s="24">
        <f t="shared" si="10"/>
        <v>0</v>
      </c>
      <c r="AR40" s="24">
        <f t="shared" si="10"/>
        <v>180</v>
      </c>
      <c r="AS40" s="24">
        <f t="shared" si="10"/>
        <v>0</v>
      </c>
      <c r="AT40" s="24">
        <f t="shared" si="10"/>
        <v>0</v>
      </c>
      <c r="AU40" s="24">
        <f t="shared" si="10"/>
        <v>0</v>
      </c>
      <c r="AV40" s="24">
        <f t="shared" si="10"/>
        <v>0</v>
      </c>
      <c r="AW40" s="24">
        <f t="shared" si="10"/>
        <v>0</v>
      </c>
      <c r="AX40" s="24">
        <f t="shared" si="10"/>
        <v>0</v>
      </c>
      <c r="AY40" s="24">
        <f t="shared" si="10"/>
        <v>0</v>
      </c>
      <c r="AZ40" s="24">
        <f t="shared" si="10"/>
        <v>0</v>
      </c>
      <c r="BA40" s="24">
        <f t="shared" si="10"/>
        <v>0</v>
      </c>
      <c r="BB40" s="24">
        <f t="shared" si="10"/>
        <v>0</v>
      </c>
      <c r="BC40" s="24">
        <f t="shared" si="10"/>
        <v>0</v>
      </c>
      <c r="BD40" s="24">
        <f t="shared" si="10"/>
        <v>240</v>
      </c>
      <c r="BE40" s="24">
        <f t="shared" si="10"/>
        <v>0</v>
      </c>
      <c r="BF40" s="24">
        <f t="shared" si="10"/>
        <v>0</v>
      </c>
      <c r="BG40" s="24">
        <f t="shared" si="10"/>
        <v>0</v>
      </c>
      <c r="BH40" s="24">
        <f t="shared" si="10"/>
        <v>0</v>
      </c>
      <c r="BI40" s="24">
        <f t="shared" si="10"/>
        <v>0</v>
      </c>
      <c r="BJ40" s="24">
        <f t="shared" ref="BJ40:BO40" si="13">BJ16*30</f>
        <v>0</v>
      </c>
      <c r="BK40" s="24">
        <f t="shared" si="13"/>
        <v>0</v>
      </c>
      <c r="BL40" s="24">
        <f t="shared" si="13"/>
        <v>0</v>
      </c>
      <c r="BM40" s="24">
        <f t="shared" si="13"/>
        <v>0</v>
      </c>
      <c r="BN40" s="24">
        <f t="shared" si="13"/>
        <v>0</v>
      </c>
      <c r="BO40" s="24">
        <f t="shared" si="13"/>
        <v>0</v>
      </c>
    </row>
    <row r="41" spans="4:67" x14ac:dyDescent="0.3">
      <c r="D41" s="23" t="s">
        <v>50</v>
      </c>
      <c r="E41" s="25"/>
      <c r="F41" s="24">
        <f t="shared" ref="F41:BI41" si="14">F17*40</f>
        <v>0</v>
      </c>
      <c r="G41" s="24">
        <f t="shared" si="14"/>
        <v>0</v>
      </c>
      <c r="H41" s="24">
        <f t="shared" si="14"/>
        <v>0</v>
      </c>
      <c r="I41" s="24">
        <f t="shared" si="14"/>
        <v>0</v>
      </c>
      <c r="J41" s="24">
        <f t="shared" si="14"/>
        <v>0</v>
      </c>
      <c r="K41" s="24">
        <f t="shared" si="14"/>
        <v>0</v>
      </c>
      <c r="L41" s="24">
        <f t="shared" si="14"/>
        <v>0</v>
      </c>
      <c r="M41" s="24">
        <f t="shared" si="14"/>
        <v>0</v>
      </c>
      <c r="N41" s="24">
        <f t="shared" si="14"/>
        <v>0</v>
      </c>
      <c r="O41" s="24">
        <f t="shared" si="14"/>
        <v>0</v>
      </c>
      <c r="P41" s="24">
        <f t="shared" si="14"/>
        <v>0</v>
      </c>
      <c r="Q41" s="24">
        <f t="shared" si="14"/>
        <v>0</v>
      </c>
      <c r="R41" s="24">
        <f t="shared" si="14"/>
        <v>0</v>
      </c>
      <c r="S41" s="24">
        <f t="shared" si="14"/>
        <v>0</v>
      </c>
      <c r="T41" s="24">
        <f t="shared" si="14"/>
        <v>0</v>
      </c>
      <c r="U41" s="24">
        <f t="shared" si="14"/>
        <v>0</v>
      </c>
      <c r="V41" s="24">
        <f t="shared" si="14"/>
        <v>0</v>
      </c>
      <c r="W41" s="24">
        <f t="shared" si="14"/>
        <v>0</v>
      </c>
      <c r="X41" s="24">
        <f t="shared" si="14"/>
        <v>0</v>
      </c>
      <c r="Y41" s="24">
        <f t="shared" si="14"/>
        <v>0</v>
      </c>
      <c r="Z41" s="24">
        <f t="shared" si="14"/>
        <v>400</v>
      </c>
      <c r="AA41" s="24">
        <f t="shared" si="14"/>
        <v>0</v>
      </c>
      <c r="AB41" s="24">
        <f t="shared" si="14"/>
        <v>0</v>
      </c>
      <c r="AC41" s="24">
        <f t="shared" si="14"/>
        <v>0</v>
      </c>
      <c r="AD41" s="24">
        <f t="shared" si="14"/>
        <v>0</v>
      </c>
      <c r="AE41" s="24">
        <f t="shared" si="14"/>
        <v>0</v>
      </c>
      <c r="AF41" s="24">
        <f t="shared" si="14"/>
        <v>0</v>
      </c>
      <c r="AG41" s="24">
        <f t="shared" si="14"/>
        <v>0</v>
      </c>
      <c r="AH41" s="24">
        <f t="shared" si="14"/>
        <v>0</v>
      </c>
      <c r="AI41" s="24">
        <f t="shared" si="14"/>
        <v>0</v>
      </c>
      <c r="AJ41" s="24">
        <f t="shared" si="14"/>
        <v>0</v>
      </c>
      <c r="AK41" s="24">
        <f t="shared" si="14"/>
        <v>0</v>
      </c>
      <c r="AL41" s="24">
        <f t="shared" si="14"/>
        <v>0</v>
      </c>
      <c r="AM41" s="24">
        <f t="shared" si="14"/>
        <v>0</v>
      </c>
      <c r="AN41" s="24">
        <f t="shared" si="14"/>
        <v>0</v>
      </c>
      <c r="AO41" s="24">
        <f t="shared" si="14"/>
        <v>0</v>
      </c>
      <c r="AP41" s="24">
        <f t="shared" si="14"/>
        <v>0</v>
      </c>
      <c r="AQ41" s="24">
        <f t="shared" si="14"/>
        <v>0</v>
      </c>
      <c r="AR41" s="24">
        <f t="shared" si="14"/>
        <v>480</v>
      </c>
      <c r="AS41" s="24">
        <f t="shared" si="14"/>
        <v>0</v>
      </c>
      <c r="AT41" s="24">
        <f t="shared" si="14"/>
        <v>0</v>
      </c>
      <c r="AU41" s="24">
        <f t="shared" si="14"/>
        <v>0</v>
      </c>
      <c r="AV41" s="24">
        <f t="shared" si="14"/>
        <v>0</v>
      </c>
      <c r="AW41" s="24">
        <f t="shared" si="14"/>
        <v>0</v>
      </c>
      <c r="AX41" s="24">
        <f t="shared" si="14"/>
        <v>0</v>
      </c>
      <c r="AY41" s="24">
        <f t="shared" si="14"/>
        <v>0</v>
      </c>
      <c r="AZ41" s="24">
        <f t="shared" si="14"/>
        <v>0</v>
      </c>
      <c r="BA41" s="24">
        <f t="shared" si="14"/>
        <v>0</v>
      </c>
      <c r="BB41" s="24">
        <f t="shared" si="14"/>
        <v>0</v>
      </c>
      <c r="BC41" s="24">
        <f t="shared" si="14"/>
        <v>0</v>
      </c>
      <c r="BD41" s="24">
        <f t="shared" si="14"/>
        <v>0</v>
      </c>
      <c r="BE41" s="24">
        <f t="shared" si="14"/>
        <v>0</v>
      </c>
      <c r="BF41" s="24">
        <f t="shared" si="14"/>
        <v>360</v>
      </c>
      <c r="BG41" s="24">
        <f t="shared" si="14"/>
        <v>0</v>
      </c>
      <c r="BH41" s="24">
        <f t="shared" si="14"/>
        <v>0</v>
      </c>
      <c r="BI41" s="24">
        <f t="shared" si="14"/>
        <v>0</v>
      </c>
      <c r="BJ41" s="24">
        <f t="shared" ref="BJ41:BO41" si="15">BJ17*40</f>
        <v>0</v>
      </c>
      <c r="BK41" s="24">
        <f t="shared" si="15"/>
        <v>0</v>
      </c>
      <c r="BL41" s="24">
        <f t="shared" si="15"/>
        <v>0</v>
      </c>
      <c r="BM41" s="24">
        <f t="shared" si="15"/>
        <v>0</v>
      </c>
      <c r="BN41" s="24">
        <f t="shared" si="15"/>
        <v>0</v>
      </c>
      <c r="BO41" s="24">
        <f t="shared" si="15"/>
        <v>0</v>
      </c>
    </row>
    <row r="42" spans="4:67" x14ac:dyDescent="0.3">
      <c r="D42" s="23" t="s">
        <v>52</v>
      </c>
      <c r="E42" s="25"/>
      <c r="F42" s="24">
        <f t="shared" ref="F42:BI46" si="16">F18*35</f>
        <v>0</v>
      </c>
      <c r="G42" s="24">
        <f t="shared" si="16"/>
        <v>0</v>
      </c>
      <c r="H42" s="24">
        <f t="shared" si="16"/>
        <v>0</v>
      </c>
      <c r="I42" s="24">
        <f t="shared" si="16"/>
        <v>0</v>
      </c>
      <c r="J42" s="24">
        <f t="shared" si="16"/>
        <v>0</v>
      </c>
      <c r="K42" s="24">
        <f t="shared" si="16"/>
        <v>0</v>
      </c>
      <c r="L42" s="24">
        <f t="shared" si="16"/>
        <v>280</v>
      </c>
      <c r="M42" s="24">
        <f t="shared" si="16"/>
        <v>0</v>
      </c>
      <c r="N42" s="24">
        <f t="shared" si="16"/>
        <v>0</v>
      </c>
      <c r="O42" s="24">
        <f t="shared" si="16"/>
        <v>0</v>
      </c>
      <c r="P42" s="24">
        <f t="shared" si="16"/>
        <v>0</v>
      </c>
      <c r="Q42" s="24">
        <f t="shared" si="16"/>
        <v>0</v>
      </c>
      <c r="R42" s="24">
        <f t="shared" si="16"/>
        <v>0</v>
      </c>
      <c r="S42" s="24">
        <f t="shared" si="16"/>
        <v>0</v>
      </c>
      <c r="T42" s="24">
        <f t="shared" si="16"/>
        <v>0</v>
      </c>
      <c r="U42" s="24">
        <f t="shared" si="16"/>
        <v>0</v>
      </c>
      <c r="V42" s="24">
        <f t="shared" si="16"/>
        <v>0</v>
      </c>
      <c r="W42" s="24">
        <f t="shared" si="16"/>
        <v>0</v>
      </c>
      <c r="X42" s="24">
        <f t="shared" si="16"/>
        <v>0</v>
      </c>
      <c r="Y42" s="24">
        <f t="shared" si="16"/>
        <v>0</v>
      </c>
      <c r="Z42" s="24">
        <f t="shared" si="16"/>
        <v>0</v>
      </c>
      <c r="AA42" s="24">
        <f t="shared" si="16"/>
        <v>0</v>
      </c>
      <c r="AB42" s="24">
        <f t="shared" si="16"/>
        <v>0</v>
      </c>
      <c r="AC42" s="24">
        <f t="shared" si="16"/>
        <v>0</v>
      </c>
      <c r="AD42" s="24">
        <f t="shared" si="16"/>
        <v>0</v>
      </c>
      <c r="AE42" s="24">
        <f t="shared" si="16"/>
        <v>0</v>
      </c>
      <c r="AF42" s="24">
        <f t="shared" si="16"/>
        <v>0</v>
      </c>
      <c r="AG42" s="24">
        <f t="shared" si="16"/>
        <v>0</v>
      </c>
      <c r="AH42" s="24">
        <f t="shared" si="16"/>
        <v>0</v>
      </c>
      <c r="AI42" s="24">
        <f t="shared" si="16"/>
        <v>0</v>
      </c>
      <c r="AJ42" s="24">
        <f t="shared" si="16"/>
        <v>0</v>
      </c>
      <c r="AK42" s="24">
        <f t="shared" si="16"/>
        <v>0</v>
      </c>
      <c r="AL42" s="24">
        <f t="shared" si="16"/>
        <v>0</v>
      </c>
      <c r="AM42" s="24">
        <f t="shared" si="16"/>
        <v>0</v>
      </c>
      <c r="AN42" s="24">
        <f t="shared" si="16"/>
        <v>0</v>
      </c>
      <c r="AO42" s="24">
        <f t="shared" si="16"/>
        <v>0</v>
      </c>
      <c r="AP42" s="24">
        <f t="shared" si="16"/>
        <v>0</v>
      </c>
      <c r="AQ42" s="24">
        <f t="shared" si="16"/>
        <v>0</v>
      </c>
      <c r="AR42" s="24">
        <f t="shared" si="16"/>
        <v>0</v>
      </c>
      <c r="AS42" s="24">
        <f t="shared" si="16"/>
        <v>0</v>
      </c>
      <c r="AT42" s="24">
        <f t="shared" si="16"/>
        <v>140</v>
      </c>
      <c r="AU42" s="24">
        <f t="shared" si="16"/>
        <v>0</v>
      </c>
      <c r="AV42" s="24">
        <f t="shared" si="16"/>
        <v>0</v>
      </c>
      <c r="AW42" s="24">
        <f t="shared" si="16"/>
        <v>0</v>
      </c>
      <c r="AX42" s="24">
        <f t="shared" si="16"/>
        <v>0</v>
      </c>
      <c r="AY42" s="24">
        <f t="shared" si="16"/>
        <v>0</v>
      </c>
      <c r="AZ42" s="24">
        <f t="shared" si="16"/>
        <v>0</v>
      </c>
      <c r="BA42" s="24">
        <f t="shared" si="16"/>
        <v>0</v>
      </c>
      <c r="BB42" s="24">
        <f t="shared" si="16"/>
        <v>0</v>
      </c>
      <c r="BC42" s="24">
        <f t="shared" si="16"/>
        <v>0</v>
      </c>
      <c r="BD42" s="24">
        <f t="shared" si="16"/>
        <v>0</v>
      </c>
      <c r="BE42" s="24">
        <f t="shared" si="16"/>
        <v>0</v>
      </c>
      <c r="BF42" s="24">
        <f t="shared" si="16"/>
        <v>0</v>
      </c>
      <c r="BG42" s="24">
        <f t="shared" si="16"/>
        <v>0</v>
      </c>
      <c r="BH42" s="24">
        <f t="shared" si="16"/>
        <v>210</v>
      </c>
      <c r="BI42" s="24">
        <f t="shared" si="16"/>
        <v>0</v>
      </c>
      <c r="BJ42" s="24">
        <f t="shared" ref="BJ42:BO45" si="17">BJ18*35</f>
        <v>0</v>
      </c>
      <c r="BK42" s="24">
        <f t="shared" si="17"/>
        <v>0</v>
      </c>
      <c r="BL42" s="24">
        <f t="shared" si="17"/>
        <v>0</v>
      </c>
      <c r="BM42" s="24">
        <f t="shared" si="17"/>
        <v>0</v>
      </c>
      <c r="BN42" s="24">
        <f t="shared" si="17"/>
        <v>0</v>
      </c>
      <c r="BO42" s="24">
        <f t="shared" si="17"/>
        <v>0</v>
      </c>
    </row>
    <row r="43" spans="4:67" x14ac:dyDescent="0.3">
      <c r="D43" s="23" t="s">
        <v>54</v>
      </c>
      <c r="E43" s="25"/>
      <c r="F43" s="24">
        <f t="shared" si="16"/>
        <v>0</v>
      </c>
      <c r="G43" s="24">
        <f t="shared" si="16"/>
        <v>0</v>
      </c>
      <c r="H43" s="24">
        <f t="shared" si="16"/>
        <v>0</v>
      </c>
      <c r="I43" s="24">
        <f t="shared" si="16"/>
        <v>0</v>
      </c>
      <c r="J43" s="24">
        <f t="shared" si="16"/>
        <v>315</v>
      </c>
      <c r="K43" s="24">
        <f t="shared" si="16"/>
        <v>0</v>
      </c>
      <c r="L43" s="24">
        <f t="shared" si="16"/>
        <v>0</v>
      </c>
      <c r="M43" s="24">
        <f t="shared" si="16"/>
        <v>0</v>
      </c>
      <c r="N43" s="24">
        <f t="shared" si="16"/>
        <v>0</v>
      </c>
      <c r="O43" s="24">
        <f t="shared" si="16"/>
        <v>0</v>
      </c>
      <c r="P43" s="24">
        <f t="shared" si="16"/>
        <v>0</v>
      </c>
      <c r="Q43" s="24">
        <f t="shared" si="16"/>
        <v>0</v>
      </c>
      <c r="R43" s="24">
        <f t="shared" si="16"/>
        <v>0</v>
      </c>
      <c r="S43" s="24">
        <f t="shared" si="16"/>
        <v>0</v>
      </c>
      <c r="T43" s="24">
        <f t="shared" si="16"/>
        <v>0</v>
      </c>
      <c r="U43" s="24">
        <f t="shared" si="16"/>
        <v>0</v>
      </c>
      <c r="V43" s="24">
        <f t="shared" si="16"/>
        <v>0</v>
      </c>
      <c r="W43" s="24">
        <f t="shared" si="16"/>
        <v>0</v>
      </c>
      <c r="X43" s="24">
        <f t="shared" si="16"/>
        <v>0</v>
      </c>
      <c r="Y43" s="24">
        <f t="shared" si="16"/>
        <v>0</v>
      </c>
      <c r="Z43" s="24">
        <f t="shared" si="16"/>
        <v>0</v>
      </c>
      <c r="AA43" s="24">
        <f t="shared" si="16"/>
        <v>0</v>
      </c>
      <c r="AB43" s="24">
        <f t="shared" si="16"/>
        <v>0</v>
      </c>
      <c r="AC43" s="24">
        <f t="shared" si="16"/>
        <v>0</v>
      </c>
      <c r="AD43" s="24">
        <f t="shared" si="16"/>
        <v>0</v>
      </c>
      <c r="AE43" s="24">
        <f t="shared" si="16"/>
        <v>0</v>
      </c>
      <c r="AF43" s="24">
        <f t="shared" si="16"/>
        <v>0</v>
      </c>
      <c r="AG43" s="24">
        <f t="shared" si="16"/>
        <v>0</v>
      </c>
      <c r="AH43" s="24">
        <f t="shared" si="16"/>
        <v>0</v>
      </c>
      <c r="AI43" s="24">
        <f t="shared" si="16"/>
        <v>0</v>
      </c>
      <c r="AJ43" s="24">
        <f t="shared" si="16"/>
        <v>0</v>
      </c>
      <c r="AK43" s="24">
        <f t="shared" si="16"/>
        <v>0</v>
      </c>
      <c r="AL43" s="24">
        <f t="shared" si="16"/>
        <v>0</v>
      </c>
      <c r="AM43" s="24">
        <f t="shared" si="16"/>
        <v>0</v>
      </c>
      <c r="AN43" s="24">
        <f t="shared" si="16"/>
        <v>0</v>
      </c>
      <c r="AO43" s="24">
        <f t="shared" si="16"/>
        <v>0</v>
      </c>
      <c r="AP43" s="24">
        <f t="shared" si="16"/>
        <v>0</v>
      </c>
      <c r="AQ43" s="24">
        <f t="shared" si="16"/>
        <v>0</v>
      </c>
      <c r="AR43" s="24">
        <f t="shared" si="16"/>
        <v>210</v>
      </c>
      <c r="AS43" s="24">
        <f t="shared" si="16"/>
        <v>35</v>
      </c>
      <c r="AT43" s="24">
        <f t="shared" si="16"/>
        <v>0</v>
      </c>
      <c r="AU43" s="24">
        <f t="shared" si="16"/>
        <v>0</v>
      </c>
      <c r="AV43" s="24">
        <f t="shared" si="16"/>
        <v>0</v>
      </c>
      <c r="AW43" s="24">
        <f t="shared" si="16"/>
        <v>0</v>
      </c>
      <c r="AX43" s="24">
        <f t="shared" si="16"/>
        <v>0</v>
      </c>
      <c r="AY43" s="24">
        <f t="shared" si="16"/>
        <v>0</v>
      </c>
      <c r="AZ43" s="24">
        <f t="shared" si="16"/>
        <v>0</v>
      </c>
      <c r="BA43" s="24">
        <f t="shared" si="16"/>
        <v>0</v>
      </c>
      <c r="BB43" s="24">
        <f t="shared" si="16"/>
        <v>0</v>
      </c>
      <c r="BC43" s="24">
        <f t="shared" si="16"/>
        <v>0</v>
      </c>
      <c r="BD43" s="24">
        <f t="shared" si="16"/>
        <v>0</v>
      </c>
      <c r="BE43" s="24">
        <f t="shared" si="16"/>
        <v>0</v>
      </c>
      <c r="BF43" s="24">
        <f t="shared" si="16"/>
        <v>175</v>
      </c>
      <c r="BG43" s="24">
        <f t="shared" si="16"/>
        <v>0</v>
      </c>
      <c r="BH43" s="24">
        <f t="shared" si="16"/>
        <v>0</v>
      </c>
      <c r="BI43" s="24">
        <f t="shared" si="16"/>
        <v>0</v>
      </c>
      <c r="BJ43" s="24">
        <f t="shared" si="17"/>
        <v>0</v>
      </c>
      <c r="BK43" s="24">
        <f t="shared" si="17"/>
        <v>0</v>
      </c>
      <c r="BL43" s="24">
        <f t="shared" si="17"/>
        <v>0</v>
      </c>
      <c r="BM43" s="24">
        <f t="shared" si="17"/>
        <v>0</v>
      </c>
      <c r="BN43" s="24">
        <f t="shared" si="17"/>
        <v>0</v>
      </c>
      <c r="BO43" s="24">
        <f t="shared" si="17"/>
        <v>0</v>
      </c>
    </row>
    <row r="44" spans="4:67" x14ac:dyDescent="0.3">
      <c r="D44" s="6" t="s">
        <v>56</v>
      </c>
      <c r="E44" s="25"/>
      <c r="F44" s="24">
        <f t="shared" si="16"/>
        <v>0</v>
      </c>
      <c r="G44" s="24">
        <f t="shared" si="16"/>
        <v>0</v>
      </c>
      <c r="H44" s="24">
        <f t="shared" si="16"/>
        <v>0</v>
      </c>
      <c r="I44" s="24">
        <f t="shared" si="16"/>
        <v>0</v>
      </c>
      <c r="J44" s="24">
        <f t="shared" si="16"/>
        <v>0</v>
      </c>
      <c r="K44" s="24">
        <f t="shared" si="16"/>
        <v>0</v>
      </c>
      <c r="L44" s="24">
        <f t="shared" si="16"/>
        <v>315</v>
      </c>
      <c r="M44" s="24">
        <f t="shared" si="16"/>
        <v>0</v>
      </c>
      <c r="N44" s="24">
        <f t="shared" si="16"/>
        <v>0</v>
      </c>
      <c r="O44" s="24">
        <f t="shared" si="16"/>
        <v>0</v>
      </c>
      <c r="P44" s="24">
        <f t="shared" si="16"/>
        <v>0</v>
      </c>
      <c r="Q44" s="24">
        <f t="shared" si="16"/>
        <v>0</v>
      </c>
      <c r="R44" s="24">
        <f t="shared" si="16"/>
        <v>0</v>
      </c>
      <c r="S44" s="24">
        <f t="shared" si="16"/>
        <v>0</v>
      </c>
      <c r="T44" s="24">
        <f t="shared" si="16"/>
        <v>0</v>
      </c>
      <c r="U44" s="24">
        <f t="shared" si="16"/>
        <v>0</v>
      </c>
      <c r="V44" s="24">
        <f t="shared" si="16"/>
        <v>0</v>
      </c>
      <c r="W44" s="24">
        <f t="shared" si="16"/>
        <v>0</v>
      </c>
      <c r="X44" s="24">
        <f t="shared" si="16"/>
        <v>0</v>
      </c>
      <c r="Y44" s="24">
        <f t="shared" si="16"/>
        <v>0</v>
      </c>
      <c r="Z44" s="24">
        <f t="shared" si="16"/>
        <v>0</v>
      </c>
      <c r="AA44" s="24">
        <f t="shared" si="16"/>
        <v>0</v>
      </c>
      <c r="AB44" s="24">
        <f t="shared" si="16"/>
        <v>0</v>
      </c>
      <c r="AC44" s="24">
        <f t="shared" si="16"/>
        <v>0</v>
      </c>
      <c r="AD44" s="24">
        <f t="shared" si="16"/>
        <v>0</v>
      </c>
      <c r="AE44" s="24">
        <f t="shared" si="16"/>
        <v>0</v>
      </c>
      <c r="AF44" s="24">
        <f t="shared" si="16"/>
        <v>0</v>
      </c>
      <c r="AG44" s="24">
        <f t="shared" si="16"/>
        <v>0</v>
      </c>
      <c r="AH44" s="24">
        <f t="shared" si="16"/>
        <v>0</v>
      </c>
      <c r="AI44" s="24">
        <f t="shared" si="16"/>
        <v>0</v>
      </c>
      <c r="AJ44" s="24">
        <f t="shared" si="16"/>
        <v>0</v>
      </c>
      <c r="AK44" s="24">
        <f t="shared" si="16"/>
        <v>0</v>
      </c>
      <c r="AL44" s="24">
        <f t="shared" si="16"/>
        <v>0</v>
      </c>
      <c r="AM44" s="24">
        <f t="shared" si="16"/>
        <v>0</v>
      </c>
      <c r="AN44" s="24">
        <f t="shared" si="16"/>
        <v>0</v>
      </c>
      <c r="AO44" s="24">
        <f t="shared" si="16"/>
        <v>0</v>
      </c>
      <c r="AP44" s="24">
        <f t="shared" si="16"/>
        <v>0</v>
      </c>
      <c r="AQ44" s="24">
        <f t="shared" si="16"/>
        <v>0</v>
      </c>
      <c r="AR44" s="24">
        <f t="shared" si="16"/>
        <v>280</v>
      </c>
      <c r="AS44" s="24">
        <f t="shared" si="16"/>
        <v>70</v>
      </c>
      <c r="AT44" s="24">
        <f t="shared" si="16"/>
        <v>0</v>
      </c>
      <c r="AU44" s="24">
        <f t="shared" si="16"/>
        <v>0</v>
      </c>
      <c r="AV44" s="24">
        <f t="shared" si="16"/>
        <v>0</v>
      </c>
      <c r="AW44" s="24">
        <f t="shared" si="16"/>
        <v>0</v>
      </c>
      <c r="AX44" s="24">
        <f t="shared" si="16"/>
        <v>0</v>
      </c>
      <c r="AY44" s="24">
        <f t="shared" si="16"/>
        <v>0</v>
      </c>
      <c r="AZ44" s="24">
        <f t="shared" si="16"/>
        <v>0</v>
      </c>
      <c r="BA44" s="24">
        <f t="shared" si="16"/>
        <v>0</v>
      </c>
      <c r="BB44" s="24">
        <f t="shared" si="16"/>
        <v>0</v>
      </c>
      <c r="BC44" s="24">
        <f t="shared" si="16"/>
        <v>0</v>
      </c>
      <c r="BD44" s="24">
        <f t="shared" si="16"/>
        <v>0</v>
      </c>
      <c r="BE44" s="24">
        <f t="shared" si="16"/>
        <v>0</v>
      </c>
      <c r="BF44" s="24">
        <f t="shared" si="16"/>
        <v>0</v>
      </c>
      <c r="BG44" s="24">
        <f t="shared" si="16"/>
        <v>0</v>
      </c>
      <c r="BH44" s="24">
        <f t="shared" si="16"/>
        <v>210</v>
      </c>
      <c r="BI44" s="24">
        <f t="shared" si="16"/>
        <v>0</v>
      </c>
      <c r="BJ44" s="24">
        <f t="shared" si="17"/>
        <v>0</v>
      </c>
      <c r="BK44" s="24">
        <f t="shared" si="17"/>
        <v>0</v>
      </c>
      <c r="BL44" s="24">
        <f t="shared" si="17"/>
        <v>0</v>
      </c>
      <c r="BM44" s="24">
        <f t="shared" si="17"/>
        <v>0</v>
      </c>
      <c r="BN44" s="24">
        <f t="shared" si="17"/>
        <v>0</v>
      </c>
      <c r="BO44" s="24">
        <f t="shared" si="17"/>
        <v>0</v>
      </c>
    </row>
    <row r="45" spans="4:67" x14ac:dyDescent="0.3">
      <c r="D45" s="6" t="s">
        <v>58</v>
      </c>
      <c r="E45" s="25"/>
      <c r="F45" s="24">
        <f t="shared" si="16"/>
        <v>0</v>
      </c>
      <c r="G45" s="24">
        <f t="shared" si="16"/>
        <v>0</v>
      </c>
      <c r="H45" s="24">
        <f t="shared" si="16"/>
        <v>0</v>
      </c>
      <c r="I45" s="24">
        <f t="shared" si="16"/>
        <v>0</v>
      </c>
      <c r="J45" s="24">
        <f t="shared" si="16"/>
        <v>0</v>
      </c>
      <c r="K45" s="24">
        <f t="shared" si="16"/>
        <v>0</v>
      </c>
      <c r="L45" s="24">
        <f t="shared" si="16"/>
        <v>280</v>
      </c>
      <c r="M45" s="24">
        <f t="shared" si="16"/>
        <v>0</v>
      </c>
      <c r="N45" s="24">
        <f t="shared" si="16"/>
        <v>0</v>
      </c>
      <c r="O45" s="24">
        <f t="shared" si="16"/>
        <v>0</v>
      </c>
      <c r="P45" s="24">
        <f t="shared" si="16"/>
        <v>0</v>
      </c>
      <c r="Q45" s="24">
        <f t="shared" si="16"/>
        <v>0</v>
      </c>
      <c r="R45" s="24">
        <f t="shared" si="16"/>
        <v>0</v>
      </c>
      <c r="S45" s="24">
        <f t="shared" si="16"/>
        <v>0</v>
      </c>
      <c r="T45" s="24">
        <f t="shared" si="16"/>
        <v>0</v>
      </c>
      <c r="U45" s="24">
        <f t="shared" si="16"/>
        <v>0</v>
      </c>
      <c r="V45" s="24">
        <f t="shared" si="16"/>
        <v>0</v>
      </c>
      <c r="W45" s="24">
        <f t="shared" si="16"/>
        <v>0</v>
      </c>
      <c r="X45" s="24">
        <f t="shared" si="16"/>
        <v>0</v>
      </c>
      <c r="Y45" s="24">
        <f t="shared" si="16"/>
        <v>0</v>
      </c>
      <c r="Z45" s="24">
        <f t="shared" si="16"/>
        <v>0</v>
      </c>
      <c r="AA45" s="24">
        <f t="shared" si="16"/>
        <v>0</v>
      </c>
      <c r="AB45" s="24">
        <f t="shared" si="16"/>
        <v>0</v>
      </c>
      <c r="AC45" s="24">
        <f t="shared" si="16"/>
        <v>0</v>
      </c>
      <c r="AD45" s="24">
        <f t="shared" si="16"/>
        <v>0</v>
      </c>
      <c r="AE45" s="24">
        <f t="shared" si="16"/>
        <v>0</v>
      </c>
      <c r="AF45" s="24">
        <f t="shared" si="16"/>
        <v>0</v>
      </c>
      <c r="AG45" s="24">
        <f t="shared" si="16"/>
        <v>0</v>
      </c>
      <c r="AH45" s="24">
        <f t="shared" si="16"/>
        <v>0</v>
      </c>
      <c r="AI45" s="24">
        <f t="shared" si="16"/>
        <v>0</v>
      </c>
      <c r="AJ45" s="24">
        <f t="shared" si="16"/>
        <v>0</v>
      </c>
      <c r="AK45" s="24">
        <f t="shared" si="16"/>
        <v>0</v>
      </c>
      <c r="AL45" s="24">
        <f t="shared" si="16"/>
        <v>0</v>
      </c>
      <c r="AM45" s="24">
        <f t="shared" si="16"/>
        <v>0</v>
      </c>
      <c r="AN45" s="24">
        <f t="shared" si="16"/>
        <v>0</v>
      </c>
      <c r="AO45" s="24">
        <f t="shared" si="16"/>
        <v>0</v>
      </c>
      <c r="AP45" s="24">
        <f t="shared" si="16"/>
        <v>0</v>
      </c>
      <c r="AQ45" s="24">
        <f t="shared" si="16"/>
        <v>0</v>
      </c>
      <c r="AR45" s="24">
        <f t="shared" si="16"/>
        <v>210</v>
      </c>
      <c r="AS45" s="24">
        <f t="shared" si="16"/>
        <v>0</v>
      </c>
      <c r="AT45" s="24">
        <f t="shared" si="16"/>
        <v>0</v>
      </c>
      <c r="AU45" s="24">
        <f t="shared" si="16"/>
        <v>0</v>
      </c>
      <c r="AV45" s="24">
        <f t="shared" si="16"/>
        <v>0</v>
      </c>
      <c r="AW45" s="24">
        <f t="shared" si="16"/>
        <v>0</v>
      </c>
      <c r="AX45" s="24">
        <f t="shared" si="16"/>
        <v>0</v>
      </c>
      <c r="AY45" s="24">
        <f t="shared" si="16"/>
        <v>0</v>
      </c>
      <c r="AZ45" s="24">
        <f t="shared" si="16"/>
        <v>0</v>
      </c>
      <c r="BA45" s="24">
        <f t="shared" si="16"/>
        <v>0</v>
      </c>
      <c r="BB45" s="24">
        <f t="shared" si="16"/>
        <v>0</v>
      </c>
      <c r="BC45" s="24">
        <f t="shared" si="16"/>
        <v>0</v>
      </c>
      <c r="BD45" s="24">
        <f t="shared" si="16"/>
        <v>0</v>
      </c>
      <c r="BE45" s="24">
        <f t="shared" si="16"/>
        <v>0</v>
      </c>
      <c r="BF45" s="24">
        <f t="shared" si="16"/>
        <v>245</v>
      </c>
      <c r="BG45" s="24">
        <f t="shared" si="16"/>
        <v>0</v>
      </c>
      <c r="BH45" s="24">
        <f t="shared" si="16"/>
        <v>0</v>
      </c>
      <c r="BI45" s="24">
        <f t="shared" si="16"/>
        <v>0</v>
      </c>
      <c r="BJ45" s="24">
        <f t="shared" si="17"/>
        <v>0</v>
      </c>
      <c r="BK45" s="24">
        <f t="shared" si="17"/>
        <v>0</v>
      </c>
      <c r="BL45" s="24">
        <f t="shared" si="17"/>
        <v>0</v>
      </c>
      <c r="BM45" s="24">
        <f t="shared" si="17"/>
        <v>0</v>
      </c>
      <c r="BN45" s="24">
        <f t="shared" si="17"/>
        <v>0</v>
      </c>
      <c r="BO45" s="24">
        <f t="shared" si="17"/>
        <v>0</v>
      </c>
    </row>
    <row r="46" spans="4:67" x14ac:dyDescent="0.3">
      <c r="D46" s="23" t="s">
        <v>60</v>
      </c>
      <c r="E46" s="25"/>
      <c r="F46" s="24">
        <f t="shared" si="16"/>
        <v>0</v>
      </c>
      <c r="G46" s="24">
        <f t="shared" si="16"/>
        <v>0</v>
      </c>
      <c r="H46" s="24">
        <f t="shared" si="16"/>
        <v>0</v>
      </c>
      <c r="I46" s="24">
        <f t="shared" si="16"/>
        <v>0</v>
      </c>
      <c r="J46" s="24">
        <f t="shared" si="16"/>
        <v>0</v>
      </c>
      <c r="K46" s="24">
        <f t="shared" si="16"/>
        <v>0</v>
      </c>
      <c r="L46" s="24">
        <f t="shared" si="16"/>
        <v>245</v>
      </c>
      <c r="M46" s="24">
        <f t="shared" si="16"/>
        <v>0</v>
      </c>
      <c r="N46" s="24">
        <f t="shared" si="16"/>
        <v>0</v>
      </c>
      <c r="O46" s="24">
        <f t="shared" si="16"/>
        <v>0</v>
      </c>
      <c r="P46" s="24">
        <f t="shared" si="16"/>
        <v>0</v>
      </c>
      <c r="Q46" s="24">
        <f t="shared" si="16"/>
        <v>0</v>
      </c>
      <c r="R46" s="24">
        <f t="shared" si="16"/>
        <v>0</v>
      </c>
      <c r="S46" s="24">
        <f t="shared" si="16"/>
        <v>0</v>
      </c>
      <c r="T46" s="24">
        <f t="shared" si="16"/>
        <v>0</v>
      </c>
      <c r="U46" s="24">
        <f t="shared" si="16"/>
        <v>0</v>
      </c>
      <c r="V46" s="24">
        <f t="shared" si="16"/>
        <v>0</v>
      </c>
      <c r="W46" s="24">
        <f t="shared" si="16"/>
        <v>0</v>
      </c>
      <c r="X46" s="24">
        <f t="shared" si="16"/>
        <v>0</v>
      </c>
      <c r="Y46" s="24">
        <f t="shared" si="16"/>
        <v>0</v>
      </c>
      <c r="Z46" s="24">
        <f t="shared" si="16"/>
        <v>0</v>
      </c>
      <c r="AA46" s="24">
        <f t="shared" si="16"/>
        <v>0</v>
      </c>
      <c r="AB46" s="24">
        <f t="shared" si="16"/>
        <v>0</v>
      </c>
      <c r="AC46" s="24">
        <f t="shared" si="16"/>
        <v>0</v>
      </c>
      <c r="AD46" s="24">
        <f t="shared" si="16"/>
        <v>0</v>
      </c>
      <c r="AE46" s="24">
        <f t="shared" si="16"/>
        <v>0</v>
      </c>
      <c r="AF46" s="24">
        <f t="shared" si="16"/>
        <v>0</v>
      </c>
      <c r="AG46" s="24">
        <f t="shared" si="16"/>
        <v>0</v>
      </c>
      <c r="AH46" s="24">
        <f t="shared" si="16"/>
        <v>0</v>
      </c>
      <c r="AI46" s="24">
        <f t="shared" si="16"/>
        <v>0</v>
      </c>
      <c r="AJ46" s="24">
        <f t="shared" si="16"/>
        <v>0</v>
      </c>
      <c r="AK46" s="24">
        <f t="shared" ref="AK46:BI47" si="18">AK22*35</f>
        <v>0</v>
      </c>
      <c r="AL46" s="24">
        <f t="shared" si="18"/>
        <v>0</v>
      </c>
      <c r="AM46" s="24">
        <f t="shared" si="18"/>
        <v>0</v>
      </c>
      <c r="AN46" s="24">
        <f t="shared" si="18"/>
        <v>0</v>
      </c>
      <c r="AO46" s="24">
        <f t="shared" si="18"/>
        <v>0</v>
      </c>
      <c r="AP46" s="24">
        <f t="shared" si="18"/>
        <v>315</v>
      </c>
      <c r="AQ46" s="24">
        <f t="shared" si="18"/>
        <v>70</v>
      </c>
      <c r="AR46" s="24">
        <f t="shared" si="18"/>
        <v>0</v>
      </c>
      <c r="AS46" s="24">
        <f t="shared" si="18"/>
        <v>0</v>
      </c>
      <c r="AT46" s="24">
        <f t="shared" si="18"/>
        <v>0</v>
      </c>
      <c r="AU46" s="24">
        <f t="shared" si="18"/>
        <v>0</v>
      </c>
      <c r="AV46" s="24">
        <f t="shared" si="18"/>
        <v>0</v>
      </c>
      <c r="AW46" s="24">
        <f t="shared" si="18"/>
        <v>0</v>
      </c>
      <c r="AX46" s="24">
        <f t="shared" si="18"/>
        <v>0</v>
      </c>
      <c r="AY46" s="24">
        <f t="shared" si="18"/>
        <v>0</v>
      </c>
      <c r="AZ46" s="24">
        <f t="shared" si="18"/>
        <v>0</v>
      </c>
      <c r="BA46" s="24">
        <f t="shared" si="18"/>
        <v>0</v>
      </c>
      <c r="BB46" s="24">
        <f t="shared" si="18"/>
        <v>0</v>
      </c>
      <c r="BC46" s="24">
        <f t="shared" si="18"/>
        <v>0</v>
      </c>
      <c r="BD46" s="24">
        <f t="shared" si="18"/>
        <v>0</v>
      </c>
      <c r="BE46" s="24">
        <f t="shared" si="18"/>
        <v>0</v>
      </c>
      <c r="BF46" s="24">
        <f t="shared" si="18"/>
        <v>175</v>
      </c>
      <c r="BG46" s="24">
        <f t="shared" si="18"/>
        <v>0</v>
      </c>
      <c r="BH46" s="24">
        <f t="shared" si="18"/>
        <v>0</v>
      </c>
      <c r="BI46" s="24">
        <f t="shared" si="18"/>
        <v>0</v>
      </c>
      <c r="BJ46" s="24">
        <f t="shared" ref="BJ46:BO46" si="19">BJ22*35</f>
        <v>0</v>
      </c>
      <c r="BK46" s="24">
        <f t="shared" si="19"/>
        <v>0</v>
      </c>
      <c r="BL46" s="24">
        <f t="shared" si="19"/>
        <v>0</v>
      </c>
      <c r="BM46" s="24">
        <f t="shared" si="19"/>
        <v>0</v>
      </c>
      <c r="BN46" s="24">
        <f t="shared" si="19"/>
        <v>0</v>
      </c>
      <c r="BO46" s="24">
        <f t="shared" si="19"/>
        <v>0</v>
      </c>
    </row>
    <row r="47" spans="4:67" x14ac:dyDescent="0.3">
      <c r="D47" s="23" t="s">
        <v>64</v>
      </c>
      <c r="E47" s="25"/>
      <c r="F47" s="24">
        <f t="shared" ref="F47:AK47" si="20">F23*35</f>
        <v>0</v>
      </c>
      <c r="G47" s="24">
        <f t="shared" si="20"/>
        <v>0</v>
      </c>
      <c r="H47" s="24">
        <f t="shared" si="20"/>
        <v>0</v>
      </c>
      <c r="I47" s="24">
        <f t="shared" si="20"/>
        <v>0</v>
      </c>
      <c r="J47" s="24">
        <f t="shared" si="20"/>
        <v>0</v>
      </c>
      <c r="K47" s="24">
        <f t="shared" si="20"/>
        <v>0</v>
      </c>
      <c r="L47" s="24">
        <f t="shared" si="20"/>
        <v>0</v>
      </c>
      <c r="M47" s="24">
        <f t="shared" si="20"/>
        <v>0</v>
      </c>
      <c r="N47" s="24">
        <f t="shared" si="20"/>
        <v>0</v>
      </c>
      <c r="O47" s="24">
        <f t="shared" si="20"/>
        <v>0</v>
      </c>
      <c r="P47" s="24">
        <f t="shared" si="20"/>
        <v>0</v>
      </c>
      <c r="Q47" s="24">
        <f t="shared" si="20"/>
        <v>0</v>
      </c>
      <c r="R47" s="24">
        <f t="shared" si="20"/>
        <v>0</v>
      </c>
      <c r="S47" s="24">
        <f t="shared" si="20"/>
        <v>0</v>
      </c>
      <c r="T47" s="24">
        <f t="shared" si="20"/>
        <v>0</v>
      </c>
      <c r="U47" s="24">
        <f t="shared" si="20"/>
        <v>0</v>
      </c>
      <c r="V47" s="24">
        <f t="shared" si="20"/>
        <v>0</v>
      </c>
      <c r="W47" s="24">
        <f t="shared" si="20"/>
        <v>0</v>
      </c>
      <c r="X47" s="24">
        <f t="shared" si="20"/>
        <v>0</v>
      </c>
      <c r="Y47" s="24">
        <f t="shared" si="20"/>
        <v>0</v>
      </c>
      <c r="Z47" s="24">
        <f t="shared" si="20"/>
        <v>0</v>
      </c>
      <c r="AA47" s="24">
        <f t="shared" si="20"/>
        <v>0</v>
      </c>
      <c r="AB47" s="24">
        <f t="shared" si="20"/>
        <v>315</v>
      </c>
      <c r="AC47" s="24">
        <f t="shared" si="20"/>
        <v>0</v>
      </c>
      <c r="AD47" s="24">
        <f t="shared" si="20"/>
        <v>0</v>
      </c>
      <c r="AE47" s="24">
        <f t="shared" si="20"/>
        <v>0</v>
      </c>
      <c r="AF47" s="24">
        <f t="shared" si="20"/>
        <v>0</v>
      </c>
      <c r="AG47" s="24">
        <f t="shared" si="20"/>
        <v>0</v>
      </c>
      <c r="AH47" s="24">
        <f t="shared" si="20"/>
        <v>0</v>
      </c>
      <c r="AI47" s="24">
        <f t="shared" si="20"/>
        <v>0</v>
      </c>
      <c r="AJ47" s="24">
        <f t="shared" si="20"/>
        <v>0</v>
      </c>
      <c r="AK47" s="24">
        <f t="shared" si="20"/>
        <v>0</v>
      </c>
      <c r="AL47" s="24">
        <f t="shared" si="18"/>
        <v>0</v>
      </c>
      <c r="AM47" s="24">
        <f t="shared" si="18"/>
        <v>0</v>
      </c>
      <c r="AN47" s="24">
        <f t="shared" si="18"/>
        <v>0</v>
      </c>
      <c r="AO47" s="24">
        <f t="shared" si="18"/>
        <v>0</v>
      </c>
      <c r="AP47" s="24">
        <f t="shared" si="18"/>
        <v>0</v>
      </c>
      <c r="AQ47" s="24">
        <f t="shared" si="18"/>
        <v>0</v>
      </c>
      <c r="AR47" s="24">
        <f t="shared" si="18"/>
        <v>280</v>
      </c>
      <c r="AS47" s="24">
        <f t="shared" si="18"/>
        <v>0</v>
      </c>
      <c r="AT47" s="24">
        <f t="shared" si="18"/>
        <v>0</v>
      </c>
      <c r="AU47" s="24">
        <f t="shared" si="18"/>
        <v>0</v>
      </c>
      <c r="AV47" s="24">
        <f t="shared" si="18"/>
        <v>0</v>
      </c>
      <c r="AW47" s="24">
        <f t="shared" si="18"/>
        <v>0</v>
      </c>
      <c r="AX47" s="24">
        <f t="shared" si="18"/>
        <v>0</v>
      </c>
      <c r="AY47" s="24">
        <f t="shared" si="18"/>
        <v>0</v>
      </c>
      <c r="AZ47" s="24">
        <f t="shared" si="18"/>
        <v>0</v>
      </c>
      <c r="BA47" s="24">
        <f t="shared" si="18"/>
        <v>0</v>
      </c>
      <c r="BB47" s="24">
        <f t="shared" si="18"/>
        <v>0</v>
      </c>
      <c r="BC47" s="24">
        <f t="shared" si="18"/>
        <v>0</v>
      </c>
      <c r="BD47" s="24">
        <f t="shared" si="18"/>
        <v>0</v>
      </c>
      <c r="BE47" s="24">
        <f t="shared" si="18"/>
        <v>0</v>
      </c>
      <c r="BF47" s="24">
        <f t="shared" si="18"/>
        <v>0</v>
      </c>
      <c r="BG47" s="24">
        <f t="shared" si="18"/>
        <v>0</v>
      </c>
      <c r="BH47" s="24">
        <f t="shared" si="18"/>
        <v>315</v>
      </c>
      <c r="BI47" s="24">
        <f t="shared" si="18"/>
        <v>0</v>
      </c>
      <c r="BJ47" s="24">
        <f t="shared" ref="BJ47:BO47" si="21">BJ23*35</f>
        <v>0</v>
      </c>
      <c r="BK47" s="24">
        <f t="shared" si="21"/>
        <v>0</v>
      </c>
      <c r="BL47" s="24">
        <f t="shared" si="21"/>
        <v>0</v>
      </c>
      <c r="BM47" s="24">
        <f t="shared" si="21"/>
        <v>0</v>
      </c>
      <c r="BN47" s="24">
        <f t="shared" si="21"/>
        <v>0</v>
      </c>
      <c r="BO47" s="24">
        <f t="shared" si="21"/>
        <v>0</v>
      </c>
    </row>
    <row r="48" spans="4:67" x14ac:dyDescent="0.3">
      <c r="D48" s="23" t="s">
        <v>69</v>
      </c>
      <c r="E48" s="25"/>
      <c r="F48" s="24">
        <f t="shared" ref="F48:BI48" si="22">F24*45</f>
        <v>0</v>
      </c>
      <c r="G48" s="24">
        <f t="shared" si="22"/>
        <v>0</v>
      </c>
      <c r="H48" s="24">
        <f t="shared" si="22"/>
        <v>0</v>
      </c>
      <c r="I48" s="24">
        <f t="shared" si="22"/>
        <v>0</v>
      </c>
      <c r="J48" s="24">
        <f t="shared" si="22"/>
        <v>405</v>
      </c>
      <c r="K48" s="24">
        <f t="shared" si="22"/>
        <v>0</v>
      </c>
      <c r="L48" s="24">
        <f t="shared" si="22"/>
        <v>0</v>
      </c>
      <c r="M48" s="24">
        <f t="shared" si="22"/>
        <v>0</v>
      </c>
      <c r="N48" s="24">
        <f t="shared" si="22"/>
        <v>0</v>
      </c>
      <c r="O48" s="24">
        <f t="shared" si="22"/>
        <v>0</v>
      </c>
      <c r="P48" s="24">
        <f t="shared" si="22"/>
        <v>0</v>
      </c>
      <c r="Q48" s="24">
        <f t="shared" si="22"/>
        <v>0</v>
      </c>
      <c r="R48" s="24">
        <f t="shared" si="22"/>
        <v>0</v>
      </c>
      <c r="S48" s="24">
        <f t="shared" si="22"/>
        <v>0</v>
      </c>
      <c r="T48" s="24">
        <f t="shared" si="22"/>
        <v>0</v>
      </c>
      <c r="U48" s="24">
        <f t="shared" si="22"/>
        <v>0</v>
      </c>
      <c r="V48" s="24">
        <f t="shared" si="22"/>
        <v>0</v>
      </c>
      <c r="W48" s="24">
        <f t="shared" si="22"/>
        <v>0</v>
      </c>
      <c r="X48" s="24">
        <f t="shared" si="22"/>
        <v>0</v>
      </c>
      <c r="Y48" s="24">
        <f t="shared" si="22"/>
        <v>0</v>
      </c>
      <c r="Z48" s="24">
        <f t="shared" si="22"/>
        <v>0</v>
      </c>
      <c r="AA48" s="24">
        <f t="shared" si="22"/>
        <v>90</v>
      </c>
      <c r="AB48" s="24">
        <f t="shared" si="22"/>
        <v>315</v>
      </c>
      <c r="AC48" s="24">
        <f t="shared" si="22"/>
        <v>90</v>
      </c>
      <c r="AD48" s="24">
        <f t="shared" si="22"/>
        <v>0</v>
      </c>
      <c r="AE48" s="24">
        <f t="shared" si="22"/>
        <v>0</v>
      </c>
      <c r="AF48" s="24">
        <f t="shared" si="22"/>
        <v>0</v>
      </c>
      <c r="AG48" s="24">
        <f t="shared" si="22"/>
        <v>0</v>
      </c>
      <c r="AH48" s="24">
        <f t="shared" si="22"/>
        <v>0</v>
      </c>
      <c r="AI48" s="24">
        <f t="shared" si="22"/>
        <v>0</v>
      </c>
      <c r="AJ48" s="24">
        <f t="shared" si="22"/>
        <v>0</v>
      </c>
      <c r="AK48" s="24">
        <f t="shared" si="22"/>
        <v>0</v>
      </c>
      <c r="AL48" s="24">
        <f t="shared" si="22"/>
        <v>0</v>
      </c>
      <c r="AM48" s="24">
        <f t="shared" si="22"/>
        <v>0</v>
      </c>
      <c r="AN48" s="24">
        <f t="shared" si="22"/>
        <v>0</v>
      </c>
      <c r="AO48" s="24">
        <f t="shared" si="22"/>
        <v>0</v>
      </c>
      <c r="AP48" s="24">
        <f t="shared" si="22"/>
        <v>0</v>
      </c>
      <c r="AQ48" s="24">
        <f t="shared" si="22"/>
        <v>0</v>
      </c>
      <c r="AR48" s="24">
        <f t="shared" si="22"/>
        <v>0</v>
      </c>
      <c r="AS48" s="24">
        <f t="shared" si="22"/>
        <v>0</v>
      </c>
      <c r="AT48" s="24">
        <f t="shared" si="22"/>
        <v>180</v>
      </c>
      <c r="AU48" s="24">
        <f t="shared" si="22"/>
        <v>0</v>
      </c>
      <c r="AV48" s="24">
        <f t="shared" si="22"/>
        <v>0</v>
      </c>
      <c r="AW48" s="24">
        <f t="shared" si="22"/>
        <v>0</v>
      </c>
      <c r="AX48" s="24">
        <f t="shared" si="22"/>
        <v>0</v>
      </c>
      <c r="AY48" s="24">
        <f t="shared" si="22"/>
        <v>0</v>
      </c>
      <c r="AZ48" s="24">
        <f t="shared" si="22"/>
        <v>0</v>
      </c>
      <c r="BA48" s="24">
        <f t="shared" si="22"/>
        <v>0</v>
      </c>
      <c r="BB48" s="24">
        <f t="shared" si="22"/>
        <v>0</v>
      </c>
      <c r="BC48" s="24">
        <f t="shared" si="22"/>
        <v>0</v>
      </c>
      <c r="BD48" s="24">
        <f t="shared" si="22"/>
        <v>0</v>
      </c>
      <c r="BE48" s="24">
        <f t="shared" si="22"/>
        <v>0</v>
      </c>
      <c r="BF48" s="24">
        <f t="shared" si="22"/>
        <v>0</v>
      </c>
      <c r="BG48" s="24">
        <f t="shared" si="22"/>
        <v>0</v>
      </c>
      <c r="BH48" s="24">
        <f t="shared" si="22"/>
        <v>0</v>
      </c>
      <c r="BI48" s="24">
        <f t="shared" si="22"/>
        <v>0</v>
      </c>
      <c r="BJ48" s="24">
        <f t="shared" ref="BJ48:BO48" si="23">BJ24*45</f>
        <v>0</v>
      </c>
      <c r="BK48" s="24">
        <f t="shared" si="23"/>
        <v>0</v>
      </c>
      <c r="BL48" s="24">
        <f t="shared" si="23"/>
        <v>0</v>
      </c>
      <c r="BM48" s="24">
        <f t="shared" si="23"/>
        <v>0</v>
      </c>
      <c r="BN48" s="24">
        <f t="shared" si="23"/>
        <v>0</v>
      </c>
      <c r="BO48" s="24">
        <f t="shared" si="23"/>
        <v>0</v>
      </c>
    </row>
    <row r="49" spans="1:70" x14ac:dyDescent="0.3">
      <c r="D49" s="23" t="s">
        <v>67</v>
      </c>
      <c r="E49" s="25"/>
      <c r="F49" s="24">
        <f t="shared" ref="F49:BI50" si="24">F25*35</f>
        <v>0</v>
      </c>
      <c r="G49" s="24">
        <f t="shared" si="24"/>
        <v>0</v>
      </c>
      <c r="H49" s="24">
        <f t="shared" si="24"/>
        <v>0</v>
      </c>
      <c r="I49" s="24">
        <f t="shared" si="24"/>
        <v>0</v>
      </c>
      <c r="J49" s="24">
        <f t="shared" si="24"/>
        <v>0</v>
      </c>
      <c r="K49" s="24">
        <f t="shared" si="24"/>
        <v>0</v>
      </c>
      <c r="L49" s="24">
        <f t="shared" si="24"/>
        <v>315</v>
      </c>
      <c r="M49" s="24">
        <f t="shared" si="24"/>
        <v>0</v>
      </c>
      <c r="N49" s="24">
        <f t="shared" si="24"/>
        <v>0</v>
      </c>
      <c r="O49" s="24">
        <f t="shared" si="24"/>
        <v>0</v>
      </c>
      <c r="P49" s="24">
        <f t="shared" si="24"/>
        <v>0</v>
      </c>
      <c r="Q49" s="24">
        <f t="shared" si="24"/>
        <v>0</v>
      </c>
      <c r="R49" s="24">
        <f t="shared" si="24"/>
        <v>0</v>
      </c>
      <c r="S49" s="24">
        <f t="shared" si="24"/>
        <v>0</v>
      </c>
      <c r="T49" s="24">
        <f t="shared" si="24"/>
        <v>0</v>
      </c>
      <c r="U49" s="24">
        <f t="shared" si="24"/>
        <v>0</v>
      </c>
      <c r="V49" s="24">
        <f t="shared" si="24"/>
        <v>0</v>
      </c>
      <c r="W49" s="24">
        <f t="shared" si="24"/>
        <v>0</v>
      </c>
      <c r="X49" s="24">
        <f t="shared" si="24"/>
        <v>0</v>
      </c>
      <c r="Y49" s="24">
        <f t="shared" si="24"/>
        <v>0</v>
      </c>
      <c r="Z49" s="24">
        <f t="shared" si="24"/>
        <v>315</v>
      </c>
      <c r="AA49" s="24">
        <f t="shared" si="24"/>
        <v>0</v>
      </c>
      <c r="AB49" s="24">
        <f t="shared" si="24"/>
        <v>0</v>
      </c>
      <c r="AC49" s="24">
        <f t="shared" si="24"/>
        <v>0</v>
      </c>
      <c r="AD49" s="24">
        <f t="shared" si="24"/>
        <v>0</v>
      </c>
      <c r="AE49" s="24">
        <f t="shared" si="24"/>
        <v>0</v>
      </c>
      <c r="AF49" s="24">
        <f t="shared" si="24"/>
        <v>0</v>
      </c>
      <c r="AG49" s="24">
        <f t="shared" si="24"/>
        <v>0</v>
      </c>
      <c r="AH49" s="24">
        <f t="shared" si="24"/>
        <v>0</v>
      </c>
      <c r="AI49" s="24">
        <f t="shared" si="24"/>
        <v>0</v>
      </c>
      <c r="AJ49" s="24">
        <f t="shared" si="24"/>
        <v>0</v>
      </c>
      <c r="AK49" s="24">
        <f t="shared" si="24"/>
        <v>0</v>
      </c>
      <c r="AL49" s="24">
        <f t="shared" si="24"/>
        <v>0</v>
      </c>
      <c r="AM49" s="24">
        <f t="shared" si="24"/>
        <v>0</v>
      </c>
      <c r="AN49" s="24">
        <f t="shared" si="24"/>
        <v>0</v>
      </c>
      <c r="AO49" s="24">
        <f t="shared" si="24"/>
        <v>0</v>
      </c>
      <c r="AP49" s="24">
        <f t="shared" si="24"/>
        <v>0</v>
      </c>
      <c r="AQ49" s="24">
        <f t="shared" si="24"/>
        <v>0</v>
      </c>
      <c r="AR49" s="24">
        <f t="shared" si="24"/>
        <v>280</v>
      </c>
      <c r="AS49" s="24">
        <f t="shared" si="24"/>
        <v>0</v>
      </c>
      <c r="AT49" s="24">
        <f t="shared" si="24"/>
        <v>0</v>
      </c>
      <c r="AU49" s="24">
        <f t="shared" si="24"/>
        <v>0</v>
      </c>
      <c r="AV49" s="24">
        <f t="shared" si="24"/>
        <v>0</v>
      </c>
      <c r="AW49" s="24">
        <f t="shared" si="24"/>
        <v>0</v>
      </c>
      <c r="AX49" s="24">
        <f t="shared" si="24"/>
        <v>0</v>
      </c>
      <c r="AY49" s="24">
        <f t="shared" si="24"/>
        <v>0</v>
      </c>
      <c r="AZ49" s="24">
        <f t="shared" si="24"/>
        <v>0</v>
      </c>
      <c r="BA49" s="24">
        <f t="shared" si="24"/>
        <v>0</v>
      </c>
      <c r="BB49" s="24">
        <f t="shared" si="24"/>
        <v>0</v>
      </c>
      <c r="BC49" s="24">
        <f t="shared" si="24"/>
        <v>0</v>
      </c>
      <c r="BD49" s="24">
        <f t="shared" si="24"/>
        <v>0</v>
      </c>
      <c r="BE49" s="24">
        <f t="shared" si="24"/>
        <v>0</v>
      </c>
      <c r="BF49" s="24">
        <f t="shared" si="24"/>
        <v>0</v>
      </c>
      <c r="BG49" s="24">
        <f t="shared" si="24"/>
        <v>0</v>
      </c>
      <c r="BH49" s="24">
        <f t="shared" si="24"/>
        <v>175</v>
      </c>
      <c r="BI49" s="24">
        <f t="shared" si="24"/>
        <v>0</v>
      </c>
      <c r="BJ49" s="24">
        <f t="shared" ref="BJ49:BO49" si="25">BJ25*35</f>
        <v>0</v>
      </c>
      <c r="BK49" s="24">
        <f t="shared" si="25"/>
        <v>0</v>
      </c>
      <c r="BL49" s="24">
        <f t="shared" si="25"/>
        <v>0</v>
      </c>
      <c r="BM49" s="24">
        <f t="shared" si="25"/>
        <v>0</v>
      </c>
      <c r="BN49" s="24">
        <f t="shared" si="25"/>
        <v>0</v>
      </c>
      <c r="BO49" s="24">
        <f t="shared" si="25"/>
        <v>0</v>
      </c>
    </row>
    <row r="50" spans="1:70" x14ac:dyDescent="0.3">
      <c r="D50" s="23" t="s">
        <v>72</v>
      </c>
      <c r="E50" s="25"/>
      <c r="F50" s="24">
        <f>F26*35</f>
        <v>0</v>
      </c>
      <c r="G50" s="24">
        <f t="shared" si="24"/>
        <v>0</v>
      </c>
      <c r="H50" s="24">
        <f t="shared" si="24"/>
        <v>0</v>
      </c>
      <c r="I50" s="24">
        <f t="shared" si="24"/>
        <v>0</v>
      </c>
      <c r="J50" s="24">
        <f t="shared" si="24"/>
        <v>315</v>
      </c>
      <c r="K50" s="24">
        <f t="shared" si="24"/>
        <v>0</v>
      </c>
      <c r="L50" s="24">
        <f t="shared" si="24"/>
        <v>0</v>
      </c>
      <c r="M50" s="24">
        <f t="shared" si="24"/>
        <v>0</v>
      </c>
      <c r="N50" s="24">
        <f t="shared" si="24"/>
        <v>0</v>
      </c>
      <c r="O50" s="24">
        <f t="shared" si="24"/>
        <v>0</v>
      </c>
      <c r="P50" s="24">
        <f t="shared" si="24"/>
        <v>0</v>
      </c>
      <c r="Q50" s="24">
        <f t="shared" si="24"/>
        <v>0</v>
      </c>
      <c r="R50" s="24">
        <f t="shared" si="24"/>
        <v>0</v>
      </c>
      <c r="S50" s="24">
        <f t="shared" si="24"/>
        <v>0</v>
      </c>
      <c r="T50" s="24">
        <f t="shared" si="24"/>
        <v>0</v>
      </c>
      <c r="U50" s="24">
        <f t="shared" si="24"/>
        <v>0</v>
      </c>
      <c r="V50" s="24">
        <f t="shared" si="24"/>
        <v>0</v>
      </c>
      <c r="W50" s="24">
        <f t="shared" si="24"/>
        <v>0</v>
      </c>
      <c r="X50" s="24">
        <f t="shared" si="24"/>
        <v>0</v>
      </c>
      <c r="Y50" s="24">
        <f t="shared" si="24"/>
        <v>0</v>
      </c>
      <c r="Z50" s="24">
        <f t="shared" si="24"/>
        <v>0</v>
      </c>
      <c r="AA50" s="24">
        <f t="shared" si="24"/>
        <v>175</v>
      </c>
      <c r="AB50" s="24">
        <f t="shared" si="24"/>
        <v>0</v>
      </c>
      <c r="AC50" s="24">
        <f t="shared" si="24"/>
        <v>0</v>
      </c>
      <c r="AD50" s="24">
        <f t="shared" si="24"/>
        <v>0</v>
      </c>
      <c r="AE50" s="24">
        <f t="shared" si="24"/>
        <v>0</v>
      </c>
      <c r="AF50" s="24">
        <f t="shared" si="24"/>
        <v>0</v>
      </c>
      <c r="AG50" s="24">
        <f t="shared" si="24"/>
        <v>0</v>
      </c>
      <c r="AH50" s="24">
        <f t="shared" si="24"/>
        <v>0</v>
      </c>
      <c r="AI50" s="24">
        <f t="shared" si="24"/>
        <v>0</v>
      </c>
      <c r="AJ50" s="24">
        <f t="shared" si="24"/>
        <v>0</v>
      </c>
      <c r="AK50" s="24">
        <f t="shared" si="24"/>
        <v>0</v>
      </c>
      <c r="AL50" s="24">
        <f t="shared" si="24"/>
        <v>0</v>
      </c>
      <c r="AM50" s="24">
        <f t="shared" si="24"/>
        <v>0</v>
      </c>
      <c r="AN50" s="24">
        <f t="shared" si="24"/>
        <v>0</v>
      </c>
      <c r="AO50" s="24">
        <f t="shared" si="24"/>
        <v>0</v>
      </c>
      <c r="AP50" s="24">
        <f t="shared" si="24"/>
        <v>0</v>
      </c>
      <c r="AQ50" s="24">
        <f t="shared" si="24"/>
        <v>0</v>
      </c>
      <c r="AR50" s="24">
        <f t="shared" si="24"/>
        <v>0</v>
      </c>
      <c r="AS50" s="24">
        <f t="shared" si="24"/>
        <v>0</v>
      </c>
      <c r="AT50" s="24">
        <f t="shared" si="24"/>
        <v>245</v>
      </c>
      <c r="AU50" s="24">
        <f t="shared" si="24"/>
        <v>0</v>
      </c>
      <c r="AV50" s="24">
        <f t="shared" si="24"/>
        <v>0</v>
      </c>
      <c r="AW50" s="24">
        <f t="shared" si="24"/>
        <v>0</v>
      </c>
      <c r="AX50" s="24">
        <f t="shared" si="24"/>
        <v>0</v>
      </c>
      <c r="AY50" s="24">
        <f t="shared" si="24"/>
        <v>0</v>
      </c>
      <c r="AZ50" s="24">
        <f t="shared" si="24"/>
        <v>0</v>
      </c>
      <c r="BA50" s="24">
        <f t="shared" si="24"/>
        <v>0</v>
      </c>
      <c r="BB50" s="24">
        <f t="shared" si="24"/>
        <v>0</v>
      </c>
      <c r="BC50" s="24">
        <f t="shared" si="24"/>
        <v>0</v>
      </c>
      <c r="BD50" s="24">
        <f t="shared" si="24"/>
        <v>0</v>
      </c>
      <c r="BE50" s="24">
        <f t="shared" si="24"/>
        <v>0</v>
      </c>
      <c r="BF50" s="24">
        <f t="shared" si="24"/>
        <v>0</v>
      </c>
      <c r="BG50" s="24">
        <f t="shared" si="24"/>
        <v>0</v>
      </c>
      <c r="BH50" s="24">
        <f t="shared" si="24"/>
        <v>210</v>
      </c>
      <c r="BI50" s="24">
        <f t="shared" si="24"/>
        <v>0</v>
      </c>
      <c r="BJ50" s="24">
        <f t="shared" ref="BJ50:BO50" si="26">BJ26*35</f>
        <v>0</v>
      </c>
      <c r="BK50" s="24">
        <f t="shared" si="26"/>
        <v>0</v>
      </c>
      <c r="BL50" s="24">
        <f t="shared" si="26"/>
        <v>0</v>
      </c>
      <c r="BM50" s="24">
        <f t="shared" si="26"/>
        <v>0</v>
      </c>
      <c r="BN50" s="24">
        <f t="shared" si="26"/>
        <v>0</v>
      </c>
      <c r="BO50" s="24">
        <f t="shared" si="26"/>
        <v>0</v>
      </c>
    </row>
    <row r="51" spans="1:70" x14ac:dyDescent="0.3">
      <c r="D51" s="23" t="s">
        <v>78</v>
      </c>
      <c r="E51" s="25"/>
      <c r="F51" s="24">
        <f t="shared" ref="F51:BI51" si="27">F27*15</f>
        <v>0</v>
      </c>
      <c r="G51" s="24">
        <f t="shared" si="27"/>
        <v>0</v>
      </c>
      <c r="H51" s="24">
        <f t="shared" si="27"/>
        <v>0</v>
      </c>
      <c r="I51" s="24">
        <f t="shared" si="27"/>
        <v>0</v>
      </c>
      <c r="J51" s="24">
        <f t="shared" si="27"/>
        <v>0</v>
      </c>
      <c r="K51" s="24">
        <f t="shared" si="27"/>
        <v>0</v>
      </c>
      <c r="L51" s="24">
        <f t="shared" si="27"/>
        <v>0</v>
      </c>
      <c r="M51" s="24">
        <f t="shared" si="27"/>
        <v>0</v>
      </c>
      <c r="N51" s="24">
        <f t="shared" si="27"/>
        <v>0</v>
      </c>
      <c r="O51" s="24">
        <f t="shared" si="27"/>
        <v>0</v>
      </c>
      <c r="P51" s="24">
        <f t="shared" si="27"/>
        <v>0</v>
      </c>
      <c r="Q51" s="24">
        <f t="shared" si="27"/>
        <v>0</v>
      </c>
      <c r="R51" s="24">
        <f t="shared" si="27"/>
        <v>0</v>
      </c>
      <c r="S51" s="24">
        <f t="shared" si="27"/>
        <v>0</v>
      </c>
      <c r="T51" s="24">
        <f t="shared" si="27"/>
        <v>0</v>
      </c>
      <c r="U51" s="24">
        <f t="shared" si="27"/>
        <v>0</v>
      </c>
      <c r="V51" s="24">
        <f t="shared" si="27"/>
        <v>0</v>
      </c>
      <c r="W51" s="24">
        <f t="shared" si="27"/>
        <v>0</v>
      </c>
      <c r="X51" s="24">
        <f t="shared" si="27"/>
        <v>0</v>
      </c>
      <c r="Y51" s="24">
        <f t="shared" si="27"/>
        <v>0</v>
      </c>
      <c r="Z51" s="24">
        <f t="shared" si="27"/>
        <v>0</v>
      </c>
      <c r="AA51" s="24">
        <f t="shared" si="27"/>
        <v>0</v>
      </c>
      <c r="AB51" s="24">
        <f t="shared" si="27"/>
        <v>0</v>
      </c>
      <c r="AC51" s="24">
        <f t="shared" si="27"/>
        <v>0</v>
      </c>
      <c r="AD51" s="24">
        <f t="shared" si="27"/>
        <v>0</v>
      </c>
      <c r="AE51" s="24">
        <f t="shared" si="27"/>
        <v>0</v>
      </c>
      <c r="AF51" s="24">
        <f t="shared" si="27"/>
        <v>0</v>
      </c>
      <c r="AG51" s="24">
        <f t="shared" si="27"/>
        <v>0</v>
      </c>
      <c r="AH51" s="24">
        <f t="shared" si="27"/>
        <v>0</v>
      </c>
      <c r="AI51" s="24">
        <f t="shared" si="27"/>
        <v>0</v>
      </c>
      <c r="AJ51" s="24">
        <f t="shared" si="27"/>
        <v>0</v>
      </c>
      <c r="AK51" s="24">
        <f t="shared" si="27"/>
        <v>0</v>
      </c>
      <c r="AL51" s="24">
        <f t="shared" si="27"/>
        <v>270</v>
      </c>
      <c r="AM51" s="24">
        <f t="shared" si="27"/>
        <v>0</v>
      </c>
      <c r="AN51" s="24">
        <f t="shared" si="27"/>
        <v>0</v>
      </c>
      <c r="AO51" s="24">
        <f t="shared" si="27"/>
        <v>0</v>
      </c>
      <c r="AP51" s="24">
        <f t="shared" si="27"/>
        <v>0</v>
      </c>
      <c r="AQ51" s="24">
        <f t="shared" si="27"/>
        <v>0</v>
      </c>
      <c r="AR51" s="24">
        <f t="shared" si="27"/>
        <v>0</v>
      </c>
      <c r="AS51" s="24">
        <f t="shared" si="27"/>
        <v>270</v>
      </c>
      <c r="AT51" s="24">
        <f t="shared" si="27"/>
        <v>1080</v>
      </c>
      <c r="AU51" s="24">
        <f t="shared" si="27"/>
        <v>0</v>
      </c>
      <c r="AV51" s="24">
        <f t="shared" si="27"/>
        <v>0</v>
      </c>
      <c r="AW51" s="24">
        <f t="shared" si="27"/>
        <v>0</v>
      </c>
      <c r="AX51" s="24">
        <f t="shared" si="27"/>
        <v>0</v>
      </c>
      <c r="AY51" s="24">
        <f t="shared" si="27"/>
        <v>0</v>
      </c>
      <c r="AZ51" s="24">
        <f t="shared" si="27"/>
        <v>0</v>
      </c>
      <c r="BA51" s="24">
        <f t="shared" si="27"/>
        <v>0</v>
      </c>
      <c r="BB51" s="24">
        <f t="shared" si="27"/>
        <v>0</v>
      </c>
      <c r="BC51" s="24">
        <f t="shared" si="27"/>
        <v>0</v>
      </c>
      <c r="BD51" s="24">
        <f t="shared" si="27"/>
        <v>0</v>
      </c>
      <c r="BE51" s="24">
        <f t="shared" si="27"/>
        <v>0</v>
      </c>
      <c r="BF51" s="24">
        <f t="shared" si="27"/>
        <v>0</v>
      </c>
      <c r="BG51" s="24">
        <f t="shared" si="27"/>
        <v>165</v>
      </c>
      <c r="BH51" s="24">
        <f t="shared" si="27"/>
        <v>0</v>
      </c>
      <c r="BI51" s="24">
        <f t="shared" si="27"/>
        <v>0</v>
      </c>
      <c r="BJ51" s="24">
        <f t="shared" ref="BJ51:BO51" si="28">BJ27*15</f>
        <v>0</v>
      </c>
      <c r="BK51" s="24">
        <f t="shared" si="28"/>
        <v>0</v>
      </c>
      <c r="BL51" s="24">
        <f t="shared" si="28"/>
        <v>0</v>
      </c>
      <c r="BM51" s="24">
        <f t="shared" si="28"/>
        <v>0</v>
      </c>
      <c r="BN51" s="24">
        <f t="shared" si="28"/>
        <v>0</v>
      </c>
      <c r="BO51" s="24">
        <f t="shared" si="28"/>
        <v>0</v>
      </c>
      <c r="BP51" s="24"/>
      <c r="BQ51" s="24"/>
    </row>
    <row r="52" spans="1:70" x14ac:dyDescent="0.3">
      <c r="D52" s="26"/>
      <c r="E52" s="26" t="s">
        <v>73</v>
      </c>
      <c r="F52" s="27">
        <f>SUM(F30:F51)</f>
        <v>0</v>
      </c>
      <c r="G52" s="27">
        <f>SUM(G30:G51)</f>
        <v>0</v>
      </c>
      <c r="H52" s="27">
        <f>SUM(H30:H51)</f>
        <v>0</v>
      </c>
      <c r="I52" s="27">
        <f t="shared" ref="I52:BI52" si="29">SUM(I30:I51)</f>
        <v>0</v>
      </c>
      <c r="J52" s="27">
        <f t="shared" si="29"/>
        <v>1825</v>
      </c>
      <c r="K52" s="27">
        <f t="shared" si="29"/>
        <v>0</v>
      </c>
      <c r="L52" s="27">
        <f t="shared" si="29"/>
        <v>1755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si="29"/>
        <v>675</v>
      </c>
      <c r="Y52" s="27">
        <f t="shared" si="29"/>
        <v>0</v>
      </c>
      <c r="Z52" s="27">
        <f t="shared" si="29"/>
        <v>1820</v>
      </c>
      <c r="AA52" s="27">
        <f t="shared" si="29"/>
        <v>265</v>
      </c>
      <c r="AB52" s="27">
        <f t="shared" si="29"/>
        <v>990</v>
      </c>
      <c r="AC52" s="27">
        <f t="shared" si="29"/>
        <v>90</v>
      </c>
      <c r="AD52" s="27">
        <f t="shared" si="29"/>
        <v>0</v>
      </c>
      <c r="AE52" s="27">
        <f t="shared" si="29"/>
        <v>0</v>
      </c>
      <c r="AF52" s="27">
        <f t="shared" si="29"/>
        <v>0</v>
      </c>
      <c r="AG52" s="27">
        <f t="shared" si="29"/>
        <v>0</v>
      </c>
      <c r="AH52" s="27">
        <f t="shared" si="29"/>
        <v>0</v>
      </c>
      <c r="AI52" s="27">
        <f t="shared" si="29"/>
        <v>0</v>
      </c>
      <c r="AJ52" s="27">
        <f t="shared" si="29"/>
        <v>0</v>
      </c>
      <c r="AK52" s="27">
        <f t="shared" si="29"/>
        <v>0</v>
      </c>
      <c r="AL52" s="27">
        <f t="shared" si="29"/>
        <v>270</v>
      </c>
      <c r="AM52" s="27">
        <f t="shared" si="29"/>
        <v>0</v>
      </c>
      <c r="AN52" s="27">
        <f t="shared" si="29"/>
        <v>1170</v>
      </c>
      <c r="AO52" s="27">
        <f t="shared" si="29"/>
        <v>0</v>
      </c>
      <c r="AP52" s="27">
        <f t="shared" si="29"/>
        <v>855</v>
      </c>
      <c r="AQ52" s="27">
        <f t="shared" si="29"/>
        <v>70</v>
      </c>
      <c r="AR52" s="27">
        <f t="shared" si="29"/>
        <v>2340</v>
      </c>
      <c r="AS52" s="27">
        <f t="shared" si="29"/>
        <v>375</v>
      </c>
      <c r="AT52" s="27">
        <f t="shared" si="29"/>
        <v>1795</v>
      </c>
      <c r="AU52" s="27">
        <f t="shared" si="29"/>
        <v>60</v>
      </c>
      <c r="AV52" s="27">
        <f t="shared" si="29"/>
        <v>0</v>
      </c>
      <c r="AW52" s="27">
        <f t="shared" si="29"/>
        <v>0</v>
      </c>
      <c r="AX52" s="27">
        <f t="shared" si="29"/>
        <v>0</v>
      </c>
      <c r="AY52" s="27">
        <f t="shared" si="29"/>
        <v>0</v>
      </c>
      <c r="AZ52" s="27">
        <f t="shared" si="29"/>
        <v>0</v>
      </c>
      <c r="BA52" s="27">
        <f t="shared" si="29"/>
        <v>0</v>
      </c>
      <c r="BB52" s="27">
        <f t="shared" si="29"/>
        <v>735</v>
      </c>
      <c r="BC52" s="27">
        <f t="shared" si="29"/>
        <v>0</v>
      </c>
      <c r="BD52" s="27">
        <f t="shared" si="29"/>
        <v>910</v>
      </c>
      <c r="BE52" s="27">
        <f t="shared" si="29"/>
        <v>0</v>
      </c>
      <c r="BF52" s="27">
        <f t="shared" si="29"/>
        <v>1385</v>
      </c>
      <c r="BG52" s="27">
        <f t="shared" si="29"/>
        <v>165</v>
      </c>
      <c r="BH52" s="27">
        <f t="shared" si="29"/>
        <v>1120</v>
      </c>
      <c r="BI52" s="27">
        <f t="shared" si="29"/>
        <v>0</v>
      </c>
      <c r="BJ52" s="27">
        <f t="shared" ref="BJ52:BO52" si="30">SUM(BJ30:BJ51)</f>
        <v>0</v>
      </c>
      <c r="BK52" s="27">
        <f t="shared" si="30"/>
        <v>0</v>
      </c>
      <c r="BL52" s="27">
        <f t="shared" si="30"/>
        <v>0</v>
      </c>
      <c r="BM52" s="27">
        <f t="shared" si="30"/>
        <v>0</v>
      </c>
      <c r="BN52" s="27">
        <f t="shared" si="30"/>
        <v>0</v>
      </c>
      <c r="BO52" s="27">
        <f t="shared" si="30"/>
        <v>0</v>
      </c>
      <c r="BP52" s="24">
        <f>SUM(F52:BO52)</f>
        <v>18670</v>
      </c>
      <c r="BR52" s="24"/>
    </row>
    <row r="54" spans="1:70" x14ac:dyDescent="0.3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1:70" x14ac:dyDescent="0.3">
      <c r="F55" s="8" t="s">
        <v>8</v>
      </c>
      <c r="G55" s="8" t="s">
        <v>11</v>
      </c>
      <c r="H55" s="8" t="s">
        <v>12</v>
      </c>
      <c r="I55" s="8">
        <v>45</v>
      </c>
      <c r="J55" s="8">
        <v>0</v>
      </c>
      <c r="AR55" s="29"/>
      <c r="AS55" s="29"/>
      <c r="AT55" s="29"/>
    </row>
    <row r="56" spans="1:70" x14ac:dyDescent="0.3">
      <c r="F56" s="8" t="s">
        <v>13</v>
      </c>
      <c r="G56" s="8" t="s">
        <v>16</v>
      </c>
      <c r="H56" s="8" t="s">
        <v>12</v>
      </c>
      <c r="I56" s="8">
        <v>53</v>
      </c>
      <c r="J56" s="8">
        <v>0</v>
      </c>
    </row>
    <row r="57" spans="1:70" x14ac:dyDescent="0.3">
      <c r="F57" s="8" t="s">
        <v>17</v>
      </c>
      <c r="G57" s="8" t="s">
        <v>20</v>
      </c>
      <c r="H57" s="8" t="s">
        <v>12</v>
      </c>
      <c r="I57" s="8">
        <v>37</v>
      </c>
      <c r="J57" s="8">
        <v>0</v>
      </c>
    </row>
    <row r="58" spans="1:70" x14ac:dyDescent="0.3">
      <c r="A58" s="22"/>
      <c r="B58" s="22"/>
      <c r="C58" s="22"/>
      <c r="D58" s="22"/>
      <c r="F58" s="8" t="s">
        <v>21</v>
      </c>
      <c r="G58" s="8" t="s">
        <v>24</v>
      </c>
      <c r="H58" s="8" t="s">
        <v>25</v>
      </c>
      <c r="I58" s="30">
        <v>26</v>
      </c>
      <c r="J58" s="8">
        <v>0</v>
      </c>
    </row>
    <row r="59" spans="1:70" x14ac:dyDescent="0.3">
      <c r="F59" s="8" t="s">
        <v>26</v>
      </c>
      <c r="G59" s="8" t="s">
        <v>29</v>
      </c>
      <c r="H59" s="8" t="s">
        <v>12</v>
      </c>
      <c r="I59" s="8">
        <v>32</v>
      </c>
      <c r="J59" s="8">
        <v>0</v>
      </c>
    </row>
    <row r="60" spans="1:70" x14ac:dyDescent="0.3">
      <c r="F60" s="8" t="s">
        <v>30</v>
      </c>
      <c r="G60" s="8" t="s">
        <v>32</v>
      </c>
      <c r="H60" s="8" t="s">
        <v>25</v>
      </c>
      <c r="I60" s="8">
        <v>32</v>
      </c>
      <c r="J60" s="8">
        <v>0</v>
      </c>
    </row>
    <row r="61" spans="1:70" x14ac:dyDescent="0.3">
      <c r="F61" s="8" t="s">
        <v>33</v>
      </c>
      <c r="G61" s="8" t="s">
        <v>75</v>
      </c>
      <c r="H61" s="8" t="s">
        <v>35</v>
      </c>
      <c r="I61" s="8">
        <v>29</v>
      </c>
      <c r="J61" s="8">
        <v>0</v>
      </c>
    </row>
    <row r="62" spans="1:70" x14ac:dyDescent="0.3">
      <c r="F62" s="8" t="s">
        <v>36</v>
      </c>
      <c r="G62" s="8" t="s">
        <v>38</v>
      </c>
      <c r="H62" s="8" t="s">
        <v>35</v>
      </c>
      <c r="I62" s="8">
        <v>25</v>
      </c>
      <c r="J62" s="8">
        <v>0</v>
      </c>
    </row>
    <row r="63" spans="1:70" x14ac:dyDescent="0.3">
      <c r="F63" s="8" t="s">
        <v>39</v>
      </c>
      <c r="G63" s="8" t="s">
        <v>41</v>
      </c>
      <c r="H63" s="8" t="s">
        <v>42</v>
      </c>
      <c r="I63" s="8">
        <v>38</v>
      </c>
      <c r="J63" s="8">
        <v>0</v>
      </c>
    </row>
    <row r="64" spans="1:70" x14ac:dyDescent="0.3">
      <c r="F64" s="8" t="s">
        <v>43</v>
      </c>
      <c r="G64" s="8" t="s">
        <v>45</v>
      </c>
      <c r="H64" s="8" t="s">
        <v>45</v>
      </c>
      <c r="I64" s="8">
        <v>17</v>
      </c>
      <c r="J64" s="8">
        <v>2</v>
      </c>
    </row>
    <row r="65" spans="6:10" x14ac:dyDescent="0.3">
      <c r="F65" s="8" t="s">
        <v>46</v>
      </c>
      <c r="G65" s="8" t="s">
        <v>47</v>
      </c>
      <c r="H65" s="8" t="s">
        <v>48</v>
      </c>
      <c r="I65" s="8">
        <v>20</v>
      </c>
      <c r="J65" s="8">
        <v>0</v>
      </c>
    </row>
    <row r="66" spans="6:10" x14ac:dyDescent="0.3">
      <c r="F66" s="8" t="s">
        <v>49</v>
      </c>
      <c r="G66" s="8" t="s">
        <v>50</v>
      </c>
      <c r="H66" s="8" t="s">
        <v>50</v>
      </c>
      <c r="I66" s="8">
        <v>31</v>
      </c>
      <c r="J66" s="8">
        <v>0</v>
      </c>
    </row>
    <row r="67" spans="6:10" x14ac:dyDescent="0.3">
      <c r="F67" s="16" t="s">
        <v>51</v>
      </c>
      <c r="G67" s="16" t="s">
        <v>52</v>
      </c>
      <c r="H67" s="16" t="s">
        <v>52</v>
      </c>
      <c r="I67" s="8">
        <v>18</v>
      </c>
      <c r="J67" s="8">
        <v>0</v>
      </c>
    </row>
    <row r="68" spans="6:10" x14ac:dyDescent="0.3">
      <c r="F68" s="16" t="s">
        <v>53</v>
      </c>
      <c r="G68" s="16" t="s">
        <v>54</v>
      </c>
      <c r="H68" s="16" t="s">
        <v>54</v>
      </c>
      <c r="I68" s="8">
        <v>20</v>
      </c>
      <c r="J68" s="8">
        <v>1</v>
      </c>
    </row>
    <row r="69" spans="6:10" x14ac:dyDescent="0.3">
      <c r="F69" s="16" t="s">
        <v>55</v>
      </c>
      <c r="G69" s="16" t="s">
        <v>56</v>
      </c>
      <c r="H69" s="16" t="s">
        <v>56</v>
      </c>
      <c r="I69" s="8">
        <v>23</v>
      </c>
      <c r="J69" s="8">
        <v>2</v>
      </c>
    </row>
    <row r="70" spans="6:10" x14ac:dyDescent="0.3">
      <c r="F70" s="16" t="s">
        <v>57</v>
      </c>
      <c r="G70" s="16" t="s">
        <v>58</v>
      </c>
      <c r="H70" s="16" t="s">
        <v>58</v>
      </c>
      <c r="I70" s="8">
        <v>21</v>
      </c>
      <c r="J70" s="8">
        <v>0</v>
      </c>
    </row>
    <row r="71" spans="6:10" x14ac:dyDescent="0.3">
      <c r="F71" s="16" t="s">
        <v>59</v>
      </c>
      <c r="G71" s="16" t="s">
        <v>60</v>
      </c>
      <c r="H71" s="16" t="s">
        <v>60</v>
      </c>
      <c r="I71" s="31">
        <v>21</v>
      </c>
      <c r="J71" s="8">
        <v>2</v>
      </c>
    </row>
    <row r="72" spans="6:10" x14ac:dyDescent="0.3">
      <c r="F72" s="16" t="s">
        <v>61</v>
      </c>
      <c r="G72" s="16" t="s">
        <v>76</v>
      </c>
      <c r="H72" s="16" t="s">
        <v>64</v>
      </c>
      <c r="I72" s="31">
        <v>26</v>
      </c>
      <c r="J72" s="8">
        <v>0</v>
      </c>
    </row>
    <row r="73" spans="6:10" x14ac:dyDescent="0.3">
      <c r="F73" s="16" t="s">
        <v>65</v>
      </c>
      <c r="G73" s="16" t="s">
        <v>69</v>
      </c>
      <c r="H73" s="16" t="s">
        <v>69</v>
      </c>
      <c r="I73" s="8">
        <v>20</v>
      </c>
      <c r="J73" s="8">
        <v>4</v>
      </c>
    </row>
    <row r="74" spans="6:10" x14ac:dyDescent="0.3">
      <c r="F74" s="16" t="s">
        <v>68</v>
      </c>
      <c r="G74" s="16" t="s">
        <v>67</v>
      </c>
      <c r="H74" s="16" t="s">
        <v>67</v>
      </c>
      <c r="I74" s="8">
        <v>31</v>
      </c>
      <c r="J74" s="8">
        <v>0</v>
      </c>
    </row>
    <row r="75" spans="6:10" x14ac:dyDescent="0.3">
      <c r="F75" s="16" t="s">
        <v>70</v>
      </c>
      <c r="G75" s="16" t="s">
        <v>72</v>
      </c>
      <c r="H75" s="16" t="s">
        <v>72</v>
      </c>
      <c r="I75" s="8">
        <v>22</v>
      </c>
      <c r="J75" s="8">
        <v>5</v>
      </c>
    </row>
    <row r="76" spans="6:10" x14ac:dyDescent="0.3">
      <c r="F76" s="16" t="s">
        <v>78</v>
      </c>
      <c r="G76" s="16" t="s">
        <v>12</v>
      </c>
      <c r="H76" s="16" t="s">
        <v>12</v>
      </c>
      <c r="I76" s="8">
        <v>90</v>
      </c>
      <c r="J76" s="8">
        <v>29</v>
      </c>
    </row>
    <row r="77" spans="6:10" x14ac:dyDescent="0.3">
      <c r="F77" s="32"/>
      <c r="G77" s="33" t="s">
        <v>77</v>
      </c>
      <c r="H77" s="34"/>
      <c r="I77" s="60">
        <f>18670*117.3737</f>
        <v>2191366.9789999998</v>
      </c>
      <c r="J77" s="60"/>
    </row>
  </sheetData>
  <mergeCells count="37">
    <mergeCell ref="BN4:BO4"/>
    <mergeCell ref="D31:E31"/>
    <mergeCell ref="D32:E32"/>
    <mergeCell ref="D33:E33"/>
    <mergeCell ref="I77:J77"/>
    <mergeCell ref="BJ4:BK4"/>
    <mergeCell ref="BL4:BM4"/>
    <mergeCell ref="AZ4:BA4"/>
    <mergeCell ref="BB4:BC4"/>
    <mergeCell ref="BD4:BE4"/>
    <mergeCell ref="BF4:BG4"/>
    <mergeCell ref="BH4:BI4"/>
    <mergeCell ref="D30:E30"/>
    <mergeCell ref="AN4:AO4"/>
    <mergeCell ref="AP4:AQ4"/>
    <mergeCell ref="AR4:AS4"/>
    <mergeCell ref="AT4:AU4"/>
    <mergeCell ref="AV4:AW4"/>
    <mergeCell ref="AX4:AY4"/>
    <mergeCell ref="AB4:AC4"/>
    <mergeCell ref="AD4:AE4"/>
    <mergeCell ref="AF4:AG4"/>
    <mergeCell ref="AH4:AI4"/>
    <mergeCell ref="AJ4:AK4"/>
    <mergeCell ref="AL4:AM4"/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hyperlinks>
    <hyperlink ref="C8" r:id="rId1" xr:uid="{64A7DA18-6F42-4843-8C90-01144256BFD5}"/>
    <hyperlink ref="C10" r:id="rId2" xr:uid="{57E92B6E-6EE1-4A5F-86AA-A088410BCBE9}"/>
    <hyperlink ref="C15" r:id="rId3" xr:uid="{C77C7AD2-AB1A-4FFB-9B5F-5B3E7299B648}"/>
    <hyperlink ref="C7" r:id="rId4" xr:uid="{1DADA90C-6725-4C33-9B5C-60FBAD691EE1}"/>
    <hyperlink ref="C13" r:id="rId5" xr:uid="{5B6B4E8F-A607-4F31-8C8E-5A9E29DF0BA7}"/>
    <hyperlink ref="C23" r:id="rId6" display="mailto:bigcacak@madamecoco.com" xr:uid="{1BD8982B-C2EB-48EA-BC39-FC6A9A7D1A2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65EC-7B88-4BF9-9616-7B9FBD4324E2}">
  <dimension ref="A3:BQ77"/>
  <sheetViews>
    <sheetView topLeftCell="A53" workbookViewId="0">
      <selection activeCell="I78" sqref="I78"/>
    </sheetView>
  </sheetViews>
  <sheetFormatPr defaultRowHeight="14.4" x14ac:dyDescent="0.3"/>
  <cols>
    <col min="1" max="1" width="23.109375" customWidth="1"/>
    <col min="2" max="2" width="14.44140625" customWidth="1"/>
    <col min="3" max="3" width="31.6640625" customWidth="1"/>
    <col min="4" max="4" width="19.44140625" customWidth="1"/>
    <col min="5" max="5" width="17.6640625" customWidth="1"/>
    <col min="6" max="6" width="12.88671875" customWidth="1"/>
    <col min="7" max="7" width="17.88671875" customWidth="1"/>
    <col min="8" max="8" width="14.33203125" customWidth="1"/>
    <col min="9" max="9" width="11.33203125" customWidth="1"/>
    <col min="10" max="10" width="12.44140625" customWidth="1"/>
    <col min="12" max="12" width="13.88671875" customWidth="1"/>
    <col min="13" max="13" width="11.21875" customWidth="1"/>
    <col min="14" max="14" width="12.33203125" customWidth="1"/>
    <col min="15" max="15" width="14.44140625" customWidth="1"/>
    <col min="16" max="16" width="13.6640625" customWidth="1"/>
    <col min="17" max="17" width="12" customWidth="1"/>
    <col min="18" max="18" width="12.5546875" customWidth="1"/>
    <col min="20" max="20" width="11.6640625" customWidth="1"/>
    <col min="22" max="22" width="13.77734375" customWidth="1"/>
    <col min="23" max="23" width="12.5546875" customWidth="1"/>
    <col min="24" max="24" width="13.44140625" customWidth="1"/>
    <col min="26" max="26" width="12.33203125" customWidth="1"/>
    <col min="28" max="28" width="11.6640625" customWidth="1"/>
    <col min="30" max="30" width="12.33203125" customWidth="1"/>
    <col min="31" max="31" width="10.44140625" customWidth="1"/>
    <col min="32" max="32" width="13.88671875" customWidth="1"/>
    <col min="33" max="33" width="9.77734375" customWidth="1"/>
    <col min="34" max="34" width="10.33203125" customWidth="1"/>
    <col min="35" max="35" width="10.5546875" customWidth="1"/>
    <col min="36" max="36" width="11.109375" customWidth="1"/>
    <col min="37" max="37" width="10.33203125" customWidth="1"/>
    <col min="38" max="38" width="13.21875" customWidth="1"/>
    <col min="39" max="39" width="11.88671875" customWidth="1"/>
    <col min="40" max="40" width="12.109375" customWidth="1"/>
    <col min="42" max="42" width="13.88671875" customWidth="1"/>
    <col min="43" max="43" width="11.21875" customWidth="1"/>
    <col min="44" max="44" width="12.109375" customWidth="1"/>
    <col min="45" max="45" width="10.88671875" customWidth="1"/>
    <col min="46" max="46" width="12.21875" customWidth="1"/>
    <col min="47" max="47" width="10.5546875" customWidth="1"/>
    <col min="48" max="48" width="11.6640625" customWidth="1"/>
    <col min="49" max="49" width="14.77734375" customWidth="1"/>
    <col min="50" max="50" width="10.44140625" customWidth="1"/>
    <col min="51" max="51" width="11.5546875" customWidth="1"/>
    <col min="52" max="52" width="14.109375" customWidth="1"/>
    <col min="54" max="54" width="12" customWidth="1"/>
    <col min="56" max="56" width="13.6640625" customWidth="1"/>
    <col min="57" max="57" width="9.88671875" customWidth="1"/>
    <col min="58" max="58" width="12" customWidth="1"/>
    <col min="59" max="59" width="10.6640625" customWidth="1"/>
    <col min="60" max="60" width="12.6640625" customWidth="1"/>
    <col min="61" max="61" width="11.77734375" customWidth="1"/>
    <col min="62" max="62" width="12.6640625" customWidth="1"/>
    <col min="64" max="64" width="11.5546875" customWidth="1"/>
    <col min="65" max="65" width="11.44140625" customWidth="1"/>
    <col min="66" max="66" width="14.21875" customWidth="1"/>
    <col min="68" max="68" width="17.21875" customWidth="1"/>
    <col min="69" max="69" width="10.88671875" customWidth="1"/>
  </cols>
  <sheetData>
    <row r="3" spans="1:65" ht="18" x14ac:dyDescent="0.35">
      <c r="A3" s="61"/>
      <c r="B3" s="61"/>
      <c r="C3" s="1" t="s">
        <v>0</v>
      </c>
    </row>
    <row r="4" spans="1:65" x14ac:dyDescent="0.3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57">
        <v>46113</v>
      </c>
      <c r="G4" s="58"/>
      <c r="H4" s="57">
        <v>46114</v>
      </c>
      <c r="I4" s="58"/>
      <c r="J4" s="57">
        <v>46115</v>
      </c>
      <c r="K4" s="58"/>
      <c r="L4" s="64">
        <v>46116</v>
      </c>
      <c r="M4" s="65"/>
      <c r="N4" s="64">
        <v>46117</v>
      </c>
      <c r="O4" s="65"/>
      <c r="P4" s="57">
        <v>46118</v>
      </c>
      <c r="Q4" s="58"/>
      <c r="R4" s="57">
        <v>46119</v>
      </c>
      <c r="S4" s="58"/>
      <c r="T4" s="57">
        <v>46120</v>
      </c>
      <c r="U4" s="58"/>
      <c r="V4" s="57">
        <v>46121</v>
      </c>
      <c r="W4" s="58"/>
      <c r="X4" s="57">
        <v>46122</v>
      </c>
      <c r="Y4" s="58"/>
      <c r="Z4" s="64">
        <v>46123</v>
      </c>
      <c r="AA4" s="65"/>
      <c r="AB4" s="64">
        <v>46124</v>
      </c>
      <c r="AC4" s="65"/>
      <c r="AD4" s="57">
        <v>46125</v>
      </c>
      <c r="AE4" s="58"/>
      <c r="AF4" s="57">
        <v>46126</v>
      </c>
      <c r="AG4" s="58"/>
      <c r="AH4" s="57">
        <v>46127</v>
      </c>
      <c r="AI4" s="58"/>
      <c r="AJ4" s="57">
        <v>46128</v>
      </c>
      <c r="AK4" s="58"/>
      <c r="AL4" s="57">
        <v>46129</v>
      </c>
      <c r="AM4" s="58"/>
      <c r="AN4" s="64">
        <v>46130</v>
      </c>
      <c r="AO4" s="65"/>
      <c r="AP4" s="64">
        <v>46131</v>
      </c>
      <c r="AQ4" s="65"/>
      <c r="AR4" s="57">
        <v>46132</v>
      </c>
      <c r="AS4" s="58"/>
      <c r="AT4" s="57">
        <v>46133</v>
      </c>
      <c r="AU4" s="58"/>
      <c r="AV4" s="57">
        <v>46134</v>
      </c>
      <c r="AW4" s="58"/>
      <c r="AX4" s="57">
        <v>46135</v>
      </c>
      <c r="AY4" s="58"/>
      <c r="AZ4" s="57">
        <v>46136</v>
      </c>
      <c r="BA4" s="58"/>
      <c r="BB4" s="64">
        <v>46137</v>
      </c>
      <c r="BC4" s="65"/>
      <c r="BD4" s="64">
        <v>46138</v>
      </c>
      <c r="BE4" s="65"/>
      <c r="BF4" s="57">
        <v>46139</v>
      </c>
      <c r="BG4" s="58"/>
      <c r="BH4" s="57">
        <v>46140</v>
      </c>
      <c r="BI4" s="58"/>
      <c r="BJ4" s="57">
        <v>46141</v>
      </c>
      <c r="BK4" s="58"/>
      <c r="BL4" s="57">
        <v>46142</v>
      </c>
      <c r="BM4" s="58"/>
    </row>
    <row r="5" spans="1:65" x14ac:dyDescent="0.3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4" t="s">
        <v>6</v>
      </c>
      <c r="K5" s="4" t="s">
        <v>7</v>
      </c>
      <c r="L5" s="47" t="s">
        <v>6</v>
      </c>
      <c r="M5" s="47" t="s">
        <v>7</v>
      </c>
      <c r="N5" s="47" t="s">
        <v>6</v>
      </c>
      <c r="O5" s="47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4" t="s">
        <v>6</v>
      </c>
      <c r="Y5" s="4" t="s">
        <v>7</v>
      </c>
      <c r="Z5" s="47" t="s">
        <v>6</v>
      </c>
      <c r="AA5" s="47" t="s">
        <v>7</v>
      </c>
      <c r="AB5" s="47" t="s">
        <v>6</v>
      </c>
      <c r="AC5" s="47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4" t="s">
        <v>6</v>
      </c>
      <c r="AM5" s="4" t="s">
        <v>7</v>
      </c>
      <c r="AN5" s="47" t="s">
        <v>6</v>
      </c>
      <c r="AO5" s="47" t="s">
        <v>7</v>
      </c>
      <c r="AP5" s="47" t="s">
        <v>6</v>
      </c>
      <c r="AQ5" s="47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4" t="s">
        <v>6</v>
      </c>
      <c r="BA5" s="4" t="s">
        <v>7</v>
      </c>
      <c r="BB5" s="47" t="s">
        <v>6</v>
      </c>
      <c r="BC5" s="47" t="s">
        <v>7</v>
      </c>
      <c r="BD5" s="47" t="s">
        <v>6</v>
      </c>
      <c r="BE5" s="47" t="s">
        <v>7</v>
      </c>
      <c r="BF5" s="5" t="s">
        <v>6</v>
      </c>
      <c r="BG5" s="5" t="s">
        <v>7</v>
      </c>
      <c r="BH5" s="5" t="s">
        <v>6</v>
      </c>
      <c r="BI5" s="5" t="s">
        <v>7</v>
      </c>
      <c r="BJ5" s="5" t="s">
        <v>6</v>
      </c>
      <c r="BK5" s="5" t="s">
        <v>7</v>
      </c>
      <c r="BL5" s="5" t="s">
        <v>7</v>
      </c>
      <c r="BM5" s="5" t="s">
        <v>7</v>
      </c>
    </row>
    <row r="6" spans="1:65" x14ac:dyDescent="0.3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9"/>
      <c r="G6" s="10"/>
      <c r="H6" s="10">
        <v>18</v>
      </c>
      <c r="I6" s="10"/>
      <c r="J6" s="10"/>
      <c r="K6" s="10"/>
      <c r="L6" s="48"/>
      <c r="M6" s="48"/>
      <c r="N6" s="48"/>
      <c r="O6" s="48"/>
      <c r="P6" s="10"/>
      <c r="Q6" s="10"/>
      <c r="R6" s="10"/>
      <c r="S6" s="10"/>
      <c r="T6" s="10">
        <v>14</v>
      </c>
      <c r="U6" s="10"/>
      <c r="V6" s="10"/>
      <c r="W6" s="10"/>
      <c r="X6" s="10"/>
      <c r="Y6" s="10"/>
      <c r="Z6" s="48"/>
      <c r="AA6" s="48"/>
      <c r="AB6" s="48"/>
      <c r="AC6" s="48"/>
      <c r="AD6" s="10"/>
      <c r="AE6" s="10"/>
      <c r="AF6" s="10"/>
      <c r="AG6" s="10"/>
      <c r="AH6" s="10"/>
      <c r="AI6" s="10"/>
      <c r="AJ6" s="10">
        <v>9</v>
      </c>
      <c r="AK6" s="10"/>
      <c r="AL6" s="10"/>
      <c r="AM6" s="10"/>
      <c r="AN6" s="48"/>
      <c r="AO6" s="48"/>
      <c r="AP6" s="48"/>
      <c r="AQ6" s="48"/>
      <c r="AR6" s="10"/>
      <c r="AS6" s="10"/>
      <c r="AT6" s="10">
        <v>9</v>
      </c>
      <c r="AU6" s="10"/>
      <c r="AV6" s="10"/>
      <c r="AW6" s="10"/>
      <c r="AX6" s="10">
        <v>14</v>
      </c>
      <c r="AY6" s="10"/>
      <c r="AZ6" s="10"/>
      <c r="BA6" s="10"/>
      <c r="BB6" s="48"/>
      <c r="BC6" s="48"/>
      <c r="BD6" s="48"/>
      <c r="BE6" s="48"/>
      <c r="BF6" s="10"/>
      <c r="BG6" s="10"/>
      <c r="BH6" s="10"/>
      <c r="BI6" s="10"/>
      <c r="BJ6" s="10">
        <v>13</v>
      </c>
      <c r="BK6" s="10"/>
      <c r="BL6" s="46"/>
      <c r="BM6" s="46"/>
    </row>
    <row r="7" spans="1:65" x14ac:dyDescent="0.3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9"/>
      <c r="G7" s="10"/>
      <c r="H7" s="10">
        <v>18</v>
      </c>
      <c r="I7" s="10"/>
      <c r="J7" s="10"/>
      <c r="K7" s="10"/>
      <c r="L7" s="48"/>
      <c r="M7" s="48"/>
      <c r="N7" s="48"/>
      <c r="O7" s="48"/>
      <c r="P7" s="10"/>
      <c r="Q7" s="10"/>
      <c r="R7" s="10"/>
      <c r="S7" s="10"/>
      <c r="T7" s="10">
        <v>14</v>
      </c>
      <c r="U7" s="10"/>
      <c r="V7" s="10"/>
      <c r="W7" s="10"/>
      <c r="X7" s="10"/>
      <c r="Y7" s="10"/>
      <c r="Z7" s="48"/>
      <c r="AA7" s="48"/>
      <c r="AB7" s="48"/>
      <c r="AC7" s="48"/>
      <c r="AD7" s="10"/>
      <c r="AE7" s="10"/>
      <c r="AF7" s="10"/>
      <c r="AG7" s="10"/>
      <c r="AH7" s="10"/>
      <c r="AI7" s="10"/>
      <c r="AJ7" s="10">
        <v>11</v>
      </c>
      <c r="AK7" s="10"/>
      <c r="AL7" s="10"/>
      <c r="AM7" s="10"/>
      <c r="AN7" s="48"/>
      <c r="AO7" s="48"/>
      <c r="AP7" s="48"/>
      <c r="AQ7" s="48"/>
      <c r="AR7" s="10"/>
      <c r="AS7" s="10"/>
      <c r="AT7" s="10"/>
      <c r="AU7" s="10"/>
      <c r="AV7" s="10"/>
      <c r="AW7" s="10"/>
      <c r="AX7" s="10">
        <v>16</v>
      </c>
      <c r="AY7" s="10"/>
      <c r="AZ7" s="10"/>
      <c r="BA7" s="10"/>
      <c r="BB7" s="48"/>
      <c r="BC7" s="48"/>
      <c r="BD7" s="48"/>
      <c r="BE7" s="48"/>
      <c r="BF7" s="10"/>
      <c r="BG7" s="10"/>
      <c r="BH7" s="10"/>
      <c r="BI7" s="10"/>
      <c r="BJ7" s="10"/>
      <c r="BK7" s="10"/>
      <c r="BL7" s="46"/>
      <c r="BM7" s="46"/>
    </row>
    <row r="8" spans="1:65" x14ac:dyDescent="0.3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9"/>
      <c r="G8" s="10"/>
      <c r="H8" s="10">
        <v>13</v>
      </c>
      <c r="I8" s="10"/>
      <c r="J8" s="10">
        <v>1</v>
      </c>
      <c r="K8" s="10"/>
      <c r="L8" s="48"/>
      <c r="M8" s="48"/>
      <c r="N8" s="48"/>
      <c r="O8" s="48"/>
      <c r="P8" s="10"/>
      <c r="Q8" s="10"/>
      <c r="R8" s="10"/>
      <c r="S8" s="10"/>
      <c r="T8" s="10">
        <v>10</v>
      </c>
      <c r="U8" s="10"/>
      <c r="V8" s="10"/>
      <c r="W8" s="10"/>
      <c r="X8" s="10"/>
      <c r="Y8" s="10"/>
      <c r="Z8" s="48"/>
      <c r="AA8" s="48"/>
      <c r="AB8" s="48"/>
      <c r="AC8" s="48"/>
      <c r="AD8" s="10"/>
      <c r="AE8" s="10"/>
      <c r="AF8" s="10"/>
      <c r="AG8" s="10"/>
      <c r="AH8" s="10"/>
      <c r="AI8" s="10"/>
      <c r="AJ8" s="10">
        <v>11</v>
      </c>
      <c r="AK8" s="10"/>
      <c r="AL8" s="10"/>
      <c r="AM8" s="10"/>
      <c r="AN8" s="48"/>
      <c r="AO8" s="48"/>
      <c r="AP8" s="48"/>
      <c r="AQ8" s="48"/>
      <c r="AR8" s="10"/>
      <c r="AS8" s="10"/>
      <c r="AT8" s="10"/>
      <c r="AU8" s="10"/>
      <c r="AV8" s="10"/>
      <c r="AW8" s="10"/>
      <c r="AX8" s="10">
        <v>14</v>
      </c>
      <c r="AY8" s="10"/>
      <c r="AZ8" s="10"/>
      <c r="BA8" s="10"/>
      <c r="BB8" s="48"/>
      <c r="BC8" s="48"/>
      <c r="BD8" s="48"/>
      <c r="BE8" s="48"/>
      <c r="BF8" s="10"/>
      <c r="BG8" s="10"/>
      <c r="BH8" s="10"/>
      <c r="BI8" s="10"/>
      <c r="BJ8" s="10"/>
      <c r="BK8" s="10"/>
      <c r="BL8" s="46"/>
      <c r="BM8" s="46"/>
    </row>
    <row r="9" spans="1:65" x14ac:dyDescent="0.3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9"/>
      <c r="G9" s="10"/>
      <c r="H9" s="10"/>
      <c r="I9" s="10"/>
      <c r="J9" s="10"/>
      <c r="K9" s="10"/>
      <c r="L9" s="48"/>
      <c r="M9" s="48"/>
      <c r="N9" s="48"/>
      <c r="O9" s="48"/>
      <c r="P9" s="10"/>
      <c r="Q9" s="10"/>
      <c r="R9" s="10"/>
      <c r="S9" s="10"/>
      <c r="T9" s="10"/>
      <c r="U9" s="10"/>
      <c r="V9" s="10">
        <v>9</v>
      </c>
      <c r="W9" s="10"/>
      <c r="X9" s="10"/>
      <c r="Y9" s="10"/>
      <c r="Z9" s="48"/>
      <c r="AA9" s="48"/>
      <c r="AB9" s="48"/>
      <c r="AC9" s="48"/>
      <c r="AD9" s="10"/>
      <c r="AE9" s="10"/>
      <c r="AF9" s="10"/>
      <c r="AG9" s="10"/>
      <c r="AH9" s="10"/>
      <c r="AI9" s="10"/>
      <c r="AJ9" s="10"/>
      <c r="AK9" s="10"/>
      <c r="AL9" s="10">
        <v>9</v>
      </c>
      <c r="AM9" s="10"/>
      <c r="AN9" s="48"/>
      <c r="AO9" s="48"/>
      <c r="AP9" s="48"/>
      <c r="AQ9" s="48"/>
      <c r="AR9" s="10"/>
      <c r="AS9" s="10"/>
      <c r="AT9" s="10"/>
      <c r="AU9" s="10"/>
      <c r="AV9" s="10"/>
      <c r="AW9" s="10"/>
      <c r="AX9" s="10"/>
      <c r="AY9" s="10"/>
      <c r="AZ9" s="10">
        <v>8</v>
      </c>
      <c r="BA9" s="10"/>
      <c r="BB9" s="48"/>
      <c r="BC9" s="48"/>
      <c r="BD9" s="48"/>
      <c r="BE9" s="48"/>
      <c r="BF9" s="10"/>
      <c r="BG9" s="10"/>
      <c r="BH9" s="10"/>
      <c r="BI9" s="10"/>
      <c r="BJ9" s="10"/>
      <c r="BK9" s="10"/>
      <c r="BL9" s="46"/>
      <c r="BM9" s="46"/>
    </row>
    <row r="10" spans="1:65" x14ac:dyDescent="0.3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9"/>
      <c r="G10" s="10"/>
      <c r="H10" s="10"/>
      <c r="I10" s="12"/>
      <c r="J10" s="10">
        <v>13</v>
      </c>
      <c r="K10" s="12"/>
      <c r="L10" s="48"/>
      <c r="M10" s="49"/>
      <c r="N10" s="48"/>
      <c r="O10" s="49"/>
      <c r="P10" s="10"/>
      <c r="Q10" s="12"/>
      <c r="R10" s="12"/>
      <c r="S10" s="12"/>
      <c r="T10" s="12"/>
      <c r="U10" s="12"/>
      <c r="V10" s="12">
        <v>12</v>
      </c>
      <c r="W10" s="12"/>
      <c r="X10" s="12"/>
      <c r="Y10" s="12"/>
      <c r="Z10" s="49"/>
      <c r="AA10" s="49"/>
      <c r="AB10" s="49"/>
      <c r="AC10" s="49"/>
      <c r="AD10" s="12"/>
      <c r="AE10" s="12"/>
      <c r="AF10" s="12"/>
      <c r="AG10" s="12"/>
      <c r="AH10" s="12"/>
      <c r="AI10" s="12"/>
      <c r="AJ10" s="12"/>
      <c r="AK10" s="12"/>
      <c r="AL10" s="12">
        <v>7</v>
      </c>
      <c r="AM10" s="12"/>
      <c r="AN10" s="49"/>
      <c r="AO10" s="49"/>
      <c r="AP10" s="49"/>
      <c r="AQ10" s="49"/>
      <c r="AR10" s="12"/>
      <c r="AS10" s="12"/>
      <c r="AT10" s="12"/>
      <c r="AU10" s="12"/>
      <c r="AV10" s="12"/>
      <c r="AW10" s="12"/>
      <c r="AX10" s="12"/>
      <c r="AY10" s="12"/>
      <c r="AZ10" s="12">
        <v>8</v>
      </c>
      <c r="BA10" s="12"/>
      <c r="BB10" s="49"/>
      <c r="BC10" s="49"/>
      <c r="BD10" s="49"/>
      <c r="BE10" s="49"/>
      <c r="BF10" s="12"/>
      <c r="BG10" s="12"/>
      <c r="BH10" s="12"/>
      <c r="BI10" s="12"/>
      <c r="BJ10" s="12"/>
      <c r="BK10" s="12"/>
      <c r="BL10" s="46"/>
      <c r="BM10" s="46"/>
    </row>
    <row r="11" spans="1:65" ht="13.8" customHeight="1" x14ac:dyDescent="0.3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13"/>
      <c r="G11" s="10"/>
      <c r="H11" s="10"/>
      <c r="I11" s="12"/>
      <c r="J11" s="10">
        <v>12</v>
      </c>
      <c r="K11" s="12"/>
      <c r="L11" s="48">
        <v>12</v>
      </c>
      <c r="M11" s="49"/>
      <c r="N11" s="48"/>
      <c r="O11" s="49"/>
      <c r="P11" s="12"/>
      <c r="Q11" s="12"/>
      <c r="R11" s="12"/>
      <c r="S11" s="12"/>
      <c r="T11" s="12"/>
      <c r="U11" s="12"/>
      <c r="V11" s="12">
        <v>11</v>
      </c>
      <c r="W11" s="12"/>
      <c r="X11" s="12"/>
      <c r="Y11" s="12"/>
      <c r="Z11" s="49"/>
      <c r="AA11" s="49"/>
      <c r="AB11" s="49"/>
      <c r="AC11" s="49"/>
      <c r="AD11" s="12"/>
      <c r="AE11" s="12"/>
      <c r="AF11" s="12"/>
      <c r="AG11" s="12"/>
      <c r="AH11" s="12"/>
      <c r="AI11" s="12"/>
      <c r="AJ11" s="12"/>
      <c r="AK11" s="12"/>
      <c r="AL11" s="12">
        <v>9</v>
      </c>
      <c r="AM11" s="12"/>
      <c r="AN11" s="49"/>
      <c r="AO11" s="49"/>
      <c r="AP11" s="49"/>
      <c r="AQ11" s="49"/>
      <c r="AR11" s="12"/>
      <c r="AS11" s="12"/>
      <c r="AT11" s="12"/>
      <c r="AU11" s="12"/>
      <c r="AV11" s="12"/>
      <c r="AW11" s="12"/>
      <c r="AX11" s="12"/>
      <c r="AY11" s="12"/>
      <c r="AZ11" s="12">
        <v>12</v>
      </c>
      <c r="BA11" s="12"/>
      <c r="BB11" s="49"/>
      <c r="BC11" s="49"/>
      <c r="BD11" s="49"/>
      <c r="BE11" s="49"/>
      <c r="BF11" s="12"/>
      <c r="BG11" s="12"/>
      <c r="BH11" s="12"/>
      <c r="BI11" s="12"/>
      <c r="BJ11" s="12"/>
      <c r="BK11" s="12"/>
      <c r="BL11" s="46"/>
      <c r="BM11" s="46"/>
    </row>
    <row r="12" spans="1:65" x14ac:dyDescent="0.3">
      <c r="A12" s="6" t="s">
        <v>33</v>
      </c>
      <c r="C12" s="11"/>
      <c r="D12" s="6" t="s">
        <v>34</v>
      </c>
      <c r="E12" s="8" t="s">
        <v>35</v>
      </c>
      <c r="F12" s="13"/>
      <c r="G12" s="10"/>
      <c r="H12" s="10"/>
      <c r="I12" s="12"/>
      <c r="J12" s="10"/>
      <c r="K12" s="12"/>
      <c r="L12" s="48"/>
      <c r="M12" s="49"/>
      <c r="N12" s="48"/>
      <c r="O12" s="49"/>
      <c r="P12" s="12"/>
      <c r="Q12" s="12"/>
      <c r="R12" s="12">
        <v>7</v>
      </c>
      <c r="S12" s="12"/>
      <c r="T12" s="12"/>
      <c r="U12" s="12"/>
      <c r="V12" s="12"/>
      <c r="W12" s="12"/>
      <c r="X12" s="12"/>
      <c r="Y12" s="12"/>
      <c r="Z12" s="49"/>
      <c r="AA12" s="49"/>
      <c r="AB12" s="49"/>
      <c r="AC12" s="49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49"/>
      <c r="AO12" s="49"/>
      <c r="AP12" s="49"/>
      <c r="AQ12" s="49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49">
        <v>10</v>
      </c>
      <c r="BC12" s="49"/>
      <c r="BD12" s="49"/>
      <c r="BE12" s="49"/>
      <c r="BF12" s="12"/>
      <c r="BG12" s="12"/>
      <c r="BH12" s="12"/>
      <c r="BI12" s="12"/>
      <c r="BJ12" s="12"/>
      <c r="BK12" s="12"/>
      <c r="BL12" s="46"/>
      <c r="BM12" s="46"/>
    </row>
    <row r="13" spans="1:65" ht="15" customHeight="1" x14ac:dyDescent="0.3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9"/>
      <c r="G13" s="10"/>
      <c r="H13" s="10"/>
      <c r="I13" s="12"/>
      <c r="J13" s="10"/>
      <c r="K13" s="12"/>
      <c r="L13" s="48"/>
      <c r="M13" s="49"/>
      <c r="N13" s="48"/>
      <c r="O13" s="49"/>
      <c r="P13" s="12"/>
      <c r="Q13" s="12"/>
      <c r="R13" s="12"/>
      <c r="S13" s="12"/>
      <c r="T13" s="12">
        <v>7</v>
      </c>
      <c r="U13" s="12"/>
      <c r="V13" s="12"/>
      <c r="W13" s="12"/>
      <c r="X13" s="12"/>
      <c r="Y13" s="12"/>
      <c r="Z13" s="49"/>
      <c r="AA13" s="49"/>
      <c r="AB13" s="49"/>
      <c r="AC13" s="49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49"/>
      <c r="AO13" s="49"/>
      <c r="AP13" s="49"/>
      <c r="AQ13" s="49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49"/>
      <c r="BC13" s="49"/>
      <c r="BD13" s="49"/>
      <c r="BE13" s="49"/>
      <c r="BF13" s="12"/>
      <c r="BG13" s="12"/>
      <c r="BH13" s="12">
        <v>8</v>
      </c>
      <c r="BI13" s="12">
        <v>2</v>
      </c>
      <c r="BJ13" s="12"/>
      <c r="BK13" s="12"/>
      <c r="BL13" s="46"/>
      <c r="BM13" s="46"/>
    </row>
    <row r="14" spans="1:65" x14ac:dyDescent="0.3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9"/>
      <c r="G14" s="10"/>
      <c r="H14" s="10"/>
      <c r="I14" s="12"/>
      <c r="J14" s="10"/>
      <c r="K14" s="12"/>
      <c r="L14" s="48">
        <v>12</v>
      </c>
      <c r="M14" s="49"/>
      <c r="N14" s="48"/>
      <c r="O14" s="49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49"/>
      <c r="AA14" s="49"/>
      <c r="AB14" s="49"/>
      <c r="AC14" s="49"/>
      <c r="AD14" s="12"/>
      <c r="AE14" s="12"/>
      <c r="AF14" s="12"/>
      <c r="AG14" s="12"/>
      <c r="AH14" s="12"/>
      <c r="AI14" s="12"/>
      <c r="AJ14" s="12"/>
      <c r="AK14" s="12"/>
      <c r="AL14" s="12">
        <v>12</v>
      </c>
      <c r="AM14" s="12"/>
      <c r="AN14" s="49"/>
      <c r="AO14" s="49"/>
      <c r="AP14" s="49"/>
      <c r="AQ14" s="49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49">
        <v>12</v>
      </c>
      <c r="BC14" s="49"/>
      <c r="BD14" s="49"/>
      <c r="BE14" s="49"/>
      <c r="BF14" s="12"/>
      <c r="BG14" s="12"/>
      <c r="BH14" s="12"/>
      <c r="BI14" s="12"/>
      <c r="BJ14" s="12"/>
      <c r="BK14" s="12"/>
      <c r="BL14" s="46"/>
      <c r="BM14" s="46"/>
    </row>
    <row r="15" spans="1:65" x14ac:dyDescent="0.3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13"/>
      <c r="G15" s="10"/>
      <c r="H15" s="14"/>
      <c r="I15" s="15"/>
      <c r="J15" s="14"/>
      <c r="K15" s="15"/>
      <c r="L15" s="50"/>
      <c r="M15" s="51"/>
      <c r="N15" s="50"/>
      <c r="O15" s="51"/>
      <c r="P15" s="15"/>
      <c r="Q15" s="15"/>
      <c r="R15" s="15">
        <v>7</v>
      </c>
      <c r="S15" s="15"/>
      <c r="T15" s="15"/>
      <c r="U15" s="15"/>
      <c r="V15" s="15"/>
      <c r="W15" s="15"/>
      <c r="X15" s="15"/>
      <c r="Y15" s="15"/>
      <c r="Z15" s="51"/>
      <c r="AA15" s="51"/>
      <c r="AB15" s="51"/>
      <c r="AC15" s="51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51"/>
      <c r="AO15" s="51"/>
      <c r="AP15" s="51"/>
      <c r="AQ15" s="51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51"/>
      <c r="BC15" s="51"/>
      <c r="BD15" s="51"/>
      <c r="BE15" s="51"/>
      <c r="BF15" s="15"/>
      <c r="BG15" s="15"/>
      <c r="BH15" s="15"/>
      <c r="BI15" s="15"/>
      <c r="BJ15" s="15">
        <v>9</v>
      </c>
      <c r="BK15" s="15"/>
      <c r="BL15" s="46"/>
      <c r="BM15" s="46"/>
    </row>
    <row r="16" spans="1:65" x14ac:dyDescent="0.3">
      <c r="A16" s="6" t="s">
        <v>46</v>
      </c>
      <c r="B16" s="6"/>
      <c r="C16" s="11"/>
      <c r="D16" s="6" t="s">
        <v>47</v>
      </c>
      <c r="E16" s="8" t="s">
        <v>48</v>
      </c>
      <c r="F16" s="9"/>
      <c r="G16" s="10"/>
      <c r="H16" s="14"/>
      <c r="I16" s="15"/>
      <c r="J16" s="14"/>
      <c r="K16" s="15"/>
      <c r="L16" s="50"/>
      <c r="M16" s="51"/>
      <c r="N16" s="50"/>
      <c r="O16" s="51"/>
      <c r="P16" s="15"/>
      <c r="Q16" s="15"/>
      <c r="R16" s="15">
        <v>5</v>
      </c>
      <c r="S16" s="15"/>
      <c r="T16" s="15"/>
      <c r="U16" s="15"/>
      <c r="V16" s="15"/>
      <c r="W16" s="15"/>
      <c r="X16" s="15"/>
      <c r="Y16" s="15"/>
      <c r="Z16" s="51"/>
      <c r="AA16" s="51"/>
      <c r="AB16" s="51"/>
      <c r="AC16" s="51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51">
        <v>8</v>
      </c>
      <c r="AO16" s="51"/>
      <c r="AP16" s="51"/>
      <c r="AQ16" s="51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51">
        <v>8</v>
      </c>
      <c r="BC16" s="51"/>
      <c r="BD16" s="51"/>
      <c r="BE16" s="51"/>
      <c r="BF16" s="15"/>
      <c r="BG16" s="15"/>
      <c r="BH16" s="15"/>
      <c r="BI16" s="15"/>
      <c r="BJ16" s="15"/>
      <c r="BK16" s="15"/>
      <c r="BL16" s="46"/>
      <c r="BM16" s="46"/>
    </row>
    <row r="17" spans="1:65" x14ac:dyDescent="0.3">
      <c r="A17" s="6" t="s">
        <v>49</v>
      </c>
      <c r="B17" s="6"/>
      <c r="C17" s="11"/>
      <c r="D17" s="6" t="s">
        <v>50</v>
      </c>
      <c r="E17" s="8" t="s">
        <v>50</v>
      </c>
      <c r="F17" s="9"/>
      <c r="G17" s="10"/>
      <c r="H17" s="14"/>
      <c r="I17" s="15"/>
      <c r="J17" s="14"/>
      <c r="K17" s="15"/>
      <c r="L17" s="50">
        <v>12</v>
      </c>
      <c r="M17" s="51"/>
      <c r="N17" s="50"/>
      <c r="O17" s="51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51"/>
      <c r="AA17" s="51"/>
      <c r="AB17" s="51"/>
      <c r="AC17" s="51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51">
        <v>8</v>
      </c>
      <c r="AO17" s="51"/>
      <c r="AP17" s="51"/>
      <c r="AQ17" s="51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51"/>
      <c r="BC17" s="51"/>
      <c r="BD17" s="51"/>
      <c r="BE17" s="51"/>
      <c r="BF17" s="15"/>
      <c r="BG17" s="15"/>
      <c r="BH17" s="15"/>
      <c r="BI17" s="15"/>
      <c r="BJ17" s="15">
        <v>11</v>
      </c>
      <c r="BK17" s="15"/>
      <c r="BL17" s="46"/>
      <c r="BM17" s="46"/>
    </row>
    <row r="18" spans="1:65" x14ac:dyDescent="0.3">
      <c r="A18" s="6" t="s">
        <v>51</v>
      </c>
      <c r="B18" s="6"/>
      <c r="C18" s="11"/>
      <c r="D18" s="6" t="s">
        <v>52</v>
      </c>
      <c r="E18" s="16" t="s">
        <v>52</v>
      </c>
      <c r="F18" s="9"/>
      <c r="G18" s="10"/>
      <c r="H18" s="14"/>
      <c r="I18" s="15"/>
      <c r="J18" s="14"/>
      <c r="K18" s="15"/>
      <c r="L18" s="50"/>
      <c r="M18" s="51"/>
      <c r="N18" s="50"/>
      <c r="O18" s="51"/>
      <c r="P18" s="15"/>
      <c r="Q18" s="15"/>
      <c r="R18" s="15"/>
      <c r="S18" s="15"/>
      <c r="T18" s="15">
        <v>6</v>
      </c>
      <c r="U18" s="15"/>
      <c r="V18" s="15"/>
      <c r="W18" s="15"/>
      <c r="X18" s="15"/>
      <c r="Y18" s="15"/>
      <c r="Z18" s="51"/>
      <c r="AA18" s="51"/>
      <c r="AB18" s="51"/>
      <c r="AC18" s="51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51"/>
      <c r="AO18" s="51"/>
      <c r="AP18" s="51"/>
      <c r="AQ18" s="51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51"/>
      <c r="BC18" s="51"/>
      <c r="BD18" s="51"/>
      <c r="BE18" s="51"/>
      <c r="BF18" s="15"/>
      <c r="BG18" s="15"/>
      <c r="BH18" s="15"/>
      <c r="BI18" s="15"/>
      <c r="BJ18" s="15">
        <v>10</v>
      </c>
      <c r="BK18" s="15"/>
      <c r="BL18" s="46"/>
      <c r="BM18" s="46"/>
    </row>
    <row r="19" spans="1:65" x14ac:dyDescent="0.3">
      <c r="A19" s="6" t="s">
        <v>53</v>
      </c>
      <c r="B19" s="6"/>
      <c r="C19" s="11"/>
      <c r="D19" s="6" t="s">
        <v>54</v>
      </c>
      <c r="E19" s="16" t="s">
        <v>54</v>
      </c>
      <c r="F19" s="9"/>
      <c r="G19" s="10"/>
      <c r="H19" s="14"/>
      <c r="I19" s="15"/>
      <c r="J19" s="14"/>
      <c r="K19" s="15"/>
      <c r="L19" s="50"/>
      <c r="M19" s="51"/>
      <c r="N19" s="50"/>
      <c r="O19" s="51"/>
      <c r="P19" s="15"/>
      <c r="Q19" s="15"/>
      <c r="R19" s="15">
        <v>5</v>
      </c>
      <c r="S19" s="15"/>
      <c r="T19" s="15"/>
      <c r="U19" s="15"/>
      <c r="V19" s="15"/>
      <c r="W19" s="15"/>
      <c r="X19" s="15"/>
      <c r="Y19" s="15"/>
      <c r="Z19" s="51"/>
      <c r="AA19" s="51"/>
      <c r="AB19" s="51"/>
      <c r="AC19" s="51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51"/>
      <c r="AO19" s="51"/>
      <c r="AP19" s="51"/>
      <c r="AQ19" s="51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51">
        <v>9</v>
      </c>
      <c r="BC19" s="51"/>
      <c r="BD19" s="51"/>
      <c r="BE19" s="51"/>
      <c r="BF19" s="15"/>
      <c r="BG19" s="15"/>
      <c r="BH19" s="15"/>
      <c r="BI19" s="15"/>
      <c r="BJ19" s="15"/>
      <c r="BK19" s="15"/>
      <c r="BL19" s="46"/>
      <c r="BM19" s="46"/>
    </row>
    <row r="20" spans="1:65" x14ac:dyDescent="0.3">
      <c r="A20" s="6" t="s">
        <v>55</v>
      </c>
      <c r="B20" s="6"/>
      <c r="C20" s="11"/>
      <c r="D20" s="6" t="s">
        <v>56</v>
      </c>
      <c r="E20" s="16" t="s">
        <v>56</v>
      </c>
      <c r="F20" s="9"/>
      <c r="G20" s="10"/>
      <c r="H20" s="14"/>
      <c r="I20" s="15"/>
      <c r="J20" s="14"/>
      <c r="K20" s="15"/>
      <c r="L20" s="50"/>
      <c r="M20" s="51"/>
      <c r="N20" s="50"/>
      <c r="O20" s="51"/>
      <c r="P20" s="15"/>
      <c r="Q20" s="15"/>
      <c r="R20" s="15">
        <v>7</v>
      </c>
      <c r="S20" s="15"/>
      <c r="T20" s="15"/>
      <c r="U20" s="15"/>
      <c r="V20" s="15"/>
      <c r="W20" s="15"/>
      <c r="X20" s="15"/>
      <c r="Y20" s="15"/>
      <c r="Z20" s="51"/>
      <c r="AA20" s="51"/>
      <c r="AB20" s="51"/>
      <c r="AC20" s="51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51"/>
      <c r="AO20" s="51"/>
      <c r="AP20" s="51"/>
      <c r="AQ20" s="51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51"/>
      <c r="BC20" s="51"/>
      <c r="BD20" s="51"/>
      <c r="BE20" s="51"/>
      <c r="BF20" s="15"/>
      <c r="BG20" s="15"/>
      <c r="BH20" s="15"/>
      <c r="BI20" s="15"/>
      <c r="BJ20" s="15">
        <v>7</v>
      </c>
      <c r="BK20" s="15"/>
      <c r="BL20" s="46"/>
      <c r="BM20" s="46"/>
    </row>
    <row r="21" spans="1:65" x14ac:dyDescent="0.3">
      <c r="A21" s="6" t="s">
        <v>57</v>
      </c>
      <c r="B21" s="6"/>
      <c r="C21" s="11"/>
      <c r="D21" s="6" t="s">
        <v>58</v>
      </c>
      <c r="E21" s="16" t="s">
        <v>58</v>
      </c>
      <c r="F21" s="9"/>
      <c r="G21" s="10"/>
      <c r="H21" s="14"/>
      <c r="I21" s="15"/>
      <c r="J21" s="14"/>
      <c r="K21" s="15"/>
      <c r="L21" s="50"/>
      <c r="M21" s="51"/>
      <c r="N21" s="50"/>
      <c r="O21" s="51"/>
      <c r="P21" s="15"/>
      <c r="Q21" s="15"/>
      <c r="R21" s="15">
        <v>7</v>
      </c>
      <c r="S21" s="15"/>
      <c r="T21" s="15"/>
      <c r="U21" s="15"/>
      <c r="V21" s="15"/>
      <c r="W21" s="15"/>
      <c r="X21" s="15"/>
      <c r="Y21" s="15"/>
      <c r="Z21" s="51"/>
      <c r="AA21" s="51"/>
      <c r="AB21" s="51"/>
      <c r="AC21" s="51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51"/>
      <c r="AO21" s="51"/>
      <c r="AP21" s="51"/>
      <c r="AQ21" s="51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51"/>
      <c r="BC21" s="51"/>
      <c r="BD21" s="51"/>
      <c r="BE21" s="51"/>
      <c r="BF21" s="15"/>
      <c r="BG21" s="15"/>
      <c r="BH21" s="15"/>
      <c r="BI21" s="15"/>
      <c r="BJ21" s="15">
        <v>7</v>
      </c>
      <c r="BK21" s="15"/>
      <c r="BL21" s="46"/>
      <c r="BM21" s="46"/>
    </row>
    <row r="22" spans="1:65" x14ac:dyDescent="0.3">
      <c r="A22" s="17" t="s">
        <v>59</v>
      </c>
      <c r="C22" s="18"/>
      <c r="D22" s="17" t="s">
        <v>60</v>
      </c>
      <c r="E22" s="16" t="s">
        <v>60</v>
      </c>
      <c r="F22" s="9"/>
      <c r="G22" s="10"/>
      <c r="H22" s="14"/>
      <c r="I22" s="15"/>
      <c r="J22" s="14"/>
      <c r="K22" s="15"/>
      <c r="L22" s="50"/>
      <c r="M22" s="51"/>
      <c r="N22" s="50"/>
      <c r="O22" s="51"/>
      <c r="P22" s="15"/>
      <c r="Q22" s="15"/>
      <c r="R22" s="15"/>
      <c r="S22" s="15"/>
      <c r="T22" s="15">
        <v>7</v>
      </c>
      <c r="U22" s="15"/>
      <c r="V22" s="15"/>
      <c r="W22" s="15"/>
      <c r="X22" s="15"/>
      <c r="Y22" s="15"/>
      <c r="Z22" s="51"/>
      <c r="AA22" s="51"/>
      <c r="AB22" s="51"/>
      <c r="AC22" s="51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51"/>
      <c r="AO22" s="51"/>
      <c r="AP22" s="51"/>
      <c r="AQ22" s="51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51"/>
      <c r="BC22" s="51"/>
      <c r="BD22" s="51"/>
      <c r="BE22" s="51"/>
      <c r="BF22" s="15"/>
      <c r="BG22" s="15"/>
      <c r="BH22" s="15">
        <v>8</v>
      </c>
      <c r="BI22" s="15"/>
      <c r="BJ22" s="15"/>
      <c r="BK22" s="15"/>
      <c r="BL22" s="46"/>
      <c r="BM22" s="46"/>
    </row>
    <row r="23" spans="1:65" ht="15.6" x14ac:dyDescent="0.3">
      <c r="A23" s="17" t="s">
        <v>61</v>
      </c>
      <c r="B23" s="19" t="s">
        <v>62</v>
      </c>
      <c r="C23" s="20" t="s">
        <v>63</v>
      </c>
      <c r="D23" s="17" t="s">
        <v>64</v>
      </c>
      <c r="E23" s="16" t="s">
        <v>64</v>
      </c>
      <c r="F23" s="9"/>
      <c r="G23" s="10"/>
      <c r="H23" s="14"/>
      <c r="I23" s="15"/>
      <c r="J23" s="14"/>
      <c r="K23" s="15"/>
      <c r="L23" s="50">
        <v>11</v>
      </c>
      <c r="M23" s="51"/>
      <c r="N23" s="50"/>
      <c r="O23" s="51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51"/>
      <c r="AA23" s="51"/>
      <c r="AB23" s="51"/>
      <c r="AC23" s="51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51">
        <v>10</v>
      </c>
      <c r="AO23" s="51"/>
      <c r="AP23" s="51"/>
      <c r="AQ23" s="51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51"/>
      <c r="BC23" s="51"/>
      <c r="BD23" s="51"/>
      <c r="BE23" s="51"/>
      <c r="BF23" s="15"/>
      <c r="BG23" s="15"/>
      <c r="BH23" s="15">
        <v>11</v>
      </c>
      <c r="BI23" s="15"/>
      <c r="BJ23" s="15"/>
      <c r="BK23" s="15"/>
      <c r="BL23" s="46"/>
      <c r="BM23" s="46"/>
    </row>
    <row r="24" spans="1:65" ht="15.6" x14ac:dyDescent="0.3">
      <c r="A24" s="6" t="s">
        <v>65</v>
      </c>
      <c r="B24" s="21"/>
      <c r="C24" s="11"/>
      <c r="D24" s="6" t="s">
        <v>66</v>
      </c>
      <c r="E24" s="16" t="s">
        <v>69</v>
      </c>
      <c r="F24" s="9"/>
      <c r="G24" s="10"/>
      <c r="H24" s="14"/>
      <c r="I24" s="15"/>
      <c r="J24" s="14"/>
      <c r="K24" s="15"/>
      <c r="L24" s="50"/>
      <c r="M24" s="51"/>
      <c r="N24" s="50"/>
      <c r="O24" s="51"/>
      <c r="P24" s="15"/>
      <c r="Q24" s="15"/>
      <c r="R24" s="15"/>
      <c r="S24" s="15"/>
      <c r="T24" s="15">
        <v>7</v>
      </c>
      <c r="U24" s="15"/>
      <c r="V24" s="15"/>
      <c r="W24" s="15"/>
      <c r="X24" s="15"/>
      <c r="Y24" s="15"/>
      <c r="Z24" s="51"/>
      <c r="AA24" s="51"/>
      <c r="AB24" s="51"/>
      <c r="AC24" s="51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51"/>
      <c r="AO24" s="51"/>
      <c r="AP24" s="51"/>
      <c r="AQ24" s="51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51"/>
      <c r="BC24" s="51"/>
      <c r="BD24" s="51"/>
      <c r="BE24" s="51"/>
      <c r="BF24" s="15"/>
      <c r="BG24" s="15"/>
      <c r="BH24" s="15">
        <v>8</v>
      </c>
      <c r="BI24" s="15"/>
      <c r="BJ24" s="15"/>
      <c r="BK24" s="15"/>
      <c r="BL24" s="46"/>
      <c r="BM24" s="46"/>
    </row>
    <row r="25" spans="1:65" ht="15.6" x14ac:dyDescent="0.3">
      <c r="A25" s="6" t="s">
        <v>68</v>
      </c>
      <c r="B25" s="21"/>
      <c r="C25" s="11"/>
      <c r="D25" s="6" t="s">
        <v>66</v>
      </c>
      <c r="E25" s="16" t="s">
        <v>67</v>
      </c>
      <c r="F25" s="9"/>
      <c r="G25" s="10"/>
      <c r="H25" s="14"/>
      <c r="I25" s="15"/>
      <c r="J25" s="14"/>
      <c r="K25" s="15"/>
      <c r="L25" s="50"/>
      <c r="M25" s="51"/>
      <c r="N25" s="50"/>
      <c r="O25" s="51"/>
      <c r="P25" s="15"/>
      <c r="Q25" s="15"/>
      <c r="R25" s="15"/>
      <c r="S25" s="15"/>
      <c r="T25" s="15">
        <v>9</v>
      </c>
      <c r="U25" s="15"/>
      <c r="V25" s="15"/>
      <c r="W25" s="15"/>
      <c r="X25" s="15"/>
      <c r="Y25" s="15"/>
      <c r="Z25" s="51"/>
      <c r="AA25" s="51"/>
      <c r="AB25" s="51"/>
      <c r="AC25" s="51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51">
        <v>9</v>
      </c>
      <c r="AO25" s="51"/>
      <c r="AP25" s="51"/>
      <c r="AQ25" s="51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51">
        <v>13</v>
      </c>
      <c r="BC25" s="51"/>
      <c r="BD25" s="51"/>
      <c r="BE25" s="51"/>
      <c r="BF25" s="15"/>
      <c r="BG25" s="15"/>
      <c r="BH25" s="15"/>
      <c r="BI25" s="15"/>
      <c r="BJ25" s="15"/>
      <c r="BK25" s="15"/>
      <c r="BL25" s="46"/>
      <c r="BM25" s="46"/>
    </row>
    <row r="26" spans="1:65" ht="15.6" x14ac:dyDescent="0.3">
      <c r="A26" s="6" t="s">
        <v>70</v>
      </c>
      <c r="B26" s="21"/>
      <c r="C26" s="11"/>
      <c r="D26" s="6" t="s">
        <v>71</v>
      </c>
      <c r="E26" s="16" t="s">
        <v>72</v>
      </c>
      <c r="F26" s="9"/>
      <c r="G26" s="10"/>
      <c r="H26" s="14"/>
      <c r="I26" s="15"/>
      <c r="J26" s="14"/>
      <c r="K26" s="15"/>
      <c r="L26" s="50"/>
      <c r="M26" s="51"/>
      <c r="N26" s="50"/>
      <c r="O26" s="51"/>
      <c r="P26" s="15"/>
      <c r="Q26" s="15"/>
      <c r="R26" s="15">
        <v>9</v>
      </c>
      <c r="S26" s="15"/>
      <c r="T26" s="15">
        <v>6</v>
      </c>
      <c r="U26" s="15"/>
      <c r="V26" s="15"/>
      <c r="W26" s="15"/>
      <c r="X26" s="15"/>
      <c r="Y26" s="15"/>
      <c r="Z26" s="51"/>
      <c r="AA26" s="51"/>
      <c r="AB26" s="51"/>
      <c r="AC26" s="51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51"/>
      <c r="AO26" s="51"/>
      <c r="AP26" s="51"/>
      <c r="AQ26" s="51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51"/>
      <c r="BC26" s="51"/>
      <c r="BD26" s="51"/>
      <c r="BE26" s="51"/>
      <c r="BF26" s="15"/>
      <c r="BG26" s="15"/>
      <c r="BH26" s="15">
        <v>8</v>
      </c>
      <c r="BI26" s="15"/>
      <c r="BJ26" s="15"/>
      <c r="BK26" s="15"/>
      <c r="BL26" s="46"/>
      <c r="BM26" s="46"/>
    </row>
    <row r="27" spans="1:65" ht="15.6" x14ac:dyDescent="0.3">
      <c r="A27" s="6" t="s">
        <v>78</v>
      </c>
      <c r="B27" s="21"/>
      <c r="C27" s="11"/>
      <c r="D27" s="6"/>
      <c r="E27" s="16"/>
      <c r="F27" s="9"/>
      <c r="G27" s="10"/>
      <c r="H27" s="14"/>
      <c r="I27" s="15"/>
      <c r="J27" s="14">
        <v>9</v>
      </c>
      <c r="K27" s="15"/>
      <c r="L27" s="50"/>
      <c r="M27" s="51"/>
      <c r="N27" s="50"/>
      <c r="O27" s="51"/>
      <c r="P27" s="15"/>
      <c r="Q27" s="15"/>
      <c r="R27" s="15">
        <v>36</v>
      </c>
      <c r="S27" s="15"/>
      <c r="T27" s="15">
        <v>9</v>
      </c>
      <c r="U27" s="15"/>
      <c r="V27" s="15">
        <v>10</v>
      </c>
      <c r="W27" s="15"/>
      <c r="X27" s="15"/>
      <c r="Y27" s="15"/>
      <c r="Z27" s="51"/>
      <c r="AA27" s="51"/>
      <c r="AB27" s="51"/>
      <c r="AC27" s="51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51">
        <v>11</v>
      </c>
      <c r="AO27" s="51"/>
      <c r="AP27" s="51"/>
      <c r="AQ27" s="51"/>
      <c r="AR27" s="15"/>
      <c r="AS27" s="15"/>
      <c r="AT27" s="15"/>
      <c r="AU27" s="15"/>
      <c r="AV27" s="15"/>
      <c r="AW27" s="15"/>
      <c r="AX27" s="15">
        <v>3</v>
      </c>
      <c r="AY27" s="15"/>
      <c r="AZ27" s="15"/>
      <c r="BA27" s="15"/>
      <c r="BB27" s="51"/>
      <c r="BC27" s="51"/>
      <c r="BD27" s="51"/>
      <c r="BE27" s="51"/>
      <c r="BF27" s="15">
        <v>17</v>
      </c>
      <c r="BG27" s="15"/>
      <c r="BH27" s="15"/>
      <c r="BI27" s="15"/>
      <c r="BJ27" s="15">
        <v>2</v>
      </c>
      <c r="BK27" s="15"/>
      <c r="BL27" s="46"/>
      <c r="BM27" s="46"/>
    </row>
    <row r="28" spans="1:65" ht="18.600000000000001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</row>
    <row r="29" spans="1:65" x14ac:dyDescent="0.3">
      <c r="BB29" s="22"/>
      <c r="BC29" s="22"/>
      <c r="BD29" s="22"/>
      <c r="BE29" s="22"/>
    </row>
    <row r="30" spans="1:65" x14ac:dyDescent="0.3">
      <c r="D30" s="59" t="s">
        <v>11</v>
      </c>
      <c r="E30" s="59"/>
      <c r="F30" s="24">
        <f t="shared" ref="F30:BM34" si="0">F6*15</f>
        <v>0</v>
      </c>
      <c r="G30" s="24">
        <f t="shared" si="0"/>
        <v>0</v>
      </c>
      <c r="H30" s="24">
        <f t="shared" si="0"/>
        <v>270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0</v>
      </c>
      <c r="S30" s="24">
        <f t="shared" si="0"/>
        <v>0</v>
      </c>
      <c r="T30" s="24">
        <f t="shared" si="0"/>
        <v>210</v>
      </c>
      <c r="U30" s="24">
        <f t="shared" si="0"/>
        <v>0</v>
      </c>
      <c r="V30" s="24">
        <f t="shared" si="0"/>
        <v>0</v>
      </c>
      <c r="W30" s="24">
        <f t="shared" si="0"/>
        <v>0</v>
      </c>
      <c r="X30" s="24">
        <f t="shared" si="0"/>
        <v>0</v>
      </c>
      <c r="Y30" s="24">
        <f t="shared" si="0"/>
        <v>0</v>
      </c>
      <c r="Z30" s="24">
        <f t="shared" si="0"/>
        <v>0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0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135</v>
      </c>
      <c r="AK30" s="24">
        <f t="shared" si="0"/>
        <v>0</v>
      </c>
      <c r="AL30" s="24">
        <f t="shared" si="0"/>
        <v>0</v>
      </c>
      <c r="AM30" s="24">
        <f t="shared" si="0"/>
        <v>0</v>
      </c>
      <c r="AN30" s="24">
        <f t="shared" si="0"/>
        <v>0</v>
      </c>
      <c r="AO30" s="24">
        <f t="shared" si="0"/>
        <v>0</v>
      </c>
      <c r="AP30" s="24">
        <f t="shared" si="0"/>
        <v>0</v>
      </c>
      <c r="AQ30" s="24">
        <f t="shared" si="0"/>
        <v>0</v>
      </c>
      <c r="AR30" s="24">
        <f t="shared" si="0"/>
        <v>0</v>
      </c>
      <c r="AS30" s="24">
        <f t="shared" si="0"/>
        <v>0</v>
      </c>
      <c r="AT30" s="24">
        <f t="shared" si="0"/>
        <v>135</v>
      </c>
      <c r="AU30" s="24">
        <f t="shared" si="0"/>
        <v>0</v>
      </c>
      <c r="AV30" s="24">
        <f t="shared" si="0"/>
        <v>0</v>
      </c>
      <c r="AW30" s="24">
        <f t="shared" si="0"/>
        <v>0</v>
      </c>
      <c r="AX30" s="24">
        <f t="shared" si="0"/>
        <v>210</v>
      </c>
      <c r="AY30" s="24">
        <f t="shared" si="0"/>
        <v>0</v>
      </c>
      <c r="AZ30" s="24">
        <f t="shared" si="0"/>
        <v>0</v>
      </c>
      <c r="BA30" s="24">
        <f t="shared" si="0"/>
        <v>0</v>
      </c>
      <c r="BB30" s="24">
        <f t="shared" si="0"/>
        <v>0</v>
      </c>
      <c r="BC30" s="24">
        <f t="shared" si="0"/>
        <v>0</v>
      </c>
      <c r="BD30" s="24">
        <f t="shared" si="0"/>
        <v>0</v>
      </c>
      <c r="BE30" s="24">
        <f t="shared" si="0"/>
        <v>0</v>
      </c>
      <c r="BF30" s="24">
        <f t="shared" si="0"/>
        <v>0</v>
      </c>
      <c r="BG30" s="24">
        <f t="shared" si="0"/>
        <v>0</v>
      </c>
      <c r="BH30" s="24">
        <f t="shared" si="0"/>
        <v>0</v>
      </c>
      <c r="BI30" s="24">
        <f t="shared" si="0"/>
        <v>0</v>
      </c>
      <c r="BJ30" s="24">
        <f t="shared" si="0"/>
        <v>195</v>
      </c>
      <c r="BK30" s="24">
        <f t="shared" si="0"/>
        <v>0</v>
      </c>
      <c r="BL30" s="24">
        <f t="shared" si="0"/>
        <v>0</v>
      </c>
      <c r="BM30" s="24">
        <f t="shared" si="0"/>
        <v>0</v>
      </c>
    </row>
    <row r="31" spans="1:65" x14ac:dyDescent="0.3">
      <c r="D31" s="59" t="s">
        <v>16</v>
      </c>
      <c r="E31" s="59"/>
      <c r="F31" s="24">
        <f t="shared" si="0"/>
        <v>0</v>
      </c>
      <c r="G31" s="24">
        <f t="shared" si="0"/>
        <v>0</v>
      </c>
      <c r="H31" s="24">
        <f t="shared" si="0"/>
        <v>270</v>
      </c>
      <c r="I31" s="24">
        <f t="shared" si="0"/>
        <v>0</v>
      </c>
      <c r="J31" s="24">
        <f t="shared" si="0"/>
        <v>0</v>
      </c>
      <c r="K31" s="24">
        <f t="shared" si="0"/>
        <v>0</v>
      </c>
      <c r="L31" s="24">
        <f t="shared" si="0"/>
        <v>0</v>
      </c>
      <c r="M31" s="24">
        <f t="shared" si="0"/>
        <v>0</v>
      </c>
      <c r="N31" s="24">
        <f t="shared" si="0"/>
        <v>0</v>
      </c>
      <c r="O31" s="24">
        <f t="shared" si="0"/>
        <v>0</v>
      </c>
      <c r="P31" s="24">
        <f t="shared" si="0"/>
        <v>0</v>
      </c>
      <c r="Q31" s="24">
        <f t="shared" si="0"/>
        <v>0</v>
      </c>
      <c r="R31" s="24">
        <f t="shared" si="0"/>
        <v>0</v>
      </c>
      <c r="S31" s="24">
        <f t="shared" si="0"/>
        <v>0</v>
      </c>
      <c r="T31" s="24">
        <f t="shared" si="0"/>
        <v>210</v>
      </c>
      <c r="U31" s="24">
        <f t="shared" si="0"/>
        <v>0</v>
      </c>
      <c r="V31" s="24">
        <f t="shared" si="0"/>
        <v>0</v>
      </c>
      <c r="W31" s="24">
        <f t="shared" si="0"/>
        <v>0</v>
      </c>
      <c r="X31" s="24">
        <f t="shared" si="0"/>
        <v>0</v>
      </c>
      <c r="Y31" s="24">
        <f t="shared" si="0"/>
        <v>0</v>
      </c>
      <c r="Z31" s="24">
        <f t="shared" si="0"/>
        <v>0</v>
      </c>
      <c r="AA31" s="24">
        <f t="shared" si="0"/>
        <v>0</v>
      </c>
      <c r="AB31" s="24">
        <f t="shared" si="0"/>
        <v>0</v>
      </c>
      <c r="AC31" s="24">
        <f t="shared" si="0"/>
        <v>0</v>
      </c>
      <c r="AD31" s="24">
        <f t="shared" si="0"/>
        <v>0</v>
      </c>
      <c r="AE31" s="24">
        <f t="shared" si="0"/>
        <v>0</v>
      </c>
      <c r="AF31" s="24">
        <f t="shared" si="0"/>
        <v>0</v>
      </c>
      <c r="AG31" s="24">
        <f t="shared" si="0"/>
        <v>0</v>
      </c>
      <c r="AH31" s="24">
        <f t="shared" si="0"/>
        <v>0</v>
      </c>
      <c r="AI31" s="24">
        <f t="shared" si="0"/>
        <v>0</v>
      </c>
      <c r="AJ31" s="24">
        <f t="shared" si="0"/>
        <v>165</v>
      </c>
      <c r="AK31" s="24">
        <f t="shared" si="0"/>
        <v>0</v>
      </c>
      <c r="AL31" s="24">
        <f t="shared" si="0"/>
        <v>0</v>
      </c>
      <c r="AM31" s="24">
        <f t="shared" si="0"/>
        <v>0</v>
      </c>
      <c r="AN31" s="24">
        <f t="shared" si="0"/>
        <v>0</v>
      </c>
      <c r="AO31" s="24">
        <f t="shared" si="0"/>
        <v>0</v>
      </c>
      <c r="AP31" s="24">
        <f t="shared" si="0"/>
        <v>0</v>
      </c>
      <c r="AQ31" s="24">
        <f t="shared" si="0"/>
        <v>0</v>
      </c>
      <c r="AR31" s="24">
        <f t="shared" si="0"/>
        <v>0</v>
      </c>
      <c r="AS31" s="24">
        <f t="shared" si="0"/>
        <v>0</v>
      </c>
      <c r="AT31" s="24">
        <f t="shared" si="0"/>
        <v>0</v>
      </c>
      <c r="AU31" s="24">
        <f t="shared" si="0"/>
        <v>0</v>
      </c>
      <c r="AV31" s="24">
        <f t="shared" si="0"/>
        <v>0</v>
      </c>
      <c r="AW31" s="24">
        <f t="shared" si="0"/>
        <v>0</v>
      </c>
      <c r="AX31" s="24">
        <f t="shared" si="0"/>
        <v>240</v>
      </c>
      <c r="AY31" s="24">
        <f t="shared" si="0"/>
        <v>0</v>
      </c>
      <c r="AZ31" s="24">
        <f t="shared" si="0"/>
        <v>0</v>
      </c>
      <c r="BA31" s="24">
        <f t="shared" si="0"/>
        <v>0</v>
      </c>
      <c r="BB31" s="24">
        <f t="shared" si="0"/>
        <v>0</v>
      </c>
      <c r="BC31" s="24">
        <f t="shared" si="0"/>
        <v>0</v>
      </c>
      <c r="BD31" s="24">
        <f t="shared" si="0"/>
        <v>0</v>
      </c>
      <c r="BE31" s="24">
        <f t="shared" si="0"/>
        <v>0</v>
      </c>
      <c r="BF31" s="24">
        <f t="shared" si="0"/>
        <v>0</v>
      </c>
      <c r="BG31" s="24">
        <f t="shared" si="0"/>
        <v>0</v>
      </c>
      <c r="BH31" s="24">
        <f t="shared" si="0"/>
        <v>0</v>
      </c>
      <c r="BI31" s="24">
        <f t="shared" si="0"/>
        <v>0</v>
      </c>
      <c r="BJ31" s="24">
        <f t="shared" si="0"/>
        <v>0</v>
      </c>
      <c r="BK31" s="24">
        <f t="shared" si="0"/>
        <v>0</v>
      </c>
      <c r="BL31" s="24">
        <f t="shared" si="0"/>
        <v>0</v>
      </c>
      <c r="BM31" s="24">
        <f t="shared" si="0"/>
        <v>0</v>
      </c>
    </row>
    <row r="32" spans="1:65" x14ac:dyDescent="0.3">
      <c r="D32" s="59" t="s">
        <v>20</v>
      </c>
      <c r="E32" s="59"/>
      <c r="F32" s="24">
        <f t="shared" si="0"/>
        <v>0</v>
      </c>
      <c r="G32" s="24">
        <f t="shared" si="0"/>
        <v>0</v>
      </c>
      <c r="H32" s="24">
        <f t="shared" si="0"/>
        <v>195</v>
      </c>
      <c r="I32" s="24">
        <f t="shared" si="0"/>
        <v>0</v>
      </c>
      <c r="J32" s="24">
        <f t="shared" si="0"/>
        <v>15</v>
      </c>
      <c r="K32" s="24">
        <f t="shared" si="0"/>
        <v>0</v>
      </c>
      <c r="L32" s="24">
        <f t="shared" si="0"/>
        <v>0</v>
      </c>
      <c r="M32" s="24">
        <f t="shared" si="0"/>
        <v>0</v>
      </c>
      <c r="N32" s="24">
        <f t="shared" si="0"/>
        <v>0</v>
      </c>
      <c r="O32" s="24">
        <f t="shared" si="0"/>
        <v>0</v>
      </c>
      <c r="P32" s="24">
        <f t="shared" si="0"/>
        <v>0</v>
      </c>
      <c r="Q32" s="24">
        <f t="shared" si="0"/>
        <v>0</v>
      </c>
      <c r="R32" s="24">
        <f t="shared" si="0"/>
        <v>0</v>
      </c>
      <c r="S32" s="24">
        <f t="shared" si="0"/>
        <v>0</v>
      </c>
      <c r="T32" s="24">
        <f t="shared" si="0"/>
        <v>150</v>
      </c>
      <c r="U32" s="24">
        <f t="shared" si="0"/>
        <v>0</v>
      </c>
      <c r="V32" s="24">
        <f t="shared" si="0"/>
        <v>0</v>
      </c>
      <c r="W32" s="24">
        <f t="shared" si="0"/>
        <v>0</v>
      </c>
      <c r="X32" s="24">
        <f t="shared" si="0"/>
        <v>0</v>
      </c>
      <c r="Y32" s="24">
        <f t="shared" si="0"/>
        <v>0</v>
      </c>
      <c r="Z32" s="24">
        <f t="shared" si="0"/>
        <v>0</v>
      </c>
      <c r="AA32" s="24">
        <f t="shared" si="0"/>
        <v>0</v>
      </c>
      <c r="AB32" s="24">
        <f t="shared" si="0"/>
        <v>0</v>
      </c>
      <c r="AC32" s="24">
        <f t="shared" si="0"/>
        <v>0</v>
      </c>
      <c r="AD32" s="24">
        <f t="shared" si="0"/>
        <v>0</v>
      </c>
      <c r="AE32" s="24">
        <f t="shared" si="0"/>
        <v>0</v>
      </c>
      <c r="AF32" s="24">
        <f t="shared" si="0"/>
        <v>0</v>
      </c>
      <c r="AG32" s="24">
        <f t="shared" si="0"/>
        <v>0</v>
      </c>
      <c r="AH32" s="24">
        <f t="shared" si="0"/>
        <v>0</v>
      </c>
      <c r="AI32" s="24">
        <f t="shared" si="0"/>
        <v>0</v>
      </c>
      <c r="AJ32" s="24">
        <f t="shared" si="0"/>
        <v>165</v>
      </c>
      <c r="AK32" s="24">
        <f t="shared" si="0"/>
        <v>0</v>
      </c>
      <c r="AL32" s="24">
        <f t="shared" si="0"/>
        <v>0</v>
      </c>
      <c r="AM32" s="24">
        <f t="shared" si="0"/>
        <v>0</v>
      </c>
      <c r="AN32" s="24">
        <f t="shared" si="0"/>
        <v>0</v>
      </c>
      <c r="AO32" s="24">
        <f t="shared" si="0"/>
        <v>0</v>
      </c>
      <c r="AP32" s="24">
        <f t="shared" si="0"/>
        <v>0</v>
      </c>
      <c r="AQ32" s="24">
        <f t="shared" si="0"/>
        <v>0</v>
      </c>
      <c r="AR32" s="24">
        <f t="shared" si="0"/>
        <v>0</v>
      </c>
      <c r="AS32" s="24">
        <f t="shared" si="0"/>
        <v>0</v>
      </c>
      <c r="AT32" s="24">
        <f t="shared" si="0"/>
        <v>0</v>
      </c>
      <c r="AU32" s="24">
        <f t="shared" si="0"/>
        <v>0</v>
      </c>
      <c r="AV32" s="24">
        <f t="shared" si="0"/>
        <v>0</v>
      </c>
      <c r="AW32" s="24">
        <f t="shared" si="0"/>
        <v>0</v>
      </c>
      <c r="AX32" s="24">
        <f t="shared" si="0"/>
        <v>210</v>
      </c>
      <c r="AY32" s="24">
        <f t="shared" si="0"/>
        <v>0</v>
      </c>
      <c r="AZ32" s="24">
        <f t="shared" si="0"/>
        <v>0</v>
      </c>
      <c r="BA32" s="24">
        <f t="shared" si="0"/>
        <v>0</v>
      </c>
      <c r="BB32" s="24">
        <f t="shared" si="0"/>
        <v>0</v>
      </c>
      <c r="BC32" s="24">
        <f t="shared" si="0"/>
        <v>0</v>
      </c>
      <c r="BD32" s="24">
        <f t="shared" si="0"/>
        <v>0</v>
      </c>
      <c r="BE32" s="24">
        <f t="shared" si="0"/>
        <v>0</v>
      </c>
      <c r="BF32" s="24">
        <f t="shared" si="0"/>
        <v>0</v>
      </c>
      <c r="BG32" s="24">
        <f t="shared" si="0"/>
        <v>0</v>
      </c>
      <c r="BH32" s="24">
        <f t="shared" si="0"/>
        <v>0</v>
      </c>
      <c r="BI32" s="24">
        <f t="shared" si="0"/>
        <v>0</v>
      </c>
      <c r="BJ32" s="24">
        <f t="shared" si="0"/>
        <v>0</v>
      </c>
      <c r="BK32" s="24">
        <f t="shared" si="0"/>
        <v>0</v>
      </c>
      <c r="BL32" s="24">
        <f t="shared" si="0"/>
        <v>0</v>
      </c>
      <c r="BM32" s="24">
        <f t="shared" si="0"/>
        <v>0</v>
      </c>
    </row>
    <row r="33" spans="4:65" x14ac:dyDescent="0.3">
      <c r="D33" s="59" t="s">
        <v>24</v>
      </c>
      <c r="E33" s="59"/>
      <c r="F33" s="24">
        <f t="shared" si="0"/>
        <v>0</v>
      </c>
      <c r="G33" s="24">
        <f t="shared" si="0"/>
        <v>0</v>
      </c>
      <c r="H33" s="24">
        <f t="shared" si="0"/>
        <v>0</v>
      </c>
      <c r="I33" s="24">
        <f t="shared" si="0"/>
        <v>0</v>
      </c>
      <c r="J33" s="24">
        <f t="shared" si="0"/>
        <v>0</v>
      </c>
      <c r="K33" s="24">
        <f t="shared" si="0"/>
        <v>0</v>
      </c>
      <c r="L33" s="24">
        <f t="shared" si="0"/>
        <v>0</v>
      </c>
      <c r="M33" s="24">
        <f t="shared" si="0"/>
        <v>0</v>
      </c>
      <c r="N33" s="24">
        <f t="shared" si="0"/>
        <v>0</v>
      </c>
      <c r="O33" s="24">
        <f t="shared" si="0"/>
        <v>0</v>
      </c>
      <c r="P33" s="24">
        <f t="shared" si="0"/>
        <v>0</v>
      </c>
      <c r="Q33" s="24">
        <f t="shared" si="0"/>
        <v>0</v>
      </c>
      <c r="R33" s="24">
        <f t="shared" si="0"/>
        <v>0</v>
      </c>
      <c r="S33" s="24">
        <f t="shared" si="0"/>
        <v>0</v>
      </c>
      <c r="T33" s="24">
        <f t="shared" si="0"/>
        <v>0</v>
      </c>
      <c r="U33" s="24">
        <f t="shared" si="0"/>
        <v>0</v>
      </c>
      <c r="V33" s="24">
        <f t="shared" si="0"/>
        <v>135</v>
      </c>
      <c r="W33" s="24">
        <f t="shared" si="0"/>
        <v>0</v>
      </c>
      <c r="X33" s="24">
        <f t="shared" si="0"/>
        <v>0</v>
      </c>
      <c r="Y33" s="24">
        <f t="shared" si="0"/>
        <v>0</v>
      </c>
      <c r="Z33" s="24">
        <f t="shared" si="0"/>
        <v>0</v>
      </c>
      <c r="AA33" s="24">
        <f t="shared" si="0"/>
        <v>0</v>
      </c>
      <c r="AB33" s="24">
        <f t="shared" si="0"/>
        <v>0</v>
      </c>
      <c r="AC33" s="24">
        <f t="shared" si="0"/>
        <v>0</v>
      </c>
      <c r="AD33" s="24">
        <f t="shared" si="0"/>
        <v>0</v>
      </c>
      <c r="AE33" s="24">
        <f t="shared" si="0"/>
        <v>0</v>
      </c>
      <c r="AF33" s="24">
        <f t="shared" si="0"/>
        <v>0</v>
      </c>
      <c r="AG33" s="24">
        <f t="shared" si="0"/>
        <v>0</v>
      </c>
      <c r="AH33" s="24">
        <f t="shared" si="0"/>
        <v>0</v>
      </c>
      <c r="AI33" s="24">
        <f t="shared" si="0"/>
        <v>0</v>
      </c>
      <c r="AJ33" s="24">
        <f t="shared" si="0"/>
        <v>0</v>
      </c>
      <c r="AK33" s="24">
        <f t="shared" si="0"/>
        <v>0</v>
      </c>
      <c r="AL33" s="24">
        <f t="shared" si="0"/>
        <v>135</v>
      </c>
      <c r="AM33" s="24">
        <f t="shared" si="0"/>
        <v>0</v>
      </c>
      <c r="AN33" s="24">
        <f t="shared" si="0"/>
        <v>0</v>
      </c>
      <c r="AO33" s="24">
        <f t="shared" si="0"/>
        <v>0</v>
      </c>
      <c r="AP33" s="24">
        <f t="shared" si="0"/>
        <v>0</v>
      </c>
      <c r="AQ33" s="24">
        <f t="shared" si="0"/>
        <v>0</v>
      </c>
      <c r="AR33" s="24">
        <f t="shared" si="0"/>
        <v>0</v>
      </c>
      <c r="AS33" s="24">
        <f t="shared" si="0"/>
        <v>0</v>
      </c>
      <c r="AT33" s="24">
        <f t="shared" si="0"/>
        <v>0</v>
      </c>
      <c r="AU33" s="24">
        <f t="shared" si="0"/>
        <v>0</v>
      </c>
      <c r="AV33" s="24">
        <f t="shared" si="0"/>
        <v>0</v>
      </c>
      <c r="AW33" s="24">
        <f t="shared" si="0"/>
        <v>0</v>
      </c>
      <c r="AX33" s="24">
        <f t="shared" si="0"/>
        <v>0</v>
      </c>
      <c r="AY33" s="24">
        <f t="shared" si="0"/>
        <v>0</v>
      </c>
      <c r="AZ33" s="24">
        <f t="shared" si="0"/>
        <v>120</v>
      </c>
      <c r="BA33" s="24">
        <f t="shared" si="0"/>
        <v>0</v>
      </c>
      <c r="BB33" s="24">
        <f t="shared" si="0"/>
        <v>0</v>
      </c>
      <c r="BC33" s="24">
        <f t="shared" si="0"/>
        <v>0</v>
      </c>
      <c r="BD33" s="24">
        <f t="shared" si="0"/>
        <v>0</v>
      </c>
      <c r="BE33" s="24">
        <f t="shared" si="0"/>
        <v>0</v>
      </c>
      <c r="BF33" s="24">
        <f t="shared" si="0"/>
        <v>0</v>
      </c>
      <c r="BG33" s="24">
        <f t="shared" si="0"/>
        <v>0</v>
      </c>
      <c r="BH33" s="24">
        <f t="shared" si="0"/>
        <v>0</v>
      </c>
      <c r="BI33" s="24">
        <f t="shared" si="0"/>
        <v>0</v>
      </c>
      <c r="BJ33" s="24">
        <f t="shared" si="0"/>
        <v>0</v>
      </c>
      <c r="BK33" s="24">
        <f t="shared" si="0"/>
        <v>0</v>
      </c>
      <c r="BL33" s="24">
        <f t="shared" si="0"/>
        <v>0</v>
      </c>
      <c r="BM33" s="24">
        <f t="shared" si="0"/>
        <v>0</v>
      </c>
    </row>
    <row r="34" spans="4:65" x14ac:dyDescent="0.3">
      <c r="D34" t="s">
        <v>29</v>
      </c>
      <c r="E34" s="25"/>
      <c r="F34" s="24">
        <f t="shared" si="0"/>
        <v>0</v>
      </c>
      <c r="G34" s="24">
        <f t="shared" si="0"/>
        <v>0</v>
      </c>
      <c r="H34" s="24">
        <f t="shared" si="0"/>
        <v>0</v>
      </c>
      <c r="I34" s="24">
        <f t="shared" si="0"/>
        <v>0</v>
      </c>
      <c r="J34" s="24">
        <f t="shared" si="0"/>
        <v>195</v>
      </c>
      <c r="K34" s="24">
        <f t="shared" si="0"/>
        <v>0</v>
      </c>
      <c r="L34" s="24">
        <f t="shared" si="0"/>
        <v>0</v>
      </c>
      <c r="M34" s="24">
        <f t="shared" ref="M34:BM35" si="1">M10*15</f>
        <v>0</v>
      </c>
      <c r="N34" s="24">
        <f t="shared" si="1"/>
        <v>0</v>
      </c>
      <c r="O34" s="24">
        <f t="shared" si="1"/>
        <v>0</v>
      </c>
      <c r="P34" s="24">
        <f t="shared" si="1"/>
        <v>0</v>
      </c>
      <c r="Q34" s="24">
        <f t="shared" si="1"/>
        <v>0</v>
      </c>
      <c r="R34" s="24">
        <f t="shared" si="1"/>
        <v>0</v>
      </c>
      <c r="S34" s="24">
        <f t="shared" si="1"/>
        <v>0</v>
      </c>
      <c r="T34" s="24">
        <f t="shared" si="1"/>
        <v>0</v>
      </c>
      <c r="U34" s="24">
        <f t="shared" si="1"/>
        <v>0</v>
      </c>
      <c r="V34" s="24">
        <f t="shared" si="1"/>
        <v>180</v>
      </c>
      <c r="W34" s="24">
        <f t="shared" si="1"/>
        <v>0</v>
      </c>
      <c r="X34" s="24">
        <f t="shared" si="1"/>
        <v>0</v>
      </c>
      <c r="Y34" s="24">
        <f t="shared" si="1"/>
        <v>0</v>
      </c>
      <c r="Z34" s="24">
        <f t="shared" si="1"/>
        <v>0</v>
      </c>
      <c r="AA34" s="24">
        <f t="shared" si="1"/>
        <v>0</v>
      </c>
      <c r="AB34" s="24">
        <f t="shared" si="1"/>
        <v>0</v>
      </c>
      <c r="AC34" s="24">
        <f t="shared" si="1"/>
        <v>0</v>
      </c>
      <c r="AD34" s="24">
        <f t="shared" si="1"/>
        <v>0</v>
      </c>
      <c r="AE34" s="24">
        <f t="shared" si="1"/>
        <v>0</v>
      </c>
      <c r="AF34" s="24">
        <f t="shared" si="1"/>
        <v>0</v>
      </c>
      <c r="AG34" s="24">
        <f t="shared" si="1"/>
        <v>0</v>
      </c>
      <c r="AH34" s="24">
        <f t="shared" si="1"/>
        <v>0</v>
      </c>
      <c r="AI34" s="24">
        <f t="shared" si="1"/>
        <v>0</v>
      </c>
      <c r="AJ34" s="24">
        <f t="shared" si="1"/>
        <v>0</v>
      </c>
      <c r="AK34" s="24">
        <f t="shared" si="1"/>
        <v>0</v>
      </c>
      <c r="AL34" s="24">
        <f t="shared" si="1"/>
        <v>105</v>
      </c>
      <c r="AM34" s="24">
        <f t="shared" si="1"/>
        <v>0</v>
      </c>
      <c r="AN34" s="24">
        <f t="shared" si="1"/>
        <v>0</v>
      </c>
      <c r="AO34" s="24">
        <f t="shared" si="1"/>
        <v>0</v>
      </c>
      <c r="AP34" s="24">
        <f t="shared" si="1"/>
        <v>0</v>
      </c>
      <c r="AQ34" s="24">
        <f t="shared" si="1"/>
        <v>0</v>
      </c>
      <c r="AR34" s="24">
        <f t="shared" si="1"/>
        <v>0</v>
      </c>
      <c r="AS34" s="24">
        <f t="shared" si="1"/>
        <v>0</v>
      </c>
      <c r="AT34" s="24">
        <f t="shared" si="1"/>
        <v>0</v>
      </c>
      <c r="AU34" s="24">
        <f t="shared" si="1"/>
        <v>0</v>
      </c>
      <c r="AV34" s="24">
        <f t="shared" si="1"/>
        <v>0</v>
      </c>
      <c r="AW34" s="24">
        <f t="shared" si="1"/>
        <v>0</v>
      </c>
      <c r="AX34" s="24">
        <f t="shared" si="1"/>
        <v>0</v>
      </c>
      <c r="AY34" s="24">
        <f t="shared" si="1"/>
        <v>0</v>
      </c>
      <c r="AZ34" s="24">
        <f t="shared" si="1"/>
        <v>120</v>
      </c>
      <c r="BA34" s="24">
        <f t="shared" si="1"/>
        <v>0</v>
      </c>
      <c r="BB34" s="24">
        <f t="shared" si="1"/>
        <v>0</v>
      </c>
      <c r="BC34" s="24">
        <f t="shared" si="1"/>
        <v>0</v>
      </c>
      <c r="BD34" s="24">
        <f t="shared" si="1"/>
        <v>0</v>
      </c>
      <c r="BE34" s="24">
        <f t="shared" si="1"/>
        <v>0</v>
      </c>
      <c r="BF34" s="24">
        <f t="shared" si="1"/>
        <v>0</v>
      </c>
      <c r="BG34" s="24">
        <f t="shared" si="1"/>
        <v>0</v>
      </c>
      <c r="BH34" s="24">
        <f t="shared" si="1"/>
        <v>0</v>
      </c>
      <c r="BI34" s="24">
        <f t="shared" si="1"/>
        <v>0</v>
      </c>
      <c r="BJ34" s="24">
        <f t="shared" si="1"/>
        <v>0</v>
      </c>
      <c r="BK34" s="24">
        <f t="shared" si="1"/>
        <v>0</v>
      </c>
      <c r="BL34" s="24">
        <f t="shared" si="1"/>
        <v>0</v>
      </c>
      <c r="BM34" s="24">
        <f t="shared" si="1"/>
        <v>0</v>
      </c>
    </row>
    <row r="35" spans="4:65" x14ac:dyDescent="0.3">
      <c r="D35" t="s">
        <v>32</v>
      </c>
      <c r="E35" s="25"/>
      <c r="F35" s="24">
        <f t="shared" ref="F35:AK35" si="2">F11*15</f>
        <v>0</v>
      </c>
      <c r="G35" s="24">
        <f t="shared" si="2"/>
        <v>0</v>
      </c>
      <c r="H35" s="24">
        <f t="shared" si="2"/>
        <v>0</v>
      </c>
      <c r="I35" s="24">
        <f t="shared" si="2"/>
        <v>0</v>
      </c>
      <c r="J35" s="24">
        <f t="shared" si="2"/>
        <v>180</v>
      </c>
      <c r="K35" s="24">
        <f t="shared" si="2"/>
        <v>0</v>
      </c>
      <c r="L35" s="24">
        <f t="shared" si="2"/>
        <v>180</v>
      </c>
      <c r="M35" s="24">
        <f t="shared" si="2"/>
        <v>0</v>
      </c>
      <c r="N35" s="24">
        <f t="shared" si="2"/>
        <v>0</v>
      </c>
      <c r="O35" s="24">
        <f t="shared" si="2"/>
        <v>0</v>
      </c>
      <c r="P35" s="24">
        <f t="shared" si="2"/>
        <v>0</v>
      </c>
      <c r="Q35" s="24">
        <f t="shared" si="2"/>
        <v>0</v>
      </c>
      <c r="R35" s="24">
        <f t="shared" si="2"/>
        <v>0</v>
      </c>
      <c r="S35" s="24">
        <f t="shared" si="2"/>
        <v>0</v>
      </c>
      <c r="T35" s="24">
        <f t="shared" si="2"/>
        <v>0</v>
      </c>
      <c r="U35" s="24">
        <f t="shared" si="2"/>
        <v>0</v>
      </c>
      <c r="V35" s="24">
        <f t="shared" si="2"/>
        <v>165</v>
      </c>
      <c r="W35" s="24">
        <f t="shared" si="2"/>
        <v>0</v>
      </c>
      <c r="X35" s="24">
        <f t="shared" si="2"/>
        <v>0</v>
      </c>
      <c r="Y35" s="24">
        <f t="shared" si="2"/>
        <v>0</v>
      </c>
      <c r="Z35" s="24">
        <f t="shared" si="2"/>
        <v>0</v>
      </c>
      <c r="AA35" s="24">
        <f t="shared" si="2"/>
        <v>0</v>
      </c>
      <c r="AB35" s="24">
        <f t="shared" si="2"/>
        <v>0</v>
      </c>
      <c r="AC35" s="24">
        <f t="shared" si="2"/>
        <v>0</v>
      </c>
      <c r="AD35" s="24">
        <f t="shared" si="2"/>
        <v>0</v>
      </c>
      <c r="AE35" s="24">
        <f t="shared" si="2"/>
        <v>0</v>
      </c>
      <c r="AF35" s="24">
        <f t="shared" si="2"/>
        <v>0</v>
      </c>
      <c r="AG35" s="24">
        <f t="shared" si="2"/>
        <v>0</v>
      </c>
      <c r="AH35" s="24">
        <f t="shared" si="2"/>
        <v>0</v>
      </c>
      <c r="AI35" s="24">
        <f t="shared" si="2"/>
        <v>0</v>
      </c>
      <c r="AJ35" s="24">
        <f t="shared" si="2"/>
        <v>0</v>
      </c>
      <c r="AK35" s="24">
        <f t="shared" si="2"/>
        <v>0</v>
      </c>
      <c r="AL35" s="24">
        <f t="shared" si="1"/>
        <v>135</v>
      </c>
      <c r="AM35" s="24">
        <f t="shared" si="1"/>
        <v>0</v>
      </c>
      <c r="AN35" s="24">
        <f t="shared" si="1"/>
        <v>0</v>
      </c>
      <c r="AO35" s="24">
        <f t="shared" si="1"/>
        <v>0</v>
      </c>
      <c r="AP35" s="24">
        <f t="shared" si="1"/>
        <v>0</v>
      </c>
      <c r="AQ35" s="24">
        <f t="shared" si="1"/>
        <v>0</v>
      </c>
      <c r="AR35" s="24">
        <f t="shared" si="1"/>
        <v>0</v>
      </c>
      <c r="AS35" s="24">
        <f t="shared" si="1"/>
        <v>0</v>
      </c>
      <c r="AT35" s="24">
        <f t="shared" si="1"/>
        <v>0</v>
      </c>
      <c r="AU35" s="24">
        <f t="shared" si="1"/>
        <v>0</v>
      </c>
      <c r="AV35" s="24">
        <f t="shared" si="1"/>
        <v>0</v>
      </c>
      <c r="AW35" s="24">
        <f t="shared" si="1"/>
        <v>0</v>
      </c>
      <c r="AX35" s="24">
        <f t="shared" si="1"/>
        <v>0</v>
      </c>
      <c r="AY35" s="24">
        <f t="shared" si="1"/>
        <v>0</v>
      </c>
      <c r="AZ35" s="24">
        <f t="shared" si="1"/>
        <v>180</v>
      </c>
      <c r="BA35" s="24">
        <f t="shared" si="1"/>
        <v>0</v>
      </c>
      <c r="BB35" s="24">
        <f t="shared" si="1"/>
        <v>0</v>
      </c>
      <c r="BC35" s="24">
        <f t="shared" si="1"/>
        <v>0</v>
      </c>
      <c r="BD35" s="24">
        <f t="shared" si="1"/>
        <v>0</v>
      </c>
      <c r="BE35" s="24">
        <f t="shared" si="1"/>
        <v>0</v>
      </c>
      <c r="BF35" s="24">
        <f t="shared" si="1"/>
        <v>0</v>
      </c>
      <c r="BG35" s="24">
        <f t="shared" si="1"/>
        <v>0</v>
      </c>
      <c r="BH35" s="24">
        <f t="shared" si="1"/>
        <v>0</v>
      </c>
      <c r="BI35" s="24">
        <f t="shared" si="1"/>
        <v>0</v>
      </c>
      <c r="BJ35" s="24">
        <f t="shared" si="1"/>
        <v>0</v>
      </c>
      <c r="BK35" s="24">
        <f t="shared" si="1"/>
        <v>0</v>
      </c>
      <c r="BL35" s="24">
        <f t="shared" si="1"/>
        <v>0</v>
      </c>
      <c r="BM35" s="24">
        <f t="shared" si="1"/>
        <v>0</v>
      </c>
    </row>
    <row r="36" spans="4:65" x14ac:dyDescent="0.3">
      <c r="D36" s="23" t="s">
        <v>35</v>
      </c>
      <c r="E36" s="25"/>
      <c r="F36" s="24">
        <f t="shared" ref="F36:BM36" si="3">F13*40</f>
        <v>0</v>
      </c>
      <c r="G36" s="24">
        <f t="shared" si="3"/>
        <v>0</v>
      </c>
      <c r="H36" s="24">
        <f t="shared" si="3"/>
        <v>0</v>
      </c>
      <c r="I36" s="24">
        <f t="shared" si="3"/>
        <v>0</v>
      </c>
      <c r="J36" s="24">
        <f t="shared" si="3"/>
        <v>0</v>
      </c>
      <c r="K36" s="24">
        <f t="shared" si="3"/>
        <v>0</v>
      </c>
      <c r="L36" s="24">
        <f t="shared" si="3"/>
        <v>0</v>
      </c>
      <c r="M36" s="24">
        <f t="shared" si="3"/>
        <v>0</v>
      </c>
      <c r="N36" s="24">
        <f t="shared" si="3"/>
        <v>0</v>
      </c>
      <c r="O36" s="24">
        <f t="shared" si="3"/>
        <v>0</v>
      </c>
      <c r="P36" s="24">
        <f t="shared" si="3"/>
        <v>0</v>
      </c>
      <c r="Q36" s="24">
        <f t="shared" si="3"/>
        <v>0</v>
      </c>
      <c r="R36" s="24">
        <f t="shared" si="3"/>
        <v>0</v>
      </c>
      <c r="S36" s="24">
        <f t="shared" si="3"/>
        <v>0</v>
      </c>
      <c r="T36" s="24">
        <f t="shared" si="3"/>
        <v>280</v>
      </c>
      <c r="U36" s="24">
        <f t="shared" si="3"/>
        <v>0</v>
      </c>
      <c r="V36" s="24">
        <f t="shared" si="3"/>
        <v>0</v>
      </c>
      <c r="W36" s="24">
        <f t="shared" si="3"/>
        <v>0</v>
      </c>
      <c r="X36" s="24">
        <f t="shared" si="3"/>
        <v>0</v>
      </c>
      <c r="Y36" s="24">
        <f t="shared" si="3"/>
        <v>0</v>
      </c>
      <c r="Z36" s="24">
        <f t="shared" si="3"/>
        <v>0</v>
      </c>
      <c r="AA36" s="24">
        <f t="shared" si="3"/>
        <v>0</v>
      </c>
      <c r="AB36" s="24">
        <f t="shared" si="3"/>
        <v>0</v>
      </c>
      <c r="AC36" s="24">
        <f t="shared" si="3"/>
        <v>0</v>
      </c>
      <c r="AD36" s="24">
        <f t="shared" si="3"/>
        <v>0</v>
      </c>
      <c r="AE36" s="24">
        <f t="shared" si="3"/>
        <v>0</v>
      </c>
      <c r="AF36" s="24">
        <f t="shared" si="3"/>
        <v>0</v>
      </c>
      <c r="AG36" s="24">
        <f t="shared" si="3"/>
        <v>0</v>
      </c>
      <c r="AH36" s="24">
        <f t="shared" si="3"/>
        <v>0</v>
      </c>
      <c r="AI36" s="24">
        <f t="shared" si="3"/>
        <v>0</v>
      </c>
      <c r="AJ36" s="24">
        <f t="shared" si="3"/>
        <v>0</v>
      </c>
      <c r="AK36" s="24">
        <f t="shared" si="3"/>
        <v>0</v>
      </c>
      <c r="AL36" s="24">
        <f t="shared" si="3"/>
        <v>0</v>
      </c>
      <c r="AM36" s="24">
        <f t="shared" si="3"/>
        <v>0</v>
      </c>
      <c r="AN36" s="24">
        <f t="shared" si="3"/>
        <v>0</v>
      </c>
      <c r="AO36" s="24">
        <f t="shared" si="3"/>
        <v>0</v>
      </c>
      <c r="AP36" s="24">
        <f t="shared" si="3"/>
        <v>0</v>
      </c>
      <c r="AQ36" s="24">
        <f t="shared" si="3"/>
        <v>0</v>
      </c>
      <c r="AR36" s="24">
        <f t="shared" si="3"/>
        <v>0</v>
      </c>
      <c r="AS36" s="24">
        <f t="shared" si="3"/>
        <v>0</v>
      </c>
      <c r="AT36" s="24">
        <f t="shared" si="3"/>
        <v>0</v>
      </c>
      <c r="AU36" s="24">
        <f t="shared" si="3"/>
        <v>0</v>
      </c>
      <c r="AV36" s="24">
        <f t="shared" si="3"/>
        <v>0</v>
      </c>
      <c r="AW36" s="24">
        <f t="shared" si="3"/>
        <v>0</v>
      </c>
      <c r="AX36" s="24">
        <f t="shared" si="3"/>
        <v>0</v>
      </c>
      <c r="AY36" s="24">
        <f t="shared" si="3"/>
        <v>0</v>
      </c>
      <c r="AZ36" s="24">
        <f t="shared" si="3"/>
        <v>0</v>
      </c>
      <c r="BA36" s="24">
        <f t="shared" si="3"/>
        <v>0</v>
      </c>
      <c r="BB36" s="24">
        <f t="shared" si="3"/>
        <v>0</v>
      </c>
      <c r="BC36" s="24">
        <f t="shared" si="3"/>
        <v>0</v>
      </c>
      <c r="BD36" s="24">
        <f t="shared" si="3"/>
        <v>0</v>
      </c>
      <c r="BE36" s="24">
        <f t="shared" si="3"/>
        <v>0</v>
      </c>
      <c r="BF36" s="24">
        <f t="shared" si="3"/>
        <v>0</v>
      </c>
      <c r="BG36" s="24">
        <f t="shared" si="3"/>
        <v>0</v>
      </c>
      <c r="BH36" s="24">
        <f t="shared" si="3"/>
        <v>320</v>
      </c>
      <c r="BI36" s="24">
        <f t="shared" si="3"/>
        <v>80</v>
      </c>
      <c r="BJ36" s="24">
        <f t="shared" si="3"/>
        <v>0</v>
      </c>
      <c r="BK36" s="24">
        <f t="shared" si="3"/>
        <v>0</v>
      </c>
      <c r="BL36" s="24">
        <f t="shared" si="3"/>
        <v>0</v>
      </c>
      <c r="BM36" s="24">
        <f t="shared" si="3"/>
        <v>0</v>
      </c>
    </row>
    <row r="37" spans="4:65" x14ac:dyDescent="0.3">
      <c r="D37" s="23" t="s">
        <v>35</v>
      </c>
      <c r="E37" s="25"/>
      <c r="F37" s="24">
        <f t="shared" ref="F37:BM37" si="4">F12*40</f>
        <v>0</v>
      </c>
      <c r="G37" s="24">
        <f t="shared" si="4"/>
        <v>0</v>
      </c>
      <c r="H37" s="24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4"/>
        <v>0</v>
      </c>
      <c r="N37" s="24">
        <f t="shared" si="4"/>
        <v>0</v>
      </c>
      <c r="O37" s="24">
        <f t="shared" si="4"/>
        <v>0</v>
      </c>
      <c r="P37" s="24">
        <f t="shared" si="4"/>
        <v>0</v>
      </c>
      <c r="Q37" s="24">
        <f t="shared" si="4"/>
        <v>0</v>
      </c>
      <c r="R37" s="24">
        <f t="shared" si="4"/>
        <v>280</v>
      </c>
      <c r="S37" s="24">
        <f t="shared" si="4"/>
        <v>0</v>
      </c>
      <c r="T37" s="24">
        <f t="shared" si="4"/>
        <v>0</v>
      </c>
      <c r="U37" s="24">
        <f t="shared" si="4"/>
        <v>0</v>
      </c>
      <c r="V37" s="24">
        <f t="shared" si="4"/>
        <v>0</v>
      </c>
      <c r="W37" s="24">
        <f t="shared" si="4"/>
        <v>0</v>
      </c>
      <c r="X37" s="24">
        <f t="shared" si="4"/>
        <v>0</v>
      </c>
      <c r="Y37" s="24">
        <f t="shared" si="4"/>
        <v>0</v>
      </c>
      <c r="Z37" s="24">
        <f t="shared" si="4"/>
        <v>0</v>
      </c>
      <c r="AA37" s="24">
        <f t="shared" si="4"/>
        <v>0</v>
      </c>
      <c r="AB37" s="24">
        <f t="shared" si="4"/>
        <v>0</v>
      </c>
      <c r="AC37" s="24">
        <f t="shared" si="4"/>
        <v>0</v>
      </c>
      <c r="AD37" s="24">
        <f t="shared" si="4"/>
        <v>0</v>
      </c>
      <c r="AE37" s="24">
        <f t="shared" si="4"/>
        <v>0</v>
      </c>
      <c r="AF37" s="24">
        <f t="shared" si="4"/>
        <v>0</v>
      </c>
      <c r="AG37" s="24">
        <f t="shared" si="4"/>
        <v>0</v>
      </c>
      <c r="AH37" s="24">
        <f t="shared" si="4"/>
        <v>0</v>
      </c>
      <c r="AI37" s="24">
        <f t="shared" si="4"/>
        <v>0</v>
      </c>
      <c r="AJ37" s="24">
        <f t="shared" si="4"/>
        <v>0</v>
      </c>
      <c r="AK37" s="24">
        <f t="shared" si="4"/>
        <v>0</v>
      </c>
      <c r="AL37" s="24">
        <f t="shared" si="4"/>
        <v>0</v>
      </c>
      <c r="AM37" s="24">
        <f t="shared" si="4"/>
        <v>0</v>
      </c>
      <c r="AN37" s="24">
        <f t="shared" si="4"/>
        <v>0</v>
      </c>
      <c r="AO37" s="24">
        <f t="shared" si="4"/>
        <v>0</v>
      </c>
      <c r="AP37" s="24">
        <f t="shared" si="4"/>
        <v>0</v>
      </c>
      <c r="AQ37" s="24">
        <f t="shared" si="4"/>
        <v>0</v>
      </c>
      <c r="AR37" s="24">
        <f t="shared" si="4"/>
        <v>0</v>
      </c>
      <c r="AS37" s="24">
        <f t="shared" si="4"/>
        <v>0</v>
      </c>
      <c r="AT37" s="24">
        <f t="shared" si="4"/>
        <v>0</v>
      </c>
      <c r="AU37" s="24">
        <f t="shared" si="4"/>
        <v>0</v>
      </c>
      <c r="AV37" s="24">
        <f t="shared" si="4"/>
        <v>0</v>
      </c>
      <c r="AW37" s="24">
        <f t="shared" si="4"/>
        <v>0</v>
      </c>
      <c r="AX37" s="24">
        <f t="shared" si="4"/>
        <v>0</v>
      </c>
      <c r="AY37" s="24">
        <f t="shared" si="4"/>
        <v>0</v>
      </c>
      <c r="AZ37" s="24">
        <f t="shared" si="4"/>
        <v>0</v>
      </c>
      <c r="BA37" s="24">
        <f t="shared" si="4"/>
        <v>0</v>
      </c>
      <c r="BB37" s="24">
        <f t="shared" si="4"/>
        <v>400</v>
      </c>
      <c r="BC37" s="24">
        <f t="shared" si="4"/>
        <v>0</v>
      </c>
      <c r="BD37" s="24">
        <f t="shared" si="4"/>
        <v>0</v>
      </c>
      <c r="BE37" s="24">
        <f t="shared" si="4"/>
        <v>0</v>
      </c>
      <c r="BF37" s="24">
        <f t="shared" si="4"/>
        <v>0</v>
      </c>
      <c r="BG37" s="24">
        <f t="shared" si="4"/>
        <v>0</v>
      </c>
      <c r="BH37" s="24">
        <f t="shared" si="4"/>
        <v>0</v>
      </c>
      <c r="BI37" s="24">
        <f t="shared" si="4"/>
        <v>0</v>
      </c>
      <c r="BJ37" s="24">
        <f t="shared" si="4"/>
        <v>0</v>
      </c>
      <c r="BK37" s="24">
        <f t="shared" si="4"/>
        <v>0</v>
      </c>
      <c r="BL37" s="24">
        <f t="shared" si="4"/>
        <v>0</v>
      </c>
      <c r="BM37" s="24">
        <f t="shared" si="4"/>
        <v>0</v>
      </c>
    </row>
    <row r="38" spans="4:65" x14ac:dyDescent="0.3">
      <c r="D38" s="23" t="s">
        <v>42</v>
      </c>
      <c r="E38" s="25"/>
      <c r="F38" s="24">
        <f t="shared" ref="F38:BM40" si="5">F14*30</f>
        <v>0</v>
      </c>
      <c r="G38" s="24">
        <f t="shared" si="5"/>
        <v>0</v>
      </c>
      <c r="H38" s="24">
        <f t="shared" si="5"/>
        <v>0</v>
      </c>
      <c r="I38" s="24">
        <f t="shared" si="5"/>
        <v>0</v>
      </c>
      <c r="J38" s="24">
        <f t="shared" si="5"/>
        <v>0</v>
      </c>
      <c r="K38" s="24">
        <f t="shared" si="5"/>
        <v>0</v>
      </c>
      <c r="L38" s="24">
        <f t="shared" si="5"/>
        <v>360</v>
      </c>
      <c r="M38" s="24">
        <f t="shared" si="5"/>
        <v>0</v>
      </c>
      <c r="N38" s="24">
        <f t="shared" si="5"/>
        <v>0</v>
      </c>
      <c r="O38" s="24">
        <f t="shared" si="5"/>
        <v>0</v>
      </c>
      <c r="P38" s="24">
        <f t="shared" si="5"/>
        <v>0</v>
      </c>
      <c r="Q38" s="24">
        <f t="shared" si="5"/>
        <v>0</v>
      </c>
      <c r="R38" s="24">
        <f t="shared" si="5"/>
        <v>0</v>
      </c>
      <c r="S38" s="24">
        <f t="shared" si="5"/>
        <v>0</v>
      </c>
      <c r="T38" s="24">
        <f t="shared" si="5"/>
        <v>0</v>
      </c>
      <c r="U38" s="24">
        <f t="shared" si="5"/>
        <v>0</v>
      </c>
      <c r="V38" s="24">
        <f t="shared" si="5"/>
        <v>0</v>
      </c>
      <c r="W38" s="24">
        <f t="shared" si="5"/>
        <v>0</v>
      </c>
      <c r="X38" s="24">
        <f t="shared" si="5"/>
        <v>0</v>
      </c>
      <c r="Y38" s="24">
        <f t="shared" si="5"/>
        <v>0</v>
      </c>
      <c r="Z38" s="24">
        <f t="shared" si="5"/>
        <v>0</v>
      </c>
      <c r="AA38" s="24">
        <f t="shared" si="5"/>
        <v>0</v>
      </c>
      <c r="AB38" s="24">
        <f t="shared" si="5"/>
        <v>0</v>
      </c>
      <c r="AC38" s="24">
        <f t="shared" si="5"/>
        <v>0</v>
      </c>
      <c r="AD38" s="24">
        <f t="shared" si="5"/>
        <v>0</v>
      </c>
      <c r="AE38" s="24">
        <f t="shared" si="5"/>
        <v>0</v>
      </c>
      <c r="AF38" s="24">
        <f t="shared" si="5"/>
        <v>0</v>
      </c>
      <c r="AG38" s="24">
        <f t="shared" si="5"/>
        <v>0</v>
      </c>
      <c r="AH38" s="24">
        <f t="shared" si="5"/>
        <v>0</v>
      </c>
      <c r="AI38" s="24">
        <f t="shared" si="5"/>
        <v>0</v>
      </c>
      <c r="AJ38" s="24">
        <f t="shared" si="5"/>
        <v>0</v>
      </c>
      <c r="AK38" s="24">
        <f t="shared" si="5"/>
        <v>0</v>
      </c>
      <c r="AL38" s="24">
        <f t="shared" si="5"/>
        <v>360</v>
      </c>
      <c r="AM38" s="24">
        <f t="shared" si="5"/>
        <v>0</v>
      </c>
      <c r="AN38" s="24">
        <f t="shared" si="5"/>
        <v>0</v>
      </c>
      <c r="AO38" s="24">
        <f t="shared" si="5"/>
        <v>0</v>
      </c>
      <c r="AP38" s="24">
        <f t="shared" si="5"/>
        <v>0</v>
      </c>
      <c r="AQ38" s="24">
        <f t="shared" si="5"/>
        <v>0</v>
      </c>
      <c r="AR38" s="24">
        <f t="shared" si="5"/>
        <v>0</v>
      </c>
      <c r="AS38" s="24">
        <f t="shared" si="5"/>
        <v>0</v>
      </c>
      <c r="AT38" s="24">
        <f t="shared" si="5"/>
        <v>0</v>
      </c>
      <c r="AU38" s="24">
        <f t="shared" si="5"/>
        <v>0</v>
      </c>
      <c r="AV38" s="24">
        <f t="shared" si="5"/>
        <v>0</v>
      </c>
      <c r="AW38" s="24">
        <f t="shared" si="5"/>
        <v>0</v>
      </c>
      <c r="AX38" s="24">
        <f t="shared" si="5"/>
        <v>0</v>
      </c>
      <c r="AY38" s="24">
        <f t="shared" si="5"/>
        <v>0</v>
      </c>
      <c r="AZ38" s="24">
        <f t="shared" si="5"/>
        <v>0</v>
      </c>
      <c r="BA38" s="24">
        <f t="shared" si="5"/>
        <v>0</v>
      </c>
      <c r="BB38" s="24">
        <f t="shared" si="5"/>
        <v>360</v>
      </c>
      <c r="BC38" s="24">
        <f t="shared" si="5"/>
        <v>0</v>
      </c>
      <c r="BD38" s="24">
        <f t="shared" si="5"/>
        <v>0</v>
      </c>
      <c r="BE38" s="24">
        <f t="shared" si="5"/>
        <v>0</v>
      </c>
      <c r="BF38" s="24">
        <f t="shared" si="5"/>
        <v>0</v>
      </c>
      <c r="BG38" s="24">
        <f t="shared" si="5"/>
        <v>0</v>
      </c>
      <c r="BH38" s="24">
        <f t="shared" si="5"/>
        <v>0</v>
      </c>
      <c r="BI38" s="24">
        <f t="shared" si="5"/>
        <v>0</v>
      </c>
      <c r="BJ38" s="24">
        <f t="shared" si="5"/>
        <v>0</v>
      </c>
      <c r="BK38" s="24">
        <f t="shared" si="5"/>
        <v>0</v>
      </c>
      <c r="BL38" s="24">
        <f t="shared" si="5"/>
        <v>0</v>
      </c>
      <c r="BM38" s="24">
        <f t="shared" si="5"/>
        <v>0</v>
      </c>
    </row>
    <row r="39" spans="4:65" x14ac:dyDescent="0.3">
      <c r="D39" s="23" t="s">
        <v>45</v>
      </c>
      <c r="E39" s="25"/>
      <c r="F39" s="24">
        <f t="shared" si="5"/>
        <v>0</v>
      </c>
      <c r="G39" s="24">
        <f t="shared" si="5"/>
        <v>0</v>
      </c>
      <c r="H39" s="24">
        <f t="shared" si="5"/>
        <v>0</v>
      </c>
      <c r="I39" s="24">
        <f t="shared" si="5"/>
        <v>0</v>
      </c>
      <c r="J39" s="24">
        <f t="shared" si="5"/>
        <v>0</v>
      </c>
      <c r="K39" s="24">
        <f t="shared" si="5"/>
        <v>0</v>
      </c>
      <c r="L39" s="24">
        <f t="shared" si="5"/>
        <v>0</v>
      </c>
      <c r="M39" s="24">
        <f t="shared" si="5"/>
        <v>0</v>
      </c>
      <c r="N39" s="24">
        <f t="shared" si="5"/>
        <v>0</v>
      </c>
      <c r="O39" s="24">
        <f t="shared" si="5"/>
        <v>0</v>
      </c>
      <c r="P39" s="24">
        <f t="shared" si="5"/>
        <v>0</v>
      </c>
      <c r="Q39" s="24">
        <f t="shared" si="5"/>
        <v>0</v>
      </c>
      <c r="R39" s="24">
        <f t="shared" si="5"/>
        <v>210</v>
      </c>
      <c r="S39" s="24">
        <f t="shared" si="5"/>
        <v>0</v>
      </c>
      <c r="T39" s="24">
        <f t="shared" si="5"/>
        <v>0</v>
      </c>
      <c r="U39" s="24">
        <f t="shared" si="5"/>
        <v>0</v>
      </c>
      <c r="V39" s="24">
        <f t="shared" si="5"/>
        <v>0</v>
      </c>
      <c r="W39" s="24">
        <f t="shared" si="5"/>
        <v>0</v>
      </c>
      <c r="X39" s="24">
        <f t="shared" si="5"/>
        <v>0</v>
      </c>
      <c r="Y39" s="24">
        <f t="shared" si="5"/>
        <v>0</v>
      </c>
      <c r="Z39" s="24">
        <f t="shared" si="5"/>
        <v>0</v>
      </c>
      <c r="AA39" s="24">
        <f t="shared" si="5"/>
        <v>0</v>
      </c>
      <c r="AB39" s="24">
        <f t="shared" si="5"/>
        <v>0</v>
      </c>
      <c r="AC39" s="24">
        <f t="shared" si="5"/>
        <v>0</v>
      </c>
      <c r="AD39" s="24">
        <f t="shared" si="5"/>
        <v>0</v>
      </c>
      <c r="AE39" s="24">
        <f t="shared" si="5"/>
        <v>0</v>
      </c>
      <c r="AF39" s="24">
        <f t="shared" si="5"/>
        <v>0</v>
      </c>
      <c r="AG39" s="24">
        <f t="shared" si="5"/>
        <v>0</v>
      </c>
      <c r="AH39" s="24">
        <f t="shared" si="5"/>
        <v>0</v>
      </c>
      <c r="AI39" s="24">
        <f t="shared" si="5"/>
        <v>0</v>
      </c>
      <c r="AJ39" s="24">
        <f t="shared" si="5"/>
        <v>0</v>
      </c>
      <c r="AK39" s="24">
        <f t="shared" si="5"/>
        <v>0</v>
      </c>
      <c r="AL39" s="24">
        <f t="shared" si="5"/>
        <v>0</v>
      </c>
      <c r="AM39" s="24">
        <f t="shared" si="5"/>
        <v>0</v>
      </c>
      <c r="AN39" s="24">
        <f t="shared" si="5"/>
        <v>0</v>
      </c>
      <c r="AO39" s="24">
        <f t="shared" si="5"/>
        <v>0</v>
      </c>
      <c r="AP39" s="24">
        <f t="shared" si="5"/>
        <v>0</v>
      </c>
      <c r="AQ39" s="24">
        <f t="shared" si="5"/>
        <v>0</v>
      </c>
      <c r="AR39" s="24">
        <f t="shared" si="5"/>
        <v>0</v>
      </c>
      <c r="AS39" s="24">
        <f t="shared" si="5"/>
        <v>0</v>
      </c>
      <c r="AT39" s="24">
        <f t="shared" si="5"/>
        <v>0</v>
      </c>
      <c r="AU39" s="24">
        <f t="shared" si="5"/>
        <v>0</v>
      </c>
      <c r="AV39" s="24">
        <f t="shared" si="5"/>
        <v>0</v>
      </c>
      <c r="AW39" s="24">
        <f t="shared" si="5"/>
        <v>0</v>
      </c>
      <c r="AX39" s="24">
        <f t="shared" si="5"/>
        <v>0</v>
      </c>
      <c r="AY39" s="24">
        <f t="shared" si="5"/>
        <v>0</v>
      </c>
      <c r="AZ39" s="24">
        <f t="shared" si="5"/>
        <v>0</v>
      </c>
      <c r="BA39" s="24">
        <f t="shared" si="5"/>
        <v>0</v>
      </c>
      <c r="BB39" s="24">
        <f t="shared" si="5"/>
        <v>0</v>
      </c>
      <c r="BC39" s="24">
        <f t="shared" si="5"/>
        <v>0</v>
      </c>
      <c r="BD39" s="24">
        <f t="shared" si="5"/>
        <v>0</v>
      </c>
      <c r="BE39" s="24">
        <f t="shared" si="5"/>
        <v>0</v>
      </c>
      <c r="BF39" s="24">
        <f t="shared" si="5"/>
        <v>0</v>
      </c>
      <c r="BG39" s="24">
        <f t="shared" si="5"/>
        <v>0</v>
      </c>
      <c r="BH39" s="24">
        <f t="shared" si="5"/>
        <v>0</v>
      </c>
      <c r="BI39" s="24">
        <f t="shared" si="5"/>
        <v>0</v>
      </c>
      <c r="BJ39" s="24">
        <f t="shared" si="5"/>
        <v>270</v>
      </c>
      <c r="BK39" s="24">
        <f t="shared" si="5"/>
        <v>0</v>
      </c>
      <c r="BL39" s="24">
        <f t="shared" si="5"/>
        <v>0</v>
      </c>
      <c r="BM39" s="24">
        <f t="shared" si="5"/>
        <v>0</v>
      </c>
    </row>
    <row r="40" spans="4:65" x14ac:dyDescent="0.3">
      <c r="D40" s="23" t="s">
        <v>47</v>
      </c>
      <c r="E40" s="25"/>
      <c r="F40" s="24">
        <f t="shared" si="5"/>
        <v>0</v>
      </c>
      <c r="G40" s="24">
        <f t="shared" si="5"/>
        <v>0</v>
      </c>
      <c r="H40" s="24">
        <f t="shared" si="5"/>
        <v>0</v>
      </c>
      <c r="I40" s="24">
        <f t="shared" si="5"/>
        <v>0</v>
      </c>
      <c r="J40" s="24">
        <f t="shared" si="5"/>
        <v>0</v>
      </c>
      <c r="K40" s="24">
        <f t="shared" si="5"/>
        <v>0</v>
      </c>
      <c r="L40" s="24">
        <f t="shared" si="5"/>
        <v>0</v>
      </c>
      <c r="M40" s="24">
        <f t="shared" si="5"/>
        <v>0</v>
      </c>
      <c r="N40" s="24">
        <f t="shared" si="5"/>
        <v>0</v>
      </c>
      <c r="O40" s="24">
        <f t="shared" si="5"/>
        <v>0</v>
      </c>
      <c r="P40" s="24">
        <f t="shared" si="5"/>
        <v>0</v>
      </c>
      <c r="Q40" s="24">
        <f t="shared" si="5"/>
        <v>0</v>
      </c>
      <c r="R40" s="24">
        <f t="shared" si="5"/>
        <v>150</v>
      </c>
      <c r="S40" s="24">
        <f t="shared" si="5"/>
        <v>0</v>
      </c>
      <c r="T40" s="24">
        <f t="shared" si="5"/>
        <v>0</v>
      </c>
      <c r="U40" s="24">
        <f t="shared" si="5"/>
        <v>0</v>
      </c>
      <c r="V40" s="24">
        <f t="shared" si="5"/>
        <v>0</v>
      </c>
      <c r="W40" s="24">
        <f t="shared" si="5"/>
        <v>0</v>
      </c>
      <c r="X40" s="24">
        <f t="shared" si="5"/>
        <v>0</v>
      </c>
      <c r="Y40" s="24">
        <f t="shared" si="5"/>
        <v>0</v>
      </c>
      <c r="Z40" s="24">
        <f t="shared" si="5"/>
        <v>0</v>
      </c>
      <c r="AA40" s="24">
        <f t="shared" si="5"/>
        <v>0</v>
      </c>
      <c r="AB40" s="24">
        <f t="shared" si="5"/>
        <v>0</v>
      </c>
      <c r="AC40" s="24">
        <f t="shared" si="5"/>
        <v>0</v>
      </c>
      <c r="AD40" s="24">
        <f t="shared" si="5"/>
        <v>0</v>
      </c>
      <c r="AE40" s="24">
        <f t="shared" si="5"/>
        <v>0</v>
      </c>
      <c r="AF40" s="24">
        <f t="shared" si="5"/>
        <v>0</v>
      </c>
      <c r="AG40" s="24">
        <f t="shared" si="5"/>
        <v>0</v>
      </c>
      <c r="AH40" s="24">
        <f t="shared" si="5"/>
        <v>0</v>
      </c>
      <c r="AI40" s="24">
        <f t="shared" si="5"/>
        <v>0</v>
      </c>
      <c r="AJ40" s="24">
        <f t="shared" si="5"/>
        <v>0</v>
      </c>
      <c r="AK40" s="24">
        <f t="shared" si="5"/>
        <v>0</v>
      </c>
      <c r="AL40" s="24">
        <f t="shared" si="5"/>
        <v>0</v>
      </c>
      <c r="AM40" s="24">
        <f t="shared" si="5"/>
        <v>0</v>
      </c>
      <c r="AN40" s="24">
        <f t="shared" si="5"/>
        <v>240</v>
      </c>
      <c r="AO40" s="24">
        <f t="shared" si="5"/>
        <v>0</v>
      </c>
      <c r="AP40" s="24">
        <f t="shared" si="5"/>
        <v>0</v>
      </c>
      <c r="AQ40" s="24">
        <f t="shared" si="5"/>
        <v>0</v>
      </c>
      <c r="AR40" s="24">
        <f t="shared" si="5"/>
        <v>0</v>
      </c>
      <c r="AS40" s="24">
        <f t="shared" si="5"/>
        <v>0</v>
      </c>
      <c r="AT40" s="24">
        <f t="shared" si="5"/>
        <v>0</v>
      </c>
      <c r="AU40" s="24">
        <f t="shared" si="5"/>
        <v>0</v>
      </c>
      <c r="AV40" s="24">
        <f t="shared" si="5"/>
        <v>0</v>
      </c>
      <c r="AW40" s="24">
        <f t="shared" si="5"/>
        <v>0</v>
      </c>
      <c r="AX40" s="24">
        <f t="shared" si="5"/>
        <v>0</v>
      </c>
      <c r="AY40" s="24">
        <f t="shared" si="5"/>
        <v>0</v>
      </c>
      <c r="AZ40" s="24">
        <f t="shared" si="5"/>
        <v>0</v>
      </c>
      <c r="BA40" s="24">
        <f t="shared" si="5"/>
        <v>0</v>
      </c>
      <c r="BB40" s="24">
        <f t="shared" si="5"/>
        <v>240</v>
      </c>
      <c r="BC40" s="24">
        <f t="shared" si="5"/>
        <v>0</v>
      </c>
      <c r="BD40" s="24">
        <f t="shared" si="5"/>
        <v>0</v>
      </c>
      <c r="BE40" s="24">
        <f t="shared" si="5"/>
        <v>0</v>
      </c>
      <c r="BF40" s="24">
        <f t="shared" si="5"/>
        <v>0</v>
      </c>
      <c r="BG40" s="24">
        <f t="shared" si="5"/>
        <v>0</v>
      </c>
      <c r="BH40" s="24">
        <f t="shared" si="5"/>
        <v>0</v>
      </c>
      <c r="BI40" s="24">
        <f t="shared" si="5"/>
        <v>0</v>
      </c>
      <c r="BJ40" s="24">
        <f t="shared" si="5"/>
        <v>0</v>
      </c>
      <c r="BK40" s="24">
        <f t="shared" si="5"/>
        <v>0</v>
      </c>
      <c r="BL40" s="24">
        <f t="shared" si="5"/>
        <v>0</v>
      </c>
      <c r="BM40" s="24">
        <f t="shared" si="5"/>
        <v>0</v>
      </c>
    </row>
    <row r="41" spans="4:65" x14ac:dyDescent="0.3">
      <c r="D41" s="23" t="s">
        <v>50</v>
      </c>
      <c r="E41" s="25"/>
      <c r="F41" s="24">
        <f t="shared" ref="F41:BM41" si="6">F17*40</f>
        <v>0</v>
      </c>
      <c r="G41" s="24">
        <f t="shared" si="6"/>
        <v>0</v>
      </c>
      <c r="H41" s="24">
        <f t="shared" si="6"/>
        <v>0</v>
      </c>
      <c r="I41" s="24">
        <f t="shared" si="6"/>
        <v>0</v>
      </c>
      <c r="J41" s="24">
        <f t="shared" si="6"/>
        <v>0</v>
      </c>
      <c r="K41" s="24">
        <f t="shared" si="6"/>
        <v>0</v>
      </c>
      <c r="L41" s="24">
        <f t="shared" si="6"/>
        <v>480</v>
      </c>
      <c r="M41" s="24">
        <f t="shared" si="6"/>
        <v>0</v>
      </c>
      <c r="N41" s="24">
        <f t="shared" si="6"/>
        <v>0</v>
      </c>
      <c r="O41" s="24">
        <f t="shared" si="6"/>
        <v>0</v>
      </c>
      <c r="P41" s="24">
        <f t="shared" si="6"/>
        <v>0</v>
      </c>
      <c r="Q41" s="24">
        <f t="shared" si="6"/>
        <v>0</v>
      </c>
      <c r="R41" s="24">
        <f t="shared" si="6"/>
        <v>0</v>
      </c>
      <c r="S41" s="24">
        <f t="shared" si="6"/>
        <v>0</v>
      </c>
      <c r="T41" s="24">
        <f t="shared" si="6"/>
        <v>0</v>
      </c>
      <c r="U41" s="24">
        <f t="shared" si="6"/>
        <v>0</v>
      </c>
      <c r="V41" s="24">
        <f t="shared" si="6"/>
        <v>0</v>
      </c>
      <c r="W41" s="24">
        <f t="shared" si="6"/>
        <v>0</v>
      </c>
      <c r="X41" s="24">
        <f t="shared" si="6"/>
        <v>0</v>
      </c>
      <c r="Y41" s="24">
        <f t="shared" si="6"/>
        <v>0</v>
      </c>
      <c r="Z41" s="24">
        <f t="shared" si="6"/>
        <v>0</v>
      </c>
      <c r="AA41" s="24">
        <f t="shared" si="6"/>
        <v>0</v>
      </c>
      <c r="AB41" s="24">
        <f t="shared" si="6"/>
        <v>0</v>
      </c>
      <c r="AC41" s="24">
        <f t="shared" si="6"/>
        <v>0</v>
      </c>
      <c r="AD41" s="24">
        <f t="shared" si="6"/>
        <v>0</v>
      </c>
      <c r="AE41" s="24">
        <f t="shared" si="6"/>
        <v>0</v>
      </c>
      <c r="AF41" s="24">
        <f t="shared" si="6"/>
        <v>0</v>
      </c>
      <c r="AG41" s="24">
        <f t="shared" si="6"/>
        <v>0</v>
      </c>
      <c r="AH41" s="24">
        <f t="shared" si="6"/>
        <v>0</v>
      </c>
      <c r="AI41" s="24">
        <f t="shared" si="6"/>
        <v>0</v>
      </c>
      <c r="AJ41" s="24">
        <f t="shared" si="6"/>
        <v>0</v>
      </c>
      <c r="AK41" s="24">
        <f t="shared" si="6"/>
        <v>0</v>
      </c>
      <c r="AL41" s="24">
        <f t="shared" si="6"/>
        <v>0</v>
      </c>
      <c r="AM41" s="24">
        <f t="shared" si="6"/>
        <v>0</v>
      </c>
      <c r="AN41" s="24">
        <f t="shared" si="6"/>
        <v>320</v>
      </c>
      <c r="AO41" s="24">
        <f t="shared" si="6"/>
        <v>0</v>
      </c>
      <c r="AP41" s="24">
        <f t="shared" si="6"/>
        <v>0</v>
      </c>
      <c r="AQ41" s="24">
        <f t="shared" si="6"/>
        <v>0</v>
      </c>
      <c r="AR41" s="24">
        <f t="shared" si="6"/>
        <v>0</v>
      </c>
      <c r="AS41" s="24">
        <f t="shared" si="6"/>
        <v>0</v>
      </c>
      <c r="AT41" s="24">
        <f t="shared" si="6"/>
        <v>0</v>
      </c>
      <c r="AU41" s="24">
        <f t="shared" si="6"/>
        <v>0</v>
      </c>
      <c r="AV41" s="24">
        <f t="shared" si="6"/>
        <v>0</v>
      </c>
      <c r="AW41" s="24">
        <f t="shared" si="6"/>
        <v>0</v>
      </c>
      <c r="AX41" s="24">
        <f t="shared" si="6"/>
        <v>0</v>
      </c>
      <c r="AY41" s="24">
        <f t="shared" si="6"/>
        <v>0</v>
      </c>
      <c r="AZ41" s="24">
        <f t="shared" si="6"/>
        <v>0</v>
      </c>
      <c r="BA41" s="24">
        <f t="shared" si="6"/>
        <v>0</v>
      </c>
      <c r="BB41" s="24">
        <f t="shared" si="6"/>
        <v>0</v>
      </c>
      <c r="BC41" s="24">
        <f t="shared" si="6"/>
        <v>0</v>
      </c>
      <c r="BD41" s="24">
        <f t="shared" si="6"/>
        <v>0</v>
      </c>
      <c r="BE41" s="24">
        <f t="shared" si="6"/>
        <v>0</v>
      </c>
      <c r="BF41" s="24">
        <f t="shared" si="6"/>
        <v>0</v>
      </c>
      <c r="BG41" s="24">
        <f t="shared" si="6"/>
        <v>0</v>
      </c>
      <c r="BH41" s="24">
        <f t="shared" si="6"/>
        <v>0</v>
      </c>
      <c r="BI41" s="24">
        <f t="shared" si="6"/>
        <v>0</v>
      </c>
      <c r="BJ41" s="24">
        <f t="shared" si="6"/>
        <v>440</v>
      </c>
      <c r="BK41" s="24">
        <f t="shared" si="6"/>
        <v>0</v>
      </c>
      <c r="BL41" s="24">
        <f t="shared" si="6"/>
        <v>0</v>
      </c>
      <c r="BM41" s="24">
        <f t="shared" si="6"/>
        <v>0</v>
      </c>
    </row>
    <row r="42" spans="4:65" x14ac:dyDescent="0.3">
      <c r="D42" s="23" t="s">
        <v>52</v>
      </c>
      <c r="E42" s="25"/>
      <c r="F42" s="24">
        <f t="shared" ref="F42:BM46" si="7">F18*35</f>
        <v>0</v>
      </c>
      <c r="G42" s="24">
        <f t="shared" si="7"/>
        <v>0</v>
      </c>
      <c r="H42" s="24">
        <f t="shared" si="7"/>
        <v>0</v>
      </c>
      <c r="I42" s="24">
        <f t="shared" si="7"/>
        <v>0</v>
      </c>
      <c r="J42" s="24">
        <f t="shared" si="7"/>
        <v>0</v>
      </c>
      <c r="K42" s="24">
        <f t="shared" si="7"/>
        <v>0</v>
      </c>
      <c r="L42" s="24">
        <f t="shared" si="7"/>
        <v>0</v>
      </c>
      <c r="M42" s="24">
        <f t="shared" si="7"/>
        <v>0</v>
      </c>
      <c r="N42" s="24">
        <f t="shared" si="7"/>
        <v>0</v>
      </c>
      <c r="O42" s="24">
        <f t="shared" si="7"/>
        <v>0</v>
      </c>
      <c r="P42" s="24">
        <f t="shared" si="7"/>
        <v>0</v>
      </c>
      <c r="Q42" s="24">
        <f t="shared" si="7"/>
        <v>0</v>
      </c>
      <c r="R42" s="24">
        <f t="shared" si="7"/>
        <v>0</v>
      </c>
      <c r="S42" s="24">
        <f t="shared" si="7"/>
        <v>0</v>
      </c>
      <c r="T42" s="24">
        <f t="shared" si="7"/>
        <v>210</v>
      </c>
      <c r="U42" s="24">
        <f t="shared" si="7"/>
        <v>0</v>
      </c>
      <c r="V42" s="24">
        <f t="shared" si="7"/>
        <v>0</v>
      </c>
      <c r="W42" s="24">
        <f t="shared" si="7"/>
        <v>0</v>
      </c>
      <c r="X42" s="24">
        <f t="shared" si="7"/>
        <v>0</v>
      </c>
      <c r="Y42" s="24">
        <f t="shared" si="7"/>
        <v>0</v>
      </c>
      <c r="Z42" s="24">
        <f t="shared" si="7"/>
        <v>0</v>
      </c>
      <c r="AA42" s="24">
        <f t="shared" si="7"/>
        <v>0</v>
      </c>
      <c r="AB42" s="24">
        <f t="shared" si="7"/>
        <v>0</v>
      </c>
      <c r="AC42" s="24">
        <f t="shared" si="7"/>
        <v>0</v>
      </c>
      <c r="AD42" s="24">
        <f t="shared" si="7"/>
        <v>0</v>
      </c>
      <c r="AE42" s="24">
        <f t="shared" si="7"/>
        <v>0</v>
      </c>
      <c r="AF42" s="24">
        <f t="shared" si="7"/>
        <v>0</v>
      </c>
      <c r="AG42" s="24">
        <f t="shared" si="7"/>
        <v>0</v>
      </c>
      <c r="AH42" s="24">
        <f t="shared" si="7"/>
        <v>0</v>
      </c>
      <c r="AI42" s="24">
        <f t="shared" si="7"/>
        <v>0</v>
      </c>
      <c r="AJ42" s="24">
        <f t="shared" si="7"/>
        <v>0</v>
      </c>
      <c r="AK42" s="24">
        <f t="shared" si="7"/>
        <v>0</v>
      </c>
      <c r="AL42" s="24">
        <f t="shared" si="7"/>
        <v>0</v>
      </c>
      <c r="AM42" s="24">
        <f t="shared" si="7"/>
        <v>0</v>
      </c>
      <c r="AN42" s="24">
        <f t="shared" si="7"/>
        <v>0</v>
      </c>
      <c r="AO42" s="24">
        <f t="shared" si="7"/>
        <v>0</v>
      </c>
      <c r="AP42" s="24">
        <f t="shared" si="7"/>
        <v>0</v>
      </c>
      <c r="AQ42" s="24">
        <f t="shared" si="7"/>
        <v>0</v>
      </c>
      <c r="AR42" s="24">
        <f t="shared" si="7"/>
        <v>0</v>
      </c>
      <c r="AS42" s="24">
        <f t="shared" si="7"/>
        <v>0</v>
      </c>
      <c r="AT42" s="24">
        <f t="shared" si="7"/>
        <v>0</v>
      </c>
      <c r="AU42" s="24">
        <f t="shared" si="7"/>
        <v>0</v>
      </c>
      <c r="AV42" s="24">
        <f t="shared" si="7"/>
        <v>0</v>
      </c>
      <c r="AW42" s="24">
        <f t="shared" si="7"/>
        <v>0</v>
      </c>
      <c r="AX42" s="24">
        <f t="shared" si="7"/>
        <v>0</v>
      </c>
      <c r="AY42" s="24">
        <f t="shared" si="7"/>
        <v>0</v>
      </c>
      <c r="AZ42" s="24">
        <f t="shared" si="7"/>
        <v>0</v>
      </c>
      <c r="BA42" s="24">
        <f t="shared" si="7"/>
        <v>0</v>
      </c>
      <c r="BB42" s="24">
        <f t="shared" si="7"/>
        <v>0</v>
      </c>
      <c r="BC42" s="24">
        <f t="shared" si="7"/>
        <v>0</v>
      </c>
      <c r="BD42" s="24">
        <f t="shared" si="7"/>
        <v>0</v>
      </c>
      <c r="BE42" s="24">
        <f t="shared" si="7"/>
        <v>0</v>
      </c>
      <c r="BF42" s="24">
        <f t="shared" si="7"/>
        <v>0</v>
      </c>
      <c r="BG42" s="24">
        <f t="shared" si="7"/>
        <v>0</v>
      </c>
      <c r="BH42" s="24">
        <f t="shared" si="7"/>
        <v>0</v>
      </c>
      <c r="BI42" s="24">
        <f t="shared" si="7"/>
        <v>0</v>
      </c>
      <c r="BJ42" s="24">
        <f t="shared" si="7"/>
        <v>350</v>
      </c>
      <c r="BK42" s="24">
        <f t="shared" si="7"/>
        <v>0</v>
      </c>
      <c r="BL42" s="24">
        <f t="shared" si="7"/>
        <v>0</v>
      </c>
      <c r="BM42" s="24">
        <f t="shared" si="7"/>
        <v>0</v>
      </c>
    </row>
    <row r="43" spans="4:65" x14ac:dyDescent="0.3">
      <c r="D43" s="23" t="s">
        <v>54</v>
      </c>
      <c r="E43" s="25"/>
      <c r="F43" s="24">
        <f t="shared" si="7"/>
        <v>0</v>
      </c>
      <c r="G43" s="24">
        <f t="shared" si="7"/>
        <v>0</v>
      </c>
      <c r="H43" s="24">
        <f t="shared" si="7"/>
        <v>0</v>
      </c>
      <c r="I43" s="24">
        <f t="shared" si="7"/>
        <v>0</v>
      </c>
      <c r="J43" s="24">
        <f t="shared" si="7"/>
        <v>0</v>
      </c>
      <c r="K43" s="24">
        <f t="shared" si="7"/>
        <v>0</v>
      </c>
      <c r="L43" s="24">
        <f t="shared" si="7"/>
        <v>0</v>
      </c>
      <c r="M43" s="24">
        <f t="shared" si="7"/>
        <v>0</v>
      </c>
      <c r="N43" s="24">
        <f t="shared" si="7"/>
        <v>0</v>
      </c>
      <c r="O43" s="24">
        <f t="shared" si="7"/>
        <v>0</v>
      </c>
      <c r="P43" s="24">
        <f t="shared" si="7"/>
        <v>0</v>
      </c>
      <c r="Q43" s="24">
        <f t="shared" si="7"/>
        <v>0</v>
      </c>
      <c r="R43" s="24">
        <f t="shared" si="7"/>
        <v>175</v>
      </c>
      <c r="S43" s="24">
        <f t="shared" si="7"/>
        <v>0</v>
      </c>
      <c r="T43" s="24">
        <f t="shared" si="7"/>
        <v>0</v>
      </c>
      <c r="U43" s="24">
        <f t="shared" si="7"/>
        <v>0</v>
      </c>
      <c r="V43" s="24">
        <f t="shared" si="7"/>
        <v>0</v>
      </c>
      <c r="W43" s="24">
        <f t="shared" si="7"/>
        <v>0</v>
      </c>
      <c r="X43" s="24">
        <f t="shared" si="7"/>
        <v>0</v>
      </c>
      <c r="Y43" s="24">
        <f t="shared" si="7"/>
        <v>0</v>
      </c>
      <c r="Z43" s="24">
        <f t="shared" si="7"/>
        <v>0</v>
      </c>
      <c r="AA43" s="24">
        <f t="shared" si="7"/>
        <v>0</v>
      </c>
      <c r="AB43" s="24">
        <f t="shared" si="7"/>
        <v>0</v>
      </c>
      <c r="AC43" s="24">
        <f t="shared" si="7"/>
        <v>0</v>
      </c>
      <c r="AD43" s="24">
        <f t="shared" si="7"/>
        <v>0</v>
      </c>
      <c r="AE43" s="24">
        <f t="shared" si="7"/>
        <v>0</v>
      </c>
      <c r="AF43" s="24">
        <f t="shared" si="7"/>
        <v>0</v>
      </c>
      <c r="AG43" s="24">
        <f t="shared" si="7"/>
        <v>0</v>
      </c>
      <c r="AH43" s="24">
        <f t="shared" si="7"/>
        <v>0</v>
      </c>
      <c r="AI43" s="24">
        <f t="shared" si="7"/>
        <v>0</v>
      </c>
      <c r="AJ43" s="24">
        <f t="shared" si="7"/>
        <v>0</v>
      </c>
      <c r="AK43" s="24">
        <f t="shared" si="7"/>
        <v>0</v>
      </c>
      <c r="AL43" s="24">
        <f t="shared" si="7"/>
        <v>0</v>
      </c>
      <c r="AM43" s="24">
        <f t="shared" si="7"/>
        <v>0</v>
      </c>
      <c r="AN43" s="24">
        <f t="shared" si="7"/>
        <v>0</v>
      </c>
      <c r="AO43" s="24">
        <f t="shared" si="7"/>
        <v>0</v>
      </c>
      <c r="AP43" s="24">
        <f t="shared" si="7"/>
        <v>0</v>
      </c>
      <c r="AQ43" s="24">
        <f t="shared" si="7"/>
        <v>0</v>
      </c>
      <c r="AR43" s="24">
        <f t="shared" si="7"/>
        <v>0</v>
      </c>
      <c r="AS43" s="24">
        <f t="shared" si="7"/>
        <v>0</v>
      </c>
      <c r="AT43" s="24">
        <f t="shared" si="7"/>
        <v>0</v>
      </c>
      <c r="AU43" s="24">
        <f t="shared" si="7"/>
        <v>0</v>
      </c>
      <c r="AV43" s="24">
        <f t="shared" si="7"/>
        <v>0</v>
      </c>
      <c r="AW43" s="24">
        <f t="shared" si="7"/>
        <v>0</v>
      </c>
      <c r="AX43" s="24">
        <f t="shared" si="7"/>
        <v>0</v>
      </c>
      <c r="AY43" s="24">
        <f t="shared" si="7"/>
        <v>0</v>
      </c>
      <c r="AZ43" s="24">
        <f t="shared" si="7"/>
        <v>0</v>
      </c>
      <c r="BA43" s="24">
        <f t="shared" si="7"/>
        <v>0</v>
      </c>
      <c r="BB43" s="24">
        <f t="shared" si="7"/>
        <v>315</v>
      </c>
      <c r="BC43" s="24">
        <f t="shared" si="7"/>
        <v>0</v>
      </c>
      <c r="BD43" s="24">
        <f t="shared" si="7"/>
        <v>0</v>
      </c>
      <c r="BE43" s="24">
        <f t="shared" si="7"/>
        <v>0</v>
      </c>
      <c r="BF43" s="24">
        <f t="shared" si="7"/>
        <v>0</v>
      </c>
      <c r="BG43" s="24">
        <f t="shared" si="7"/>
        <v>0</v>
      </c>
      <c r="BH43" s="24">
        <f t="shared" si="7"/>
        <v>0</v>
      </c>
      <c r="BI43" s="24">
        <f t="shared" si="7"/>
        <v>0</v>
      </c>
      <c r="BJ43" s="24">
        <f t="shared" si="7"/>
        <v>0</v>
      </c>
      <c r="BK43" s="24">
        <f t="shared" si="7"/>
        <v>0</v>
      </c>
      <c r="BL43" s="24">
        <f t="shared" si="7"/>
        <v>0</v>
      </c>
      <c r="BM43" s="24">
        <f t="shared" si="7"/>
        <v>0</v>
      </c>
    </row>
    <row r="44" spans="4:65" x14ac:dyDescent="0.3">
      <c r="D44" s="6" t="s">
        <v>56</v>
      </c>
      <c r="E44" s="25"/>
      <c r="F44" s="24">
        <f t="shared" si="7"/>
        <v>0</v>
      </c>
      <c r="G44" s="24">
        <f t="shared" si="7"/>
        <v>0</v>
      </c>
      <c r="H44" s="24">
        <f t="shared" si="7"/>
        <v>0</v>
      </c>
      <c r="I44" s="24">
        <f t="shared" si="7"/>
        <v>0</v>
      </c>
      <c r="J44" s="24">
        <f t="shared" si="7"/>
        <v>0</v>
      </c>
      <c r="K44" s="24">
        <f t="shared" si="7"/>
        <v>0</v>
      </c>
      <c r="L44" s="24">
        <f t="shared" si="7"/>
        <v>0</v>
      </c>
      <c r="M44" s="24">
        <f t="shared" si="7"/>
        <v>0</v>
      </c>
      <c r="N44" s="24">
        <f t="shared" si="7"/>
        <v>0</v>
      </c>
      <c r="O44" s="24">
        <f t="shared" si="7"/>
        <v>0</v>
      </c>
      <c r="P44" s="24">
        <f t="shared" si="7"/>
        <v>0</v>
      </c>
      <c r="Q44" s="24">
        <f t="shared" si="7"/>
        <v>0</v>
      </c>
      <c r="R44" s="24">
        <f t="shared" si="7"/>
        <v>245</v>
      </c>
      <c r="S44" s="24">
        <f t="shared" si="7"/>
        <v>0</v>
      </c>
      <c r="T44" s="24">
        <f t="shared" si="7"/>
        <v>0</v>
      </c>
      <c r="U44" s="24">
        <f t="shared" si="7"/>
        <v>0</v>
      </c>
      <c r="V44" s="24">
        <f t="shared" si="7"/>
        <v>0</v>
      </c>
      <c r="W44" s="24">
        <f t="shared" si="7"/>
        <v>0</v>
      </c>
      <c r="X44" s="24">
        <f t="shared" si="7"/>
        <v>0</v>
      </c>
      <c r="Y44" s="24">
        <f t="shared" si="7"/>
        <v>0</v>
      </c>
      <c r="Z44" s="24">
        <f t="shared" si="7"/>
        <v>0</v>
      </c>
      <c r="AA44" s="24">
        <f t="shared" si="7"/>
        <v>0</v>
      </c>
      <c r="AB44" s="24">
        <f t="shared" si="7"/>
        <v>0</v>
      </c>
      <c r="AC44" s="24">
        <f t="shared" si="7"/>
        <v>0</v>
      </c>
      <c r="AD44" s="24">
        <f t="shared" si="7"/>
        <v>0</v>
      </c>
      <c r="AE44" s="24">
        <f t="shared" si="7"/>
        <v>0</v>
      </c>
      <c r="AF44" s="24">
        <f t="shared" si="7"/>
        <v>0</v>
      </c>
      <c r="AG44" s="24">
        <f t="shared" si="7"/>
        <v>0</v>
      </c>
      <c r="AH44" s="24">
        <f t="shared" si="7"/>
        <v>0</v>
      </c>
      <c r="AI44" s="24">
        <f t="shared" si="7"/>
        <v>0</v>
      </c>
      <c r="AJ44" s="24">
        <f t="shared" si="7"/>
        <v>0</v>
      </c>
      <c r="AK44" s="24">
        <f t="shared" si="7"/>
        <v>0</v>
      </c>
      <c r="AL44" s="24">
        <f t="shared" si="7"/>
        <v>0</v>
      </c>
      <c r="AM44" s="24">
        <f t="shared" si="7"/>
        <v>0</v>
      </c>
      <c r="AN44" s="24">
        <f t="shared" si="7"/>
        <v>0</v>
      </c>
      <c r="AO44" s="24">
        <f t="shared" si="7"/>
        <v>0</v>
      </c>
      <c r="AP44" s="24">
        <f t="shared" si="7"/>
        <v>0</v>
      </c>
      <c r="AQ44" s="24">
        <f t="shared" si="7"/>
        <v>0</v>
      </c>
      <c r="AR44" s="24">
        <f t="shared" si="7"/>
        <v>0</v>
      </c>
      <c r="AS44" s="24">
        <f t="shared" si="7"/>
        <v>0</v>
      </c>
      <c r="AT44" s="24">
        <f t="shared" si="7"/>
        <v>0</v>
      </c>
      <c r="AU44" s="24">
        <f t="shared" si="7"/>
        <v>0</v>
      </c>
      <c r="AV44" s="24">
        <f t="shared" si="7"/>
        <v>0</v>
      </c>
      <c r="AW44" s="24">
        <f t="shared" si="7"/>
        <v>0</v>
      </c>
      <c r="AX44" s="24">
        <f t="shared" si="7"/>
        <v>0</v>
      </c>
      <c r="AY44" s="24">
        <f t="shared" si="7"/>
        <v>0</v>
      </c>
      <c r="AZ44" s="24">
        <f t="shared" si="7"/>
        <v>0</v>
      </c>
      <c r="BA44" s="24">
        <f t="shared" si="7"/>
        <v>0</v>
      </c>
      <c r="BB44" s="24">
        <f t="shared" si="7"/>
        <v>0</v>
      </c>
      <c r="BC44" s="24">
        <f t="shared" si="7"/>
        <v>0</v>
      </c>
      <c r="BD44" s="24">
        <f t="shared" si="7"/>
        <v>0</v>
      </c>
      <c r="BE44" s="24">
        <f t="shared" si="7"/>
        <v>0</v>
      </c>
      <c r="BF44" s="24">
        <f t="shared" si="7"/>
        <v>0</v>
      </c>
      <c r="BG44" s="24">
        <f t="shared" si="7"/>
        <v>0</v>
      </c>
      <c r="BH44" s="24">
        <f t="shared" si="7"/>
        <v>0</v>
      </c>
      <c r="BI44" s="24">
        <f t="shared" si="7"/>
        <v>0</v>
      </c>
      <c r="BJ44" s="24">
        <f t="shared" si="7"/>
        <v>245</v>
      </c>
      <c r="BK44" s="24">
        <f t="shared" si="7"/>
        <v>0</v>
      </c>
      <c r="BL44" s="24">
        <f t="shared" si="7"/>
        <v>0</v>
      </c>
      <c r="BM44" s="24">
        <f t="shared" si="7"/>
        <v>0</v>
      </c>
    </row>
    <row r="45" spans="4:65" x14ac:dyDescent="0.3">
      <c r="D45" s="6" t="s">
        <v>58</v>
      </c>
      <c r="E45" s="25"/>
      <c r="F45" s="24">
        <f t="shared" si="7"/>
        <v>0</v>
      </c>
      <c r="G45" s="24">
        <f t="shared" si="7"/>
        <v>0</v>
      </c>
      <c r="H45" s="24">
        <f t="shared" si="7"/>
        <v>0</v>
      </c>
      <c r="I45" s="24">
        <f t="shared" si="7"/>
        <v>0</v>
      </c>
      <c r="J45" s="24">
        <f t="shared" si="7"/>
        <v>0</v>
      </c>
      <c r="K45" s="24">
        <f t="shared" si="7"/>
        <v>0</v>
      </c>
      <c r="L45" s="24">
        <f t="shared" si="7"/>
        <v>0</v>
      </c>
      <c r="M45" s="24">
        <f t="shared" si="7"/>
        <v>0</v>
      </c>
      <c r="N45" s="24">
        <f t="shared" si="7"/>
        <v>0</v>
      </c>
      <c r="O45" s="24">
        <f t="shared" si="7"/>
        <v>0</v>
      </c>
      <c r="P45" s="24">
        <f t="shared" si="7"/>
        <v>0</v>
      </c>
      <c r="Q45" s="24">
        <f t="shared" si="7"/>
        <v>0</v>
      </c>
      <c r="R45" s="24">
        <f t="shared" si="7"/>
        <v>245</v>
      </c>
      <c r="S45" s="24">
        <f t="shared" si="7"/>
        <v>0</v>
      </c>
      <c r="T45" s="24">
        <f t="shared" si="7"/>
        <v>0</v>
      </c>
      <c r="U45" s="24">
        <f t="shared" si="7"/>
        <v>0</v>
      </c>
      <c r="V45" s="24">
        <f t="shared" si="7"/>
        <v>0</v>
      </c>
      <c r="W45" s="24">
        <f t="shared" si="7"/>
        <v>0</v>
      </c>
      <c r="X45" s="24">
        <f t="shared" si="7"/>
        <v>0</v>
      </c>
      <c r="Y45" s="24">
        <f t="shared" si="7"/>
        <v>0</v>
      </c>
      <c r="Z45" s="24">
        <f t="shared" si="7"/>
        <v>0</v>
      </c>
      <c r="AA45" s="24">
        <f t="shared" si="7"/>
        <v>0</v>
      </c>
      <c r="AB45" s="24">
        <f t="shared" si="7"/>
        <v>0</v>
      </c>
      <c r="AC45" s="24">
        <f t="shared" si="7"/>
        <v>0</v>
      </c>
      <c r="AD45" s="24">
        <f t="shared" si="7"/>
        <v>0</v>
      </c>
      <c r="AE45" s="24">
        <f t="shared" si="7"/>
        <v>0</v>
      </c>
      <c r="AF45" s="24">
        <f t="shared" si="7"/>
        <v>0</v>
      </c>
      <c r="AG45" s="24">
        <f t="shared" si="7"/>
        <v>0</v>
      </c>
      <c r="AH45" s="24">
        <f t="shared" si="7"/>
        <v>0</v>
      </c>
      <c r="AI45" s="24">
        <f t="shared" si="7"/>
        <v>0</v>
      </c>
      <c r="AJ45" s="24">
        <f t="shared" si="7"/>
        <v>0</v>
      </c>
      <c r="AK45" s="24">
        <f t="shared" si="7"/>
        <v>0</v>
      </c>
      <c r="AL45" s="24">
        <f t="shared" si="7"/>
        <v>0</v>
      </c>
      <c r="AM45" s="24">
        <f t="shared" si="7"/>
        <v>0</v>
      </c>
      <c r="AN45" s="24">
        <f t="shared" si="7"/>
        <v>0</v>
      </c>
      <c r="AO45" s="24">
        <f t="shared" si="7"/>
        <v>0</v>
      </c>
      <c r="AP45" s="24">
        <f t="shared" si="7"/>
        <v>0</v>
      </c>
      <c r="AQ45" s="24">
        <f t="shared" si="7"/>
        <v>0</v>
      </c>
      <c r="AR45" s="24">
        <f t="shared" si="7"/>
        <v>0</v>
      </c>
      <c r="AS45" s="24">
        <f t="shared" si="7"/>
        <v>0</v>
      </c>
      <c r="AT45" s="24">
        <f t="shared" si="7"/>
        <v>0</v>
      </c>
      <c r="AU45" s="24">
        <f t="shared" si="7"/>
        <v>0</v>
      </c>
      <c r="AV45" s="24">
        <f t="shared" si="7"/>
        <v>0</v>
      </c>
      <c r="AW45" s="24">
        <f t="shared" si="7"/>
        <v>0</v>
      </c>
      <c r="AX45" s="24">
        <f t="shared" si="7"/>
        <v>0</v>
      </c>
      <c r="AY45" s="24">
        <f t="shared" si="7"/>
        <v>0</v>
      </c>
      <c r="AZ45" s="24">
        <f t="shared" si="7"/>
        <v>0</v>
      </c>
      <c r="BA45" s="24">
        <f t="shared" si="7"/>
        <v>0</v>
      </c>
      <c r="BB45" s="24">
        <f t="shared" si="7"/>
        <v>0</v>
      </c>
      <c r="BC45" s="24">
        <f t="shared" si="7"/>
        <v>0</v>
      </c>
      <c r="BD45" s="24">
        <f t="shared" si="7"/>
        <v>0</v>
      </c>
      <c r="BE45" s="24">
        <f t="shared" si="7"/>
        <v>0</v>
      </c>
      <c r="BF45" s="24">
        <f t="shared" si="7"/>
        <v>0</v>
      </c>
      <c r="BG45" s="24">
        <f t="shared" si="7"/>
        <v>0</v>
      </c>
      <c r="BH45" s="24">
        <f t="shared" si="7"/>
        <v>0</v>
      </c>
      <c r="BI45" s="24">
        <f t="shared" si="7"/>
        <v>0</v>
      </c>
      <c r="BJ45" s="24">
        <f t="shared" si="7"/>
        <v>245</v>
      </c>
      <c r="BK45" s="24">
        <f t="shared" si="7"/>
        <v>0</v>
      </c>
      <c r="BL45" s="24">
        <f t="shared" si="7"/>
        <v>0</v>
      </c>
      <c r="BM45" s="24">
        <f t="shared" si="7"/>
        <v>0</v>
      </c>
    </row>
    <row r="46" spans="4:65" x14ac:dyDescent="0.3">
      <c r="D46" s="23" t="s">
        <v>60</v>
      </c>
      <c r="E46" s="25"/>
      <c r="F46" s="24">
        <f t="shared" si="7"/>
        <v>0</v>
      </c>
      <c r="G46" s="24">
        <f t="shared" si="7"/>
        <v>0</v>
      </c>
      <c r="H46" s="24">
        <f t="shared" si="7"/>
        <v>0</v>
      </c>
      <c r="I46" s="24">
        <f t="shared" si="7"/>
        <v>0</v>
      </c>
      <c r="J46" s="24">
        <f t="shared" si="7"/>
        <v>0</v>
      </c>
      <c r="K46" s="24">
        <f t="shared" si="7"/>
        <v>0</v>
      </c>
      <c r="L46" s="24">
        <f t="shared" si="7"/>
        <v>0</v>
      </c>
      <c r="M46" s="24">
        <f t="shared" ref="M46:BM47" si="8">M22*35</f>
        <v>0</v>
      </c>
      <c r="N46" s="24">
        <f t="shared" si="8"/>
        <v>0</v>
      </c>
      <c r="O46" s="24">
        <f t="shared" si="8"/>
        <v>0</v>
      </c>
      <c r="P46" s="24">
        <f t="shared" si="8"/>
        <v>0</v>
      </c>
      <c r="Q46" s="24">
        <f t="shared" si="8"/>
        <v>0</v>
      </c>
      <c r="R46" s="24">
        <f t="shared" si="8"/>
        <v>0</v>
      </c>
      <c r="S46" s="24">
        <f t="shared" si="8"/>
        <v>0</v>
      </c>
      <c r="T46" s="24">
        <f t="shared" si="8"/>
        <v>245</v>
      </c>
      <c r="U46" s="24">
        <f t="shared" si="8"/>
        <v>0</v>
      </c>
      <c r="V46" s="24">
        <f t="shared" si="8"/>
        <v>0</v>
      </c>
      <c r="W46" s="24">
        <f t="shared" si="8"/>
        <v>0</v>
      </c>
      <c r="X46" s="24">
        <f t="shared" si="8"/>
        <v>0</v>
      </c>
      <c r="Y46" s="24">
        <f t="shared" si="8"/>
        <v>0</v>
      </c>
      <c r="Z46" s="24">
        <f t="shared" si="8"/>
        <v>0</v>
      </c>
      <c r="AA46" s="24">
        <f t="shared" si="8"/>
        <v>0</v>
      </c>
      <c r="AB46" s="24">
        <f t="shared" si="8"/>
        <v>0</v>
      </c>
      <c r="AC46" s="24">
        <f t="shared" si="8"/>
        <v>0</v>
      </c>
      <c r="AD46" s="24">
        <f t="shared" si="8"/>
        <v>0</v>
      </c>
      <c r="AE46" s="24">
        <f t="shared" si="8"/>
        <v>0</v>
      </c>
      <c r="AF46" s="24">
        <f t="shared" si="8"/>
        <v>0</v>
      </c>
      <c r="AG46" s="24">
        <f t="shared" si="8"/>
        <v>0</v>
      </c>
      <c r="AH46" s="24">
        <f t="shared" si="8"/>
        <v>0</v>
      </c>
      <c r="AI46" s="24">
        <f t="shared" si="8"/>
        <v>0</v>
      </c>
      <c r="AJ46" s="24">
        <f t="shared" si="8"/>
        <v>0</v>
      </c>
      <c r="AK46" s="24">
        <f t="shared" si="8"/>
        <v>0</v>
      </c>
      <c r="AL46" s="24">
        <f t="shared" si="8"/>
        <v>0</v>
      </c>
      <c r="AM46" s="24">
        <f t="shared" si="8"/>
        <v>0</v>
      </c>
      <c r="AN46" s="24">
        <f t="shared" si="8"/>
        <v>0</v>
      </c>
      <c r="AO46" s="24">
        <f t="shared" si="8"/>
        <v>0</v>
      </c>
      <c r="AP46" s="24">
        <f t="shared" si="8"/>
        <v>0</v>
      </c>
      <c r="AQ46" s="24">
        <f t="shared" si="8"/>
        <v>0</v>
      </c>
      <c r="AR46" s="24">
        <f t="shared" si="8"/>
        <v>0</v>
      </c>
      <c r="AS46" s="24">
        <f t="shared" si="8"/>
        <v>0</v>
      </c>
      <c r="AT46" s="24">
        <f t="shared" si="8"/>
        <v>0</v>
      </c>
      <c r="AU46" s="24">
        <f t="shared" si="8"/>
        <v>0</v>
      </c>
      <c r="AV46" s="24">
        <f t="shared" si="8"/>
        <v>0</v>
      </c>
      <c r="AW46" s="24">
        <f t="shared" si="8"/>
        <v>0</v>
      </c>
      <c r="AX46" s="24">
        <f t="shared" si="8"/>
        <v>0</v>
      </c>
      <c r="AY46" s="24">
        <f t="shared" si="8"/>
        <v>0</v>
      </c>
      <c r="AZ46" s="24">
        <f t="shared" si="8"/>
        <v>0</v>
      </c>
      <c r="BA46" s="24">
        <f t="shared" si="8"/>
        <v>0</v>
      </c>
      <c r="BB46" s="24">
        <f t="shared" si="8"/>
        <v>0</v>
      </c>
      <c r="BC46" s="24">
        <f t="shared" si="8"/>
        <v>0</v>
      </c>
      <c r="BD46" s="24">
        <f t="shared" si="8"/>
        <v>0</v>
      </c>
      <c r="BE46" s="24">
        <f t="shared" si="8"/>
        <v>0</v>
      </c>
      <c r="BF46" s="24">
        <f t="shared" si="8"/>
        <v>0</v>
      </c>
      <c r="BG46" s="24">
        <f t="shared" si="8"/>
        <v>0</v>
      </c>
      <c r="BH46" s="24">
        <f t="shared" si="8"/>
        <v>280</v>
      </c>
      <c r="BI46" s="24">
        <f t="shared" si="8"/>
        <v>0</v>
      </c>
      <c r="BJ46" s="24">
        <f t="shared" si="8"/>
        <v>0</v>
      </c>
      <c r="BK46" s="24">
        <f t="shared" si="8"/>
        <v>0</v>
      </c>
      <c r="BL46" s="24">
        <f t="shared" si="8"/>
        <v>0</v>
      </c>
      <c r="BM46" s="24">
        <f t="shared" si="8"/>
        <v>0</v>
      </c>
    </row>
    <row r="47" spans="4:65" x14ac:dyDescent="0.3">
      <c r="D47" s="23" t="s">
        <v>64</v>
      </c>
      <c r="E47" s="25"/>
      <c r="F47" s="24">
        <f t="shared" ref="F47:AK47" si="9">F23*35</f>
        <v>0</v>
      </c>
      <c r="G47" s="24">
        <f t="shared" si="9"/>
        <v>0</v>
      </c>
      <c r="H47" s="24">
        <f t="shared" si="9"/>
        <v>0</v>
      </c>
      <c r="I47" s="24">
        <f t="shared" si="9"/>
        <v>0</v>
      </c>
      <c r="J47" s="24">
        <f t="shared" si="9"/>
        <v>0</v>
      </c>
      <c r="K47" s="24">
        <f t="shared" si="9"/>
        <v>0</v>
      </c>
      <c r="L47" s="24">
        <f t="shared" si="9"/>
        <v>385</v>
      </c>
      <c r="M47" s="24">
        <f t="shared" si="9"/>
        <v>0</v>
      </c>
      <c r="N47" s="24">
        <f t="shared" si="9"/>
        <v>0</v>
      </c>
      <c r="O47" s="24">
        <f t="shared" si="9"/>
        <v>0</v>
      </c>
      <c r="P47" s="24">
        <f t="shared" si="9"/>
        <v>0</v>
      </c>
      <c r="Q47" s="24">
        <f t="shared" si="9"/>
        <v>0</v>
      </c>
      <c r="R47" s="24">
        <f t="shared" si="9"/>
        <v>0</v>
      </c>
      <c r="S47" s="24">
        <f t="shared" si="9"/>
        <v>0</v>
      </c>
      <c r="T47" s="24">
        <f t="shared" si="9"/>
        <v>0</v>
      </c>
      <c r="U47" s="24">
        <f t="shared" si="9"/>
        <v>0</v>
      </c>
      <c r="V47" s="24">
        <f t="shared" si="9"/>
        <v>0</v>
      </c>
      <c r="W47" s="24">
        <f t="shared" si="9"/>
        <v>0</v>
      </c>
      <c r="X47" s="24">
        <f t="shared" si="9"/>
        <v>0</v>
      </c>
      <c r="Y47" s="24">
        <f t="shared" si="9"/>
        <v>0</v>
      </c>
      <c r="Z47" s="24">
        <f t="shared" si="9"/>
        <v>0</v>
      </c>
      <c r="AA47" s="24">
        <f t="shared" si="9"/>
        <v>0</v>
      </c>
      <c r="AB47" s="24">
        <f t="shared" si="9"/>
        <v>0</v>
      </c>
      <c r="AC47" s="24">
        <f t="shared" si="9"/>
        <v>0</v>
      </c>
      <c r="AD47" s="24">
        <f t="shared" si="9"/>
        <v>0</v>
      </c>
      <c r="AE47" s="24">
        <f t="shared" si="9"/>
        <v>0</v>
      </c>
      <c r="AF47" s="24">
        <f t="shared" si="9"/>
        <v>0</v>
      </c>
      <c r="AG47" s="24">
        <f t="shared" si="9"/>
        <v>0</v>
      </c>
      <c r="AH47" s="24">
        <f t="shared" si="9"/>
        <v>0</v>
      </c>
      <c r="AI47" s="24">
        <f t="shared" si="9"/>
        <v>0</v>
      </c>
      <c r="AJ47" s="24">
        <f t="shared" si="9"/>
        <v>0</v>
      </c>
      <c r="AK47" s="24">
        <f t="shared" si="9"/>
        <v>0</v>
      </c>
      <c r="AL47" s="24">
        <f t="shared" si="8"/>
        <v>0</v>
      </c>
      <c r="AM47" s="24">
        <f t="shared" si="8"/>
        <v>0</v>
      </c>
      <c r="AN47" s="24">
        <f t="shared" si="8"/>
        <v>350</v>
      </c>
      <c r="AO47" s="24">
        <f t="shared" si="8"/>
        <v>0</v>
      </c>
      <c r="AP47" s="24">
        <f t="shared" si="8"/>
        <v>0</v>
      </c>
      <c r="AQ47" s="24">
        <f t="shared" si="8"/>
        <v>0</v>
      </c>
      <c r="AR47" s="24">
        <f t="shared" si="8"/>
        <v>0</v>
      </c>
      <c r="AS47" s="24">
        <f t="shared" si="8"/>
        <v>0</v>
      </c>
      <c r="AT47" s="24">
        <f t="shared" si="8"/>
        <v>0</v>
      </c>
      <c r="AU47" s="24">
        <f t="shared" si="8"/>
        <v>0</v>
      </c>
      <c r="AV47" s="24">
        <f t="shared" si="8"/>
        <v>0</v>
      </c>
      <c r="AW47" s="24">
        <f t="shared" si="8"/>
        <v>0</v>
      </c>
      <c r="AX47" s="24">
        <f t="shared" si="8"/>
        <v>0</v>
      </c>
      <c r="AY47" s="24">
        <f t="shared" si="8"/>
        <v>0</v>
      </c>
      <c r="AZ47" s="24">
        <f t="shared" si="8"/>
        <v>0</v>
      </c>
      <c r="BA47" s="24">
        <f t="shared" si="8"/>
        <v>0</v>
      </c>
      <c r="BB47" s="24">
        <f t="shared" si="8"/>
        <v>0</v>
      </c>
      <c r="BC47" s="24">
        <f t="shared" si="8"/>
        <v>0</v>
      </c>
      <c r="BD47" s="24">
        <f t="shared" si="8"/>
        <v>0</v>
      </c>
      <c r="BE47" s="24">
        <f t="shared" si="8"/>
        <v>0</v>
      </c>
      <c r="BF47" s="24">
        <f t="shared" si="8"/>
        <v>0</v>
      </c>
      <c r="BG47" s="24">
        <f t="shared" si="8"/>
        <v>0</v>
      </c>
      <c r="BH47" s="24">
        <f t="shared" si="8"/>
        <v>385</v>
      </c>
      <c r="BI47" s="24">
        <f t="shared" si="8"/>
        <v>0</v>
      </c>
      <c r="BJ47" s="24">
        <f t="shared" si="8"/>
        <v>0</v>
      </c>
      <c r="BK47" s="24">
        <f t="shared" si="8"/>
        <v>0</v>
      </c>
      <c r="BL47" s="24">
        <f t="shared" si="8"/>
        <v>0</v>
      </c>
      <c r="BM47" s="24">
        <f t="shared" si="8"/>
        <v>0</v>
      </c>
    </row>
    <row r="48" spans="4:65" x14ac:dyDescent="0.3">
      <c r="D48" s="23" t="s">
        <v>69</v>
      </c>
      <c r="E48" s="25"/>
      <c r="F48" s="24">
        <f t="shared" ref="F48:BM48" si="10">F24*45</f>
        <v>0</v>
      </c>
      <c r="G48" s="24">
        <f t="shared" si="10"/>
        <v>0</v>
      </c>
      <c r="H48" s="24">
        <f t="shared" si="10"/>
        <v>0</v>
      </c>
      <c r="I48" s="24">
        <f t="shared" si="10"/>
        <v>0</v>
      </c>
      <c r="J48" s="24">
        <f t="shared" si="10"/>
        <v>0</v>
      </c>
      <c r="K48" s="24">
        <f t="shared" si="10"/>
        <v>0</v>
      </c>
      <c r="L48" s="24">
        <f t="shared" si="10"/>
        <v>0</v>
      </c>
      <c r="M48" s="24">
        <f t="shared" si="10"/>
        <v>0</v>
      </c>
      <c r="N48" s="24">
        <f t="shared" si="10"/>
        <v>0</v>
      </c>
      <c r="O48" s="24">
        <f t="shared" si="10"/>
        <v>0</v>
      </c>
      <c r="P48" s="24">
        <f t="shared" si="10"/>
        <v>0</v>
      </c>
      <c r="Q48" s="24">
        <f t="shared" si="10"/>
        <v>0</v>
      </c>
      <c r="R48" s="24">
        <f t="shared" si="10"/>
        <v>0</v>
      </c>
      <c r="S48" s="24">
        <f t="shared" si="10"/>
        <v>0</v>
      </c>
      <c r="T48" s="24">
        <f t="shared" si="10"/>
        <v>315</v>
      </c>
      <c r="U48" s="24">
        <f t="shared" si="10"/>
        <v>0</v>
      </c>
      <c r="V48" s="24">
        <f t="shared" si="10"/>
        <v>0</v>
      </c>
      <c r="W48" s="24">
        <f t="shared" si="10"/>
        <v>0</v>
      </c>
      <c r="X48" s="24">
        <f t="shared" si="10"/>
        <v>0</v>
      </c>
      <c r="Y48" s="24">
        <f t="shared" si="10"/>
        <v>0</v>
      </c>
      <c r="Z48" s="24">
        <f t="shared" si="10"/>
        <v>0</v>
      </c>
      <c r="AA48" s="24">
        <f t="shared" si="10"/>
        <v>0</v>
      </c>
      <c r="AB48" s="24">
        <f t="shared" si="10"/>
        <v>0</v>
      </c>
      <c r="AC48" s="24">
        <f t="shared" si="10"/>
        <v>0</v>
      </c>
      <c r="AD48" s="24">
        <f t="shared" si="10"/>
        <v>0</v>
      </c>
      <c r="AE48" s="24">
        <f t="shared" si="10"/>
        <v>0</v>
      </c>
      <c r="AF48" s="24">
        <f t="shared" si="10"/>
        <v>0</v>
      </c>
      <c r="AG48" s="24">
        <f t="shared" si="10"/>
        <v>0</v>
      </c>
      <c r="AH48" s="24">
        <f t="shared" si="10"/>
        <v>0</v>
      </c>
      <c r="AI48" s="24">
        <f t="shared" si="10"/>
        <v>0</v>
      </c>
      <c r="AJ48" s="24">
        <f t="shared" si="10"/>
        <v>0</v>
      </c>
      <c r="AK48" s="24">
        <f t="shared" si="10"/>
        <v>0</v>
      </c>
      <c r="AL48" s="24">
        <f t="shared" si="10"/>
        <v>0</v>
      </c>
      <c r="AM48" s="24">
        <f t="shared" si="10"/>
        <v>0</v>
      </c>
      <c r="AN48" s="24">
        <f t="shared" si="10"/>
        <v>0</v>
      </c>
      <c r="AO48" s="24">
        <f t="shared" si="10"/>
        <v>0</v>
      </c>
      <c r="AP48" s="24">
        <f t="shared" si="10"/>
        <v>0</v>
      </c>
      <c r="AQ48" s="24">
        <f t="shared" si="10"/>
        <v>0</v>
      </c>
      <c r="AR48" s="24">
        <f t="shared" si="10"/>
        <v>0</v>
      </c>
      <c r="AS48" s="24">
        <f t="shared" si="10"/>
        <v>0</v>
      </c>
      <c r="AT48" s="24">
        <f t="shared" si="10"/>
        <v>0</v>
      </c>
      <c r="AU48" s="24">
        <f t="shared" si="10"/>
        <v>0</v>
      </c>
      <c r="AV48" s="24">
        <f t="shared" si="10"/>
        <v>0</v>
      </c>
      <c r="AW48" s="24">
        <f t="shared" si="10"/>
        <v>0</v>
      </c>
      <c r="AX48" s="24">
        <f t="shared" si="10"/>
        <v>0</v>
      </c>
      <c r="AY48" s="24">
        <f t="shared" si="10"/>
        <v>0</v>
      </c>
      <c r="AZ48" s="24">
        <f t="shared" si="10"/>
        <v>0</v>
      </c>
      <c r="BA48" s="24">
        <f t="shared" si="10"/>
        <v>0</v>
      </c>
      <c r="BB48" s="24">
        <f t="shared" si="10"/>
        <v>0</v>
      </c>
      <c r="BC48" s="24">
        <f t="shared" si="10"/>
        <v>0</v>
      </c>
      <c r="BD48" s="24">
        <f t="shared" si="10"/>
        <v>0</v>
      </c>
      <c r="BE48" s="24">
        <f t="shared" si="10"/>
        <v>0</v>
      </c>
      <c r="BF48" s="24">
        <f t="shared" si="10"/>
        <v>0</v>
      </c>
      <c r="BG48" s="24">
        <f t="shared" si="10"/>
        <v>0</v>
      </c>
      <c r="BH48" s="24">
        <f t="shared" si="10"/>
        <v>360</v>
      </c>
      <c r="BI48" s="24">
        <f t="shared" si="10"/>
        <v>0</v>
      </c>
      <c r="BJ48" s="24">
        <f t="shared" si="10"/>
        <v>0</v>
      </c>
      <c r="BK48" s="24">
        <f t="shared" si="10"/>
        <v>0</v>
      </c>
      <c r="BL48" s="24">
        <f t="shared" si="10"/>
        <v>0</v>
      </c>
      <c r="BM48" s="24">
        <f t="shared" si="10"/>
        <v>0</v>
      </c>
    </row>
    <row r="49" spans="1:69" x14ac:dyDescent="0.3">
      <c r="D49" s="23" t="s">
        <v>67</v>
      </c>
      <c r="E49" s="25"/>
      <c r="F49" s="24">
        <f t="shared" ref="F49:BM50" si="11">F25*35</f>
        <v>0</v>
      </c>
      <c r="G49" s="24">
        <f t="shared" si="11"/>
        <v>0</v>
      </c>
      <c r="H49" s="24">
        <f t="shared" si="11"/>
        <v>0</v>
      </c>
      <c r="I49" s="24">
        <f t="shared" si="11"/>
        <v>0</v>
      </c>
      <c r="J49" s="24">
        <f t="shared" si="11"/>
        <v>0</v>
      </c>
      <c r="K49" s="24">
        <f t="shared" si="11"/>
        <v>0</v>
      </c>
      <c r="L49" s="24">
        <f t="shared" si="11"/>
        <v>0</v>
      </c>
      <c r="M49" s="24">
        <f t="shared" si="11"/>
        <v>0</v>
      </c>
      <c r="N49" s="24">
        <f t="shared" si="11"/>
        <v>0</v>
      </c>
      <c r="O49" s="24">
        <f t="shared" si="11"/>
        <v>0</v>
      </c>
      <c r="P49" s="24">
        <f t="shared" si="11"/>
        <v>0</v>
      </c>
      <c r="Q49" s="24">
        <f t="shared" si="11"/>
        <v>0</v>
      </c>
      <c r="R49" s="24">
        <f t="shared" si="11"/>
        <v>0</v>
      </c>
      <c r="S49" s="24">
        <f t="shared" si="11"/>
        <v>0</v>
      </c>
      <c r="T49" s="24">
        <f t="shared" si="11"/>
        <v>315</v>
      </c>
      <c r="U49" s="24">
        <f t="shared" si="11"/>
        <v>0</v>
      </c>
      <c r="V49" s="24">
        <f t="shared" si="11"/>
        <v>0</v>
      </c>
      <c r="W49" s="24">
        <f t="shared" si="11"/>
        <v>0</v>
      </c>
      <c r="X49" s="24">
        <f t="shared" si="11"/>
        <v>0</v>
      </c>
      <c r="Y49" s="24">
        <f t="shared" si="11"/>
        <v>0</v>
      </c>
      <c r="Z49" s="24">
        <f t="shared" si="11"/>
        <v>0</v>
      </c>
      <c r="AA49" s="24">
        <f t="shared" si="11"/>
        <v>0</v>
      </c>
      <c r="AB49" s="24">
        <f t="shared" si="11"/>
        <v>0</v>
      </c>
      <c r="AC49" s="24">
        <f t="shared" si="11"/>
        <v>0</v>
      </c>
      <c r="AD49" s="24">
        <f t="shared" si="11"/>
        <v>0</v>
      </c>
      <c r="AE49" s="24">
        <f t="shared" si="11"/>
        <v>0</v>
      </c>
      <c r="AF49" s="24">
        <f t="shared" si="11"/>
        <v>0</v>
      </c>
      <c r="AG49" s="24">
        <f t="shared" si="11"/>
        <v>0</v>
      </c>
      <c r="AH49" s="24">
        <f t="shared" si="11"/>
        <v>0</v>
      </c>
      <c r="AI49" s="24">
        <f t="shared" si="11"/>
        <v>0</v>
      </c>
      <c r="AJ49" s="24">
        <f t="shared" si="11"/>
        <v>0</v>
      </c>
      <c r="AK49" s="24">
        <f t="shared" si="11"/>
        <v>0</v>
      </c>
      <c r="AL49" s="24">
        <f t="shared" si="11"/>
        <v>0</v>
      </c>
      <c r="AM49" s="24">
        <f t="shared" si="11"/>
        <v>0</v>
      </c>
      <c r="AN49" s="24">
        <f t="shared" si="11"/>
        <v>315</v>
      </c>
      <c r="AO49" s="24">
        <f t="shared" si="11"/>
        <v>0</v>
      </c>
      <c r="AP49" s="24">
        <f t="shared" si="11"/>
        <v>0</v>
      </c>
      <c r="AQ49" s="24">
        <f t="shared" si="11"/>
        <v>0</v>
      </c>
      <c r="AR49" s="24">
        <f t="shared" si="11"/>
        <v>0</v>
      </c>
      <c r="AS49" s="24">
        <f t="shared" si="11"/>
        <v>0</v>
      </c>
      <c r="AT49" s="24">
        <f t="shared" si="11"/>
        <v>0</v>
      </c>
      <c r="AU49" s="24">
        <f t="shared" si="11"/>
        <v>0</v>
      </c>
      <c r="AV49" s="24">
        <f t="shared" si="11"/>
        <v>0</v>
      </c>
      <c r="AW49" s="24">
        <f t="shared" si="11"/>
        <v>0</v>
      </c>
      <c r="AX49" s="24">
        <f t="shared" si="11"/>
        <v>0</v>
      </c>
      <c r="AY49" s="24">
        <f t="shared" si="11"/>
        <v>0</v>
      </c>
      <c r="AZ49" s="24">
        <f t="shared" si="11"/>
        <v>0</v>
      </c>
      <c r="BA49" s="24">
        <f t="shared" si="11"/>
        <v>0</v>
      </c>
      <c r="BB49" s="24">
        <f t="shared" si="11"/>
        <v>455</v>
      </c>
      <c r="BC49" s="24">
        <f t="shared" si="11"/>
        <v>0</v>
      </c>
      <c r="BD49" s="24">
        <f t="shared" si="11"/>
        <v>0</v>
      </c>
      <c r="BE49" s="24">
        <f t="shared" si="11"/>
        <v>0</v>
      </c>
      <c r="BF49" s="24">
        <f t="shared" si="11"/>
        <v>0</v>
      </c>
      <c r="BG49" s="24">
        <f t="shared" si="11"/>
        <v>0</v>
      </c>
      <c r="BH49" s="24">
        <f t="shared" si="11"/>
        <v>0</v>
      </c>
      <c r="BI49" s="24">
        <f t="shared" si="11"/>
        <v>0</v>
      </c>
      <c r="BJ49" s="24">
        <f t="shared" si="11"/>
        <v>0</v>
      </c>
      <c r="BK49" s="24">
        <f t="shared" si="11"/>
        <v>0</v>
      </c>
      <c r="BL49" s="24">
        <f t="shared" si="11"/>
        <v>0</v>
      </c>
      <c r="BM49" s="24">
        <f t="shared" si="11"/>
        <v>0</v>
      </c>
    </row>
    <row r="50" spans="1:69" x14ac:dyDescent="0.3">
      <c r="D50" s="23" t="s">
        <v>72</v>
      </c>
      <c r="E50" s="25"/>
      <c r="F50" s="24">
        <f>F26*35</f>
        <v>0</v>
      </c>
      <c r="G50" s="24">
        <f t="shared" si="11"/>
        <v>0</v>
      </c>
      <c r="H50" s="24">
        <f t="shared" si="11"/>
        <v>0</v>
      </c>
      <c r="I50" s="24">
        <f t="shared" si="11"/>
        <v>0</v>
      </c>
      <c r="J50" s="24">
        <f t="shared" si="11"/>
        <v>0</v>
      </c>
      <c r="K50" s="24">
        <f t="shared" si="11"/>
        <v>0</v>
      </c>
      <c r="L50" s="24">
        <f t="shared" si="11"/>
        <v>0</v>
      </c>
      <c r="M50" s="24">
        <f t="shared" si="11"/>
        <v>0</v>
      </c>
      <c r="N50" s="24">
        <f t="shared" si="11"/>
        <v>0</v>
      </c>
      <c r="O50" s="24">
        <f t="shared" si="11"/>
        <v>0</v>
      </c>
      <c r="P50" s="24">
        <f t="shared" si="11"/>
        <v>0</v>
      </c>
      <c r="Q50" s="24">
        <f t="shared" si="11"/>
        <v>0</v>
      </c>
      <c r="R50" s="24">
        <f t="shared" si="11"/>
        <v>315</v>
      </c>
      <c r="S50" s="24">
        <f t="shared" si="11"/>
        <v>0</v>
      </c>
      <c r="T50" s="24">
        <f t="shared" si="11"/>
        <v>210</v>
      </c>
      <c r="U50" s="24">
        <f t="shared" si="11"/>
        <v>0</v>
      </c>
      <c r="V50" s="24">
        <f t="shared" si="11"/>
        <v>0</v>
      </c>
      <c r="W50" s="24">
        <f t="shared" si="11"/>
        <v>0</v>
      </c>
      <c r="X50" s="24">
        <f t="shared" si="11"/>
        <v>0</v>
      </c>
      <c r="Y50" s="24">
        <f t="shared" si="11"/>
        <v>0</v>
      </c>
      <c r="Z50" s="24">
        <f t="shared" si="11"/>
        <v>0</v>
      </c>
      <c r="AA50" s="24">
        <f t="shared" si="11"/>
        <v>0</v>
      </c>
      <c r="AB50" s="24">
        <f t="shared" si="11"/>
        <v>0</v>
      </c>
      <c r="AC50" s="24">
        <f t="shared" si="11"/>
        <v>0</v>
      </c>
      <c r="AD50" s="24">
        <f t="shared" si="11"/>
        <v>0</v>
      </c>
      <c r="AE50" s="24">
        <f t="shared" si="11"/>
        <v>0</v>
      </c>
      <c r="AF50" s="24">
        <f t="shared" si="11"/>
        <v>0</v>
      </c>
      <c r="AG50" s="24">
        <f t="shared" si="11"/>
        <v>0</v>
      </c>
      <c r="AH50" s="24">
        <f t="shared" si="11"/>
        <v>0</v>
      </c>
      <c r="AI50" s="24">
        <f t="shared" si="11"/>
        <v>0</v>
      </c>
      <c r="AJ50" s="24">
        <f t="shared" si="11"/>
        <v>0</v>
      </c>
      <c r="AK50" s="24">
        <f t="shared" si="11"/>
        <v>0</v>
      </c>
      <c r="AL50" s="24">
        <f t="shared" si="11"/>
        <v>0</v>
      </c>
      <c r="AM50" s="24">
        <f t="shared" si="11"/>
        <v>0</v>
      </c>
      <c r="AN50" s="24">
        <f t="shared" si="11"/>
        <v>0</v>
      </c>
      <c r="AO50" s="24">
        <f t="shared" si="11"/>
        <v>0</v>
      </c>
      <c r="AP50" s="24">
        <f t="shared" si="11"/>
        <v>0</v>
      </c>
      <c r="AQ50" s="24">
        <f t="shared" si="11"/>
        <v>0</v>
      </c>
      <c r="AR50" s="24">
        <f t="shared" si="11"/>
        <v>0</v>
      </c>
      <c r="AS50" s="24">
        <f t="shared" si="11"/>
        <v>0</v>
      </c>
      <c r="AT50" s="24">
        <f t="shared" si="11"/>
        <v>0</v>
      </c>
      <c r="AU50" s="24">
        <f t="shared" si="11"/>
        <v>0</v>
      </c>
      <c r="AV50" s="24">
        <f t="shared" si="11"/>
        <v>0</v>
      </c>
      <c r="AW50" s="24">
        <f t="shared" si="11"/>
        <v>0</v>
      </c>
      <c r="AX50" s="24">
        <f t="shared" si="11"/>
        <v>0</v>
      </c>
      <c r="AY50" s="24">
        <f t="shared" si="11"/>
        <v>0</v>
      </c>
      <c r="AZ50" s="24">
        <f t="shared" si="11"/>
        <v>0</v>
      </c>
      <c r="BA50" s="24">
        <f t="shared" si="11"/>
        <v>0</v>
      </c>
      <c r="BB50" s="24">
        <f t="shared" si="11"/>
        <v>0</v>
      </c>
      <c r="BC50" s="24">
        <f t="shared" si="11"/>
        <v>0</v>
      </c>
      <c r="BD50" s="24">
        <f t="shared" si="11"/>
        <v>0</v>
      </c>
      <c r="BE50" s="24">
        <f t="shared" si="11"/>
        <v>0</v>
      </c>
      <c r="BF50" s="24">
        <f t="shared" si="11"/>
        <v>0</v>
      </c>
      <c r="BG50" s="24">
        <f t="shared" si="11"/>
        <v>0</v>
      </c>
      <c r="BH50" s="24">
        <f t="shared" si="11"/>
        <v>280</v>
      </c>
      <c r="BI50" s="24">
        <f t="shared" si="11"/>
        <v>0</v>
      </c>
      <c r="BJ50" s="24">
        <f t="shared" si="11"/>
        <v>0</v>
      </c>
      <c r="BK50" s="24">
        <f t="shared" si="11"/>
        <v>0</v>
      </c>
      <c r="BL50" s="24">
        <f t="shared" si="11"/>
        <v>0</v>
      </c>
      <c r="BM50" s="24">
        <f t="shared" si="11"/>
        <v>0</v>
      </c>
    </row>
    <row r="51" spans="1:69" x14ac:dyDescent="0.3">
      <c r="D51" s="23" t="s">
        <v>78</v>
      </c>
      <c r="E51" s="25"/>
      <c r="F51" s="24">
        <f t="shared" ref="F51:BM51" si="12">F27*15</f>
        <v>0</v>
      </c>
      <c r="G51" s="24">
        <f t="shared" si="12"/>
        <v>0</v>
      </c>
      <c r="H51" s="24">
        <f t="shared" si="12"/>
        <v>0</v>
      </c>
      <c r="I51" s="24">
        <f t="shared" si="12"/>
        <v>0</v>
      </c>
      <c r="J51" s="24">
        <f t="shared" si="12"/>
        <v>135</v>
      </c>
      <c r="K51" s="24">
        <f t="shared" si="12"/>
        <v>0</v>
      </c>
      <c r="L51" s="24">
        <f t="shared" si="12"/>
        <v>0</v>
      </c>
      <c r="M51" s="24">
        <f t="shared" si="12"/>
        <v>0</v>
      </c>
      <c r="N51" s="24">
        <f t="shared" si="12"/>
        <v>0</v>
      </c>
      <c r="O51" s="24">
        <f t="shared" si="12"/>
        <v>0</v>
      </c>
      <c r="P51" s="24">
        <f t="shared" si="12"/>
        <v>0</v>
      </c>
      <c r="Q51" s="24">
        <f t="shared" si="12"/>
        <v>0</v>
      </c>
      <c r="R51" s="24">
        <f t="shared" si="12"/>
        <v>540</v>
      </c>
      <c r="S51" s="24">
        <f t="shared" si="12"/>
        <v>0</v>
      </c>
      <c r="T51" s="24">
        <f t="shared" si="12"/>
        <v>135</v>
      </c>
      <c r="U51" s="24">
        <f t="shared" si="12"/>
        <v>0</v>
      </c>
      <c r="V51" s="24">
        <f t="shared" si="12"/>
        <v>150</v>
      </c>
      <c r="W51" s="24">
        <f t="shared" si="12"/>
        <v>0</v>
      </c>
      <c r="X51" s="24">
        <f t="shared" si="12"/>
        <v>0</v>
      </c>
      <c r="Y51" s="24">
        <f t="shared" si="12"/>
        <v>0</v>
      </c>
      <c r="Z51" s="24">
        <f t="shared" si="12"/>
        <v>0</v>
      </c>
      <c r="AA51" s="24">
        <f t="shared" si="12"/>
        <v>0</v>
      </c>
      <c r="AB51" s="24">
        <f t="shared" si="12"/>
        <v>0</v>
      </c>
      <c r="AC51" s="24">
        <f t="shared" si="12"/>
        <v>0</v>
      </c>
      <c r="AD51" s="24">
        <f t="shared" si="12"/>
        <v>0</v>
      </c>
      <c r="AE51" s="24">
        <f t="shared" si="12"/>
        <v>0</v>
      </c>
      <c r="AF51" s="24">
        <f t="shared" si="12"/>
        <v>0</v>
      </c>
      <c r="AG51" s="24">
        <f t="shared" si="12"/>
        <v>0</v>
      </c>
      <c r="AH51" s="24">
        <f t="shared" si="12"/>
        <v>0</v>
      </c>
      <c r="AI51" s="24">
        <f t="shared" si="12"/>
        <v>0</v>
      </c>
      <c r="AJ51" s="24">
        <f t="shared" si="12"/>
        <v>0</v>
      </c>
      <c r="AK51" s="24">
        <f t="shared" si="12"/>
        <v>0</v>
      </c>
      <c r="AL51" s="24">
        <f t="shared" si="12"/>
        <v>0</v>
      </c>
      <c r="AM51" s="24">
        <f t="shared" si="12"/>
        <v>0</v>
      </c>
      <c r="AN51" s="24">
        <f t="shared" si="12"/>
        <v>165</v>
      </c>
      <c r="AO51" s="24">
        <f t="shared" si="12"/>
        <v>0</v>
      </c>
      <c r="AP51" s="24">
        <f t="shared" si="12"/>
        <v>0</v>
      </c>
      <c r="AQ51" s="24">
        <f t="shared" si="12"/>
        <v>0</v>
      </c>
      <c r="AR51" s="24">
        <f t="shared" si="12"/>
        <v>0</v>
      </c>
      <c r="AS51" s="24">
        <f t="shared" si="12"/>
        <v>0</v>
      </c>
      <c r="AT51" s="24">
        <f t="shared" si="12"/>
        <v>0</v>
      </c>
      <c r="AU51" s="24">
        <f t="shared" si="12"/>
        <v>0</v>
      </c>
      <c r="AV51" s="24">
        <f t="shared" si="12"/>
        <v>0</v>
      </c>
      <c r="AW51" s="24">
        <f t="shared" si="12"/>
        <v>0</v>
      </c>
      <c r="AX51" s="24">
        <f t="shared" si="12"/>
        <v>45</v>
      </c>
      <c r="AY51" s="24">
        <f t="shared" si="12"/>
        <v>0</v>
      </c>
      <c r="AZ51" s="24">
        <f t="shared" si="12"/>
        <v>0</v>
      </c>
      <c r="BA51" s="24">
        <f t="shared" si="12"/>
        <v>0</v>
      </c>
      <c r="BB51" s="24">
        <f t="shared" si="12"/>
        <v>0</v>
      </c>
      <c r="BC51" s="24">
        <f t="shared" si="12"/>
        <v>0</v>
      </c>
      <c r="BD51" s="24">
        <f t="shared" si="12"/>
        <v>0</v>
      </c>
      <c r="BE51" s="24">
        <f t="shared" si="12"/>
        <v>0</v>
      </c>
      <c r="BF51" s="24">
        <f t="shared" si="12"/>
        <v>255</v>
      </c>
      <c r="BG51" s="24">
        <f t="shared" si="12"/>
        <v>0</v>
      </c>
      <c r="BH51" s="24">
        <f t="shared" si="12"/>
        <v>0</v>
      </c>
      <c r="BI51" s="24">
        <f t="shared" si="12"/>
        <v>0</v>
      </c>
      <c r="BJ51" s="24">
        <f t="shared" si="12"/>
        <v>30</v>
      </c>
      <c r="BK51" s="24">
        <f t="shared" si="12"/>
        <v>0</v>
      </c>
      <c r="BL51" s="24">
        <f t="shared" si="12"/>
        <v>0</v>
      </c>
      <c r="BM51" s="24">
        <f t="shared" si="12"/>
        <v>0</v>
      </c>
      <c r="BP51" s="24"/>
      <c r="BQ51" s="24"/>
    </row>
    <row r="52" spans="1:69" x14ac:dyDescent="0.3">
      <c r="D52" s="26"/>
      <c r="E52" s="26" t="s">
        <v>73</v>
      </c>
      <c r="F52" s="27">
        <f>SUM(F30:F51)</f>
        <v>0</v>
      </c>
      <c r="G52" s="27">
        <f>SUM(G30:G51)</f>
        <v>0</v>
      </c>
      <c r="H52" s="27">
        <f>SUM(H30:H51)</f>
        <v>735</v>
      </c>
      <c r="I52" s="27">
        <f t="shared" ref="I52:BM52" si="13">SUM(I30:I51)</f>
        <v>0</v>
      </c>
      <c r="J52" s="27">
        <f t="shared" si="13"/>
        <v>525</v>
      </c>
      <c r="K52" s="27">
        <f t="shared" si="13"/>
        <v>0</v>
      </c>
      <c r="L52" s="27">
        <f t="shared" si="13"/>
        <v>1405</v>
      </c>
      <c r="M52" s="27">
        <f t="shared" si="13"/>
        <v>0</v>
      </c>
      <c r="N52" s="27">
        <f t="shared" si="13"/>
        <v>0</v>
      </c>
      <c r="O52" s="27">
        <f t="shared" si="13"/>
        <v>0</v>
      </c>
      <c r="P52" s="27">
        <f t="shared" si="13"/>
        <v>0</v>
      </c>
      <c r="Q52" s="27">
        <f t="shared" si="13"/>
        <v>0</v>
      </c>
      <c r="R52" s="27">
        <f t="shared" si="13"/>
        <v>2160</v>
      </c>
      <c r="S52" s="27">
        <f t="shared" si="13"/>
        <v>0</v>
      </c>
      <c r="T52" s="27">
        <f t="shared" si="13"/>
        <v>2280</v>
      </c>
      <c r="U52" s="27">
        <f t="shared" si="13"/>
        <v>0</v>
      </c>
      <c r="V52" s="27">
        <f t="shared" si="13"/>
        <v>630</v>
      </c>
      <c r="W52" s="27">
        <f t="shared" si="13"/>
        <v>0</v>
      </c>
      <c r="X52" s="27">
        <f t="shared" si="13"/>
        <v>0</v>
      </c>
      <c r="Y52" s="27">
        <f t="shared" si="13"/>
        <v>0</v>
      </c>
      <c r="Z52" s="27">
        <f t="shared" si="13"/>
        <v>0</v>
      </c>
      <c r="AA52" s="27">
        <f t="shared" si="13"/>
        <v>0</v>
      </c>
      <c r="AB52" s="27">
        <f t="shared" si="13"/>
        <v>0</v>
      </c>
      <c r="AC52" s="27">
        <f t="shared" si="13"/>
        <v>0</v>
      </c>
      <c r="AD52" s="27">
        <f t="shared" si="13"/>
        <v>0</v>
      </c>
      <c r="AE52" s="27">
        <f t="shared" si="13"/>
        <v>0</v>
      </c>
      <c r="AF52" s="27">
        <f t="shared" si="13"/>
        <v>0</v>
      </c>
      <c r="AG52" s="27">
        <f t="shared" si="13"/>
        <v>0</v>
      </c>
      <c r="AH52" s="27">
        <f t="shared" si="13"/>
        <v>0</v>
      </c>
      <c r="AI52" s="27">
        <f t="shared" si="13"/>
        <v>0</v>
      </c>
      <c r="AJ52" s="27">
        <f t="shared" si="13"/>
        <v>465</v>
      </c>
      <c r="AK52" s="27">
        <f t="shared" si="13"/>
        <v>0</v>
      </c>
      <c r="AL52" s="27">
        <f t="shared" si="13"/>
        <v>735</v>
      </c>
      <c r="AM52" s="27">
        <f t="shared" si="13"/>
        <v>0</v>
      </c>
      <c r="AN52" s="27">
        <f t="shared" si="13"/>
        <v>1390</v>
      </c>
      <c r="AO52" s="27">
        <f t="shared" si="13"/>
        <v>0</v>
      </c>
      <c r="AP52" s="27">
        <f t="shared" si="13"/>
        <v>0</v>
      </c>
      <c r="AQ52" s="27">
        <f t="shared" si="13"/>
        <v>0</v>
      </c>
      <c r="AR52" s="27">
        <f t="shared" si="13"/>
        <v>0</v>
      </c>
      <c r="AS52" s="27">
        <f t="shared" si="13"/>
        <v>0</v>
      </c>
      <c r="AT52" s="27">
        <f t="shared" si="13"/>
        <v>135</v>
      </c>
      <c r="AU52" s="27">
        <f t="shared" si="13"/>
        <v>0</v>
      </c>
      <c r="AV52" s="27">
        <f t="shared" si="13"/>
        <v>0</v>
      </c>
      <c r="AW52" s="27">
        <f t="shared" si="13"/>
        <v>0</v>
      </c>
      <c r="AX52" s="27">
        <f t="shared" si="13"/>
        <v>705</v>
      </c>
      <c r="AY52" s="27">
        <f t="shared" si="13"/>
        <v>0</v>
      </c>
      <c r="AZ52" s="27">
        <f t="shared" si="13"/>
        <v>420</v>
      </c>
      <c r="BA52" s="27">
        <f t="shared" si="13"/>
        <v>0</v>
      </c>
      <c r="BB52" s="27">
        <f t="shared" si="13"/>
        <v>1770</v>
      </c>
      <c r="BC52" s="27">
        <f t="shared" si="13"/>
        <v>0</v>
      </c>
      <c r="BD52" s="27">
        <f t="shared" si="13"/>
        <v>0</v>
      </c>
      <c r="BE52" s="27">
        <f t="shared" si="13"/>
        <v>0</v>
      </c>
      <c r="BF52" s="27">
        <f t="shared" si="13"/>
        <v>255</v>
      </c>
      <c r="BG52" s="27">
        <f t="shared" si="13"/>
        <v>0</v>
      </c>
      <c r="BH52" s="27">
        <f t="shared" si="13"/>
        <v>1625</v>
      </c>
      <c r="BI52" s="27">
        <f t="shared" si="13"/>
        <v>80</v>
      </c>
      <c r="BJ52" s="27">
        <f t="shared" si="13"/>
        <v>1775</v>
      </c>
      <c r="BK52" s="27">
        <f t="shared" si="13"/>
        <v>0</v>
      </c>
      <c r="BL52" s="27">
        <f t="shared" si="13"/>
        <v>0</v>
      </c>
      <c r="BM52" s="27">
        <f t="shared" si="13"/>
        <v>0</v>
      </c>
      <c r="BN52" s="24">
        <f>SUM(F52:BM52)</f>
        <v>17090</v>
      </c>
    </row>
    <row r="54" spans="1:69" x14ac:dyDescent="0.3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1:69" x14ac:dyDescent="0.3">
      <c r="F55" s="8" t="s">
        <v>8</v>
      </c>
      <c r="G55" s="8" t="s">
        <v>11</v>
      </c>
      <c r="H55" s="8" t="s">
        <v>12</v>
      </c>
      <c r="I55" s="8">
        <v>77</v>
      </c>
      <c r="J55" s="8">
        <v>0</v>
      </c>
      <c r="AR55" s="29"/>
      <c r="AS55" s="29"/>
      <c r="AT55" s="29"/>
    </row>
    <row r="56" spans="1:69" x14ac:dyDescent="0.3">
      <c r="F56" s="8" t="s">
        <v>13</v>
      </c>
      <c r="G56" s="8" t="s">
        <v>16</v>
      </c>
      <c r="H56" s="8" t="s">
        <v>12</v>
      </c>
      <c r="I56" s="8">
        <v>59</v>
      </c>
      <c r="J56" s="8">
        <v>0</v>
      </c>
    </row>
    <row r="57" spans="1:69" x14ac:dyDescent="0.3">
      <c r="F57" s="8" t="s">
        <v>17</v>
      </c>
      <c r="G57" s="8" t="s">
        <v>20</v>
      </c>
      <c r="H57" s="8" t="s">
        <v>12</v>
      </c>
      <c r="I57" s="8">
        <v>49</v>
      </c>
      <c r="J57" s="8">
        <v>0</v>
      </c>
    </row>
    <row r="58" spans="1:69" x14ac:dyDescent="0.3">
      <c r="A58" s="22"/>
      <c r="B58" s="22"/>
      <c r="C58" s="22"/>
      <c r="D58" s="22"/>
      <c r="F58" s="8" t="s">
        <v>21</v>
      </c>
      <c r="G58" s="8" t="s">
        <v>24</v>
      </c>
      <c r="H58" s="8" t="s">
        <v>25</v>
      </c>
      <c r="I58" s="30">
        <v>26</v>
      </c>
      <c r="J58" s="8">
        <v>0</v>
      </c>
    </row>
    <row r="59" spans="1:69" x14ac:dyDescent="0.3">
      <c r="F59" s="8" t="s">
        <v>26</v>
      </c>
      <c r="G59" s="8" t="s">
        <v>29</v>
      </c>
      <c r="H59" s="8" t="s">
        <v>12</v>
      </c>
      <c r="I59" s="8">
        <v>40</v>
      </c>
      <c r="J59" s="8">
        <v>0</v>
      </c>
    </row>
    <row r="60" spans="1:69" x14ac:dyDescent="0.3">
      <c r="F60" s="8" t="s">
        <v>30</v>
      </c>
      <c r="G60" s="8" t="s">
        <v>32</v>
      </c>
      <c r="H60" s="8" t="s">
        <v>25</v>
      </c>
      <c r="I60" s="8">
        <v>56</v>
      </c>
      <c r="J60" s="8">
        <v>0</v>
      </c>
    </row>
    <row r="61" spans="1:69" x14ac:dyDescent="0.3">
      <c r="F61" s="8" t="s">
        <v>33</v>
      </c>
      <c r="G61" s="8" t="s">
        <v>75</v>
      </c>
      <c r="H61" s="8" t="s">
        <v>35</v>
      </c>
      <c r="I61" s="8">
        <v>17</v>
      </c>
      <c r="J61" s="8">
        <v>0</v>
      </c>
    </row>
    <row r="62" spans="1:69" x14ac:dyDescent="0.3">
      <c r="F62" s="8" t="s">
        <v>36</v>
      </c>
      <c r="G62" s="8" t="s">
        <v>38</v>
      </c>
      <c r="H62" s="8" t="s">
        <v>35</v>
      </c>
      <c r="I62" s="8">
        <v>15</v>
      </c>
      <c r="J62" s="8">
        <v>2</v>
      </c>
    </row>
    <row r="63" spans="1:69" x14ac:dyDescent="0.3">
      <c r="F63" s="8" t="s">
        <v>39</v>
      </c>
      <c r="G63" s="8" t="s">
        <v>41</v>
      </c>
      <c r="H63" s="8" t="s">
        <v>42</v>
      </c>
      <c r="I63" s="8">
        <v>36</v>
      </c>
      <c r="J63" s="8">
        <v>0</v>
      </c>
    </row>
    <row r="64" spans="1:69" x14ac:dyDescent="0.3">
      <c r="F64" s="8" t="s">
        <v>43</v>
      </c>
      <c r="G64" s="8" t="s">
        <v>45</v>
      </c>
      <c r="H64" s="8" t="s">
        <v>45</v>
      </c>
      <c r="I64" s="8">
        <v>16</v>
      </c>
      <c r="J64" s="8">
        <v>0</v>
      </c>
    </row>
    <row r="65" spans="6:10" x14ac:dyDescent="0.3">
      <c r="F65" s="8" t="s">
        <v>46</v>
      </c>
      <c r="G65" s="8" t="s">
        <v>47</v>
      </c>
      <c r="H65" s="8" t="s">
        <v>48</v>
      </c>
      <c r="I65" s="8">
        <v>21</v>
      </c>
      <c r="J65" s="8">
        <v>0</v>
      </c>
    </row>
    <row r="66" spans="6:10" x14ac:dyDescent="0.3">
      <c r="F66" s="8" t="s">
        <v>49</v>
      </c>
      <c r="G66" s="8" t="s">
        <v>50</v>
      </c>
      <c r="H66" s="8" t="s">
        <v>50</v>
      </c>
      <c r="I66" s="8">
        <v>31</v>
      </c>
      <c r="J66" s="8">
        <v>0</v>
      </c>
    </row>
    <row r="67" spans="6:10" x14ac:dyDescent="0.3">
      <c r="F67" s="16" t="s">
        <v>51</v>
      </c>
      <c r="G67" s="16" t="s">
        <v>52</v>
      </c>
      <c r="H67" s="16" t="s">
        <v>52</v>
      </c>
      <c r="I67" s="8">
        <v>16</v>
      </c>
      <c r="J67" s="8">
        <v>0</v>
      </c>
    </row>
    <row r="68" spans="6:10" x14ac:dyDescent="0.3">
      <c r="F68" s="16" t="s">
        <v>53</v>
      </c>
      <c r="G68" s="16" t="s">
        <v>54</v>
      </c>
      <c r="H68" s="16" t="s">
        <v>54</v>
      </c>
      <c r="I68" s="8">
        <v>14</v>
      </c>
      <c r="J68" s="8">
        <v>0</v>
      </c>
    </row>
    <row r="69" spans="6:10" x14ac:dyDescent="0.3">
      <c r="F69" s="16" t="s">
        <v>55</v>
      </c>
      <c r="G69" s="16" t="s">
        <v>56</v>
      </c>
      <c r="H69" s="16" t="s">
        <v>56</v>
      </c>
      <c r="I69" s="8">
        <v>14</v>
      </c>
      <c r="J69" s="8">
        <v>0</v>
      </c>
    </row>
    <row r="70" spans="6:10" x14ac:dyDescent="0.3">
      <c r="F70" s="16" t="s">
        <v>57</v>
      </c>
      <c r="G70" s="16" t="s">
        <v>58</v>
      </c>
      <c r="H70" s="16" t="s">
        <v>58</v>
      </c>
      <c r="I70" s="8">
        <v>14</v>
      </c>
      <c r="J70" s="8">
        <v>0</v>
      </c>
    </row>
    <row r="71" spans="6:10" x14ac:dyDescent="0.3">
      <c r="F71" s="16" t="s">
        <v>59</v>
      </c>
      <c r="G71" s="16" t="s">
        <v>60</v>
      </c>
      <c r="H71" s="16" t="s">
        <v>60</v>
      </c>
      <c r="I71" s="31">
        <v>15</v>
      </c>
      <c r="J71" s="8">
        <v>0</v>
      </c>
    </row>
    <row r="72" spans="6:10" x14ac:dyDescent="0.3">
      <c r="F72" s="16" t="s">
        <v>61</v>
      </c>
      <c r="G72" s="16" t="s">
        <v>76</v>
      </c>
      <c r="H72" s="16" t="s">
        <v>64</v>
      </c>
      <c r="I72" s="31">
        <v>32</v>
      </c>
      <c r="J72" s="8">
        <v>0</v>
      </c>
    </row>
    <row r="73" spans="6:10" x14ac:dyDescent="0.3">
      <c r="F73" s="16" t="s">
        <v>65</v>
      </c>
      <c r="G73" s="16" t="s">
        <v>69</v>
      </c>
      <c r="H73" s="16" t="s">
        <v>69</v>
      </c>
      <c r="I73" s="8">
        <v>15</v>
      </c>
      <c r="J73" s="8">
        <v>0</v>
      </c>
    </row>
    <row r="74" spans="6:10" x14ac:dyDescent="0.3">
      <c r="F74" s="16" t="s">
        <v>68</v>
      </c>
      <c r="G74" s="16" t="s">
        <v>67</v>
      </c>
      <c r="H74" s="16" t="s">
        <v>67</v>
      </c>
      <c r="I74" s="8">
        <v>31</v>
      </c>
      <c r="J74" s="8">
        <v>0</v>
      </c>
    </row>
    <row r="75" spans="6:10" x14ac:dyDescent="0.3">
      <c r="F75" s="16" t="s">
        <v>70</v>
      </c>
      <c r="G75" s="16" t="s">
        <v>72</v>
      </c>
      <c r="H75" s="16" t="s">
        <v>72</v>
      </c>
      <c r="I75" s="8">
        <v>23</v>
      </c>
      <c r="J75" s="8">
        <v>0</v>
      </c>
    </row>
    <row r="76" spans="6:10" x14ac:dyDescent="0.3">
      <c r="F76" s="16" t="s">
        <v>78</v>
      </c>
      <c r="G76" s="16" t="s">
        <v>12</v>
      </c>
      <c r="H76" s="16" t="s">
        <v>12</v>
      </c>
      <c r="I76" s="8">
        <v>97</v>
      </c>
      <c r="J76" s="8">
        <v>0</v>
      </c>
    </row>
    <row r="77" spans="6:10" x14ac:dyDescent="0.3">
      <c r="F77" s="32"/>
      <c r="G77" s="33" t="s">
        <v>77</v>
      </c>
      <c r="H77" s="34"/>
      <c r="I77" s="60">
        <f>17090*117.3771</f>
        <v>2005974.639</v>
      </c>
      <c r="J77" s="60"/>
    </row>
  </sheetData>
  <mergeCells count="36"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AV4:AW4"/>
    <mergeCell ref="AX4:AY4"/>
    <mergeCell ref="AB4:AC4"/>
    <mergeCell ref="AD4:AE4"/>
    <mergeCell ref="AF4:AG4"/>
    <mergeCell ref="AH4:AI4"/>
    <mergeCell ref="AJ4:AK4"/>
    <mergeCell ref="AL4:AM4"/>
    <mergeCell ref="I77:J77"/>
    <mergeCell ref="BL4:BM4"/>
    <mergeCell ref="D30:E30"/>
    <mergeCell ref="D31:E31"/>
    <mergeCell ref="D32:E32"/>
    <mergeCell ref="D33:E33"/>
    <mergeCell ref="AZ4:BA4"/>
    <mergeCell ref="BB4:BC4"/>
    <mergeCell ref="BD4:BE4"/>
    <mergeCell ref="BF4:BG4"/>
    <mergeCell ref="BH4:BI4"/>
    <mergeCell ref="BJ4:BK4"/>
    <mergeCell ref="AN4:AO4"/>
    <mergeCell ref="AP4:AQ4"/>
    <mergeCell ref="AR4:AS4"/>
    <mergeCell ref="AT4:AU4"/>
  </mergeCells>
  <hyperlinks>
    <hyperlink ref="C8" r:id="rId1" xr:uid="{8BA7A691-9673-4324-AAD5-7A7E4712F9C9}"/>
    <hyperlink ref="C10" r:id="rId2" xr:uid="{29B510B4-74CB-4DE0-8AFA-1B8E59204262}"/>
    <hyperlink ref="C15" r:id="rId3" xr:uid="{48878E9C-6FF0-4B8C-8D62-2215C7D09859}"/>
    <hyperlink ref="C7" r:id="rId4" xr:uid="{4E0D3DAD-91F7-4B32-B360-4BCBF9C19B8E}"/>
    <hyperlink ref="C13" r:id="rId5" xr:uid="{A4DFEC1A-CB8D-41E3-AAA7-EFE476B672F1}"/>
    <hyperlink ref="C23" r:id="rId6" display="mailto:bigcacak@madamecoco.com" xr:uid="{1AB7324A-5DCF-458A-B5CA-036F38AAF98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397A-3342-4751-86DB-D574A55756A9}">
  <dimension ref="A3:BQ79"/>
  <sheetViews>
    <sheetView tabSelected="1" topLeftCell="A52" workbookViewId="0">
      <selection activeCell="F54" sqref="F54:J77"/>
    </sheetView>
  </sheetViews>
  <sheetFormatPr defaultRowHeight="14.4" x14ac:dyDescent="0.3"/>
  <cols>
    <col min="1" max="1" width="23.109375" customWidth="1"/>
    <col min="2" max="2" width="14.44140625" customWidth="1"/>
    <col min="3" max="3" width="31.6640625" customWidth="1"/>
    <col min="4" max="4" width="19.44140625" customWidth="1"/>
    <col min="5" max="5" width="17.6640625" customWidth="1"/>
    <col min="6" max="6" width="12.88671875" customWidth="1"/>
    <col min="7" max="7" width="17.88671875" customWidth="1"/>
    <col min="8" max="8" width="14.33203125" customWidth="1"/>
    <col min="9" max="9" width="11.33203125" customWidth="1"/>
    <col min="10" max="10" width="12.44140625" customWidth="1"/>
    <col min="12" max="12" width="13.88671875" customWidth="1"/>
    <col min="13" max="13" width="11.21875" customWidth="1"/>
    <col min="14" max="14" width="12.33203125" customWidth="1"/>
    <col min="15" max="15" width="14.44140625" customWidth="1"/>
    <col min="16" max="16" width="13.6640625" customWidth="1"/>
    <col min="17" max="17" width="12" customWidth="1"/>
    <col min="18" max="18" width="12.5546875" customWidth="1"/>
    <col min="20" max="20" width="11.6640625" customWidth="1"/>
    <col min="22" max="22" width="13.77734375" customWidth="1"/>
    <col min="23" max="23" width="12.5546875" customWidth="1"/>
    <col min="24" max="24" width="13.44140625" customWidth="1"/>
    <col min="26" max="26" width="12.33203125" customWidth="1"/>
    <col min="28" max="28" width="11.6640625" customWidth="1"/>
    <col min="30" max="30" width="12.33203125" customWidth="1"/>
    <col min="31" max="31" width="10.44140625" customWidth="1"/>
    <col min="32" max="32" width="13.88671875" customWidth="1"/>
    <col min="33" max="33" width="9.77734375" customWidth="1"/>
    <col min="34" max="34" width="10.33203125" customWidth="1"/>
    <col min="35" max="35" width="10.5546875" customWidth="1"/>
    <col min="36" max="36" width="11.109375" customWidth="1"/>
    <col min="37" max="37" width="10.33203125" customWidth="1"/>
    <col min="38" max="38" width="13.21875" customWidth="1"/>
    <col min="39" max="39" width="11.88671875" customWidth="1"/>
    <col min="40" max="40" width="12.109375" customWidth="1"/>
    <col min="42" max="42" width="13.88671875" customWidth="1"/>
    <col min="43" max="43" width="11.21875" customWidth="1"/>
    <col min="44" max="44" width="12.109375" customWidth="1"/>
    <col min="45" max="45" width="10.88671875" customWidth="1"/>
    <col min="46" max="46" width="12.21875" customWidth="1"/>
    <col min="47" max="47" width="10.5546875" customWidth="1"/>
    <col min="48" max="48" width="11.6640625" customWidth="1"/>
    <col min="49" max="49" width="14.77734375" customWidth="1"/>
    <col min="50" max="50" width="10.44140625" customWidth="1"/>
    <col min="51" max="51" width="11.5546875" customWidth="1"/>
    <col min="52" max="52" width="14.109375" customWidth="1"/>
    <col min="54" max="54" width="12" customWidth="1"/>
    <col min="56" max="56" width="13.6640625" customWidth="1"/>
    <col min="57" max="57" width="9.88671875" customWidth="1"/>
    <col min="58" max="58" width="12" customWidth="1"/>
    <col min="59" max="59" width="10.6640625" customWidth="1"/>
    <col min="60" max="60" width="12.6640625" customWidth="1"/>
    <col min="61" max="61" width="11.77734375" customWidth="1"/>
    <col min="62" max="62" width="12.6640625" customWidth="1"/>
    <col min="64" max="64" width="12.44140625" customWidth="1"/>
    <col min="65" max="65" width="11.44140625" customWidth="1"/>
    <col min="66" max="66" width="14.21875" customWidth="1"/>
    <col min="68" max="68" width="17.21875" customWidth="1"/>
    <col min="69" max="69" width="10.88671875" customWidth="1"/>
  </cols>
  <sheetData>
    <row r="3" spans="1:67" ht="18" x14ac:dyDescent="0.35">
      <c r="A3" s="61"/>
      <c r="B3" s="61"/>
      <c r="C3" s="1" t="s">
        <v>0</v>
      </c>
    </row>
    <row r="4" spans="1:67" x14ac:dyDescent="0.3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57">
        <v>46143</v>
      </c>
      <c r="G4" s="58"/>
      <c r="H4" s="57">
        <v>46144</v>
      </c>
      <c r="I4" s="58"/>
      <c r="J4" s="57">
        <v>46145</v>
      </c>
      <c r="K4" s="58"/>
      <c r="L4" s="57">
        <v>46146</v>
      </c>
      <c r="M4" s="58"/>
      <c r="N4" s="57">
        <v>46147</v>
      </c>
      <c r="O4" s="58"/>
      <c r="P4" s="57">
        <v>46148</v>
      </c>
      <c r="Q4" s="58"/>
      <c r="R4" s="57">
        <v>46149</v>
      </c>
      <c r="S4" s="58"/>
      <c r="T4" s="57">
        <v>46150</v>
      </c>
      <c r="U4" s="58"/>
      <c r="V4" s="57">
        <v>46151</v>
      </c>
      <c r="W4" s="58"/>
      <c r="X4" s="57">
        <v>46152</v>
      </c>
      <c r="Y4" s="58"/>
      <c r="Z4" s="57">
        <v>46153</v>
      </c>
      <c r="AA4" s="58"/>
      <c r="AB4" s="57">
        <v>46154</v>
      </c>
      <c r="AC4" s="58"/>
      <c r="AD4" s="57">
        <v>46155</v>
      </c>
      <c r="AE4" s="58"/>
      <c r="AF4" s="57">
        <v>46156</v>
      </c>
      <c r="AG4" s="58"/>
      <c r="AH4" s="57">
        <v>46157</v>
      </c>
      <c r="AI4" s="58"/>
      <c r="AJ4" s="57">
        <v>46158</v>
      </c>
      <c r="AK4" s="58"/>
      <c r="AL4" s="57">
        <v>46159</v>
      </c>
      <c r="AM4" s="58"/>
      <c r="AN4" s="57">
        <v>46160</v>
      </c>
      <c r="AO4" s="58"/>
      <c r="AP4" s="57">
        <v>46161</v>
      </c>
      <c r="AQ4" s="58"/>
      <c r="AR4" s="57">
        <v>46162</v>
      </c>
      <c r="AS4" s="58"/>
      <c r="AT4" s="57">
        <v>46163</v>
      </c>
      <c r="AU4" s="58"/>
      <c r="AV4" s="57">
        <v>46164</v>
      </c>
      <c r="AW4" s="58"/>
      <c r="AX4" s="57">
        <v>46165</v>
      </c>
      <c r="AY4" s="58"/>
      <c r="AZ4" s="57">
        <v>46166</v>
      </c>
      <c r="BA4" s="58"/>
      <c r="BB4" s="57">
        <v>46167</v>
      </c>
      <c r="BC4" s="58"/>
      <c r="BD4" s="57">
        <v>46168</v>
      </c>
      <c r="BE4" s="58"/>
      <c r="BF4" s="57">
        <v>46169</v>
      </c>
      <c r="BG4" s="58"/>
      <c r="BH4" s="57">
        <v>46170</v>
      </c>
      <c r="BI4" s="58"/>
      <c r="BJ4" s="57">
        <v>46171</v>
      </c>
      <c r="BK4" s="58"/>
      <c r="BL4" s="57">
        <v>46172</v>
      </c>
      <c r="BM4" s="58"/>
      <c r="BN4" s="57">
        <v>46173</v>
      </c>
      <c r="BO4" s="58"/>
    </row>
    <row r="5" spans="1:67" x14ac:dyDescent="0.3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4" t="s">
        <v>6</v>
      </c>
      <c r="K5" s="4" t="s">
        <v>7</v>
      </c>
      <c r="L5" s="47" t="s">
        <v>6</v>
      </c>
      <c r="M5" s="47" t="s">
        <v>7</v>
      </c>
      <c r="N5" s="47" t="s">
        <v>6</v>
      </c>
      <c r="O5" s="47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4" t="s">
        <v>6</v>
      </c>
      <c r="Y5" s="4" t="s">
        <v>7</v>
      </c>
      <c r="Z5" s="47" t="s">
        <v>6</v>
      </c>
      <c r="AA5" s="47" t="s">
        <v>7</v>
      </c>
      <c r="AB5" s="47" t="s">
        <v>6</v>
      </c>
      <c r="AC5" s="47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4" t="s">
        <v>6</v>
      </c>
      <c r="AM5" s="4" t="s">
        <v>7</v>
      </c>
      <c r="AN5" s="47" t="s">
        <v>6</v>
      </c>
      <c r="AO5" s="47" t="s">
        <v>7</v>
      </c>
      <c r="AP5" s="47" t="s">
        <v>6</v>
      </c>
      <c r="AQ5" s="47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4" t="s">
        <v>6</v>
      </c>
      <c r="BA5" s="4" t="s">
        <v>7</v>
      </c>
      <c r="BB5" s="47" t="s">
        <v>6</v>
      </c>
      <c r="BC5" s="47" t="s">
        <v>7</v>
      </c>
      <c r="BD5" s="47" t="s">
        <v>6</v>
      </c>
      <c r="BE5" s="47" t="s">
        <v>7</v>
      </c>
      <c r="BF5" s="5" t="s">
        <v>6</v>
      </c>
      <c r="BG5" s="5" t="s">
        <v>7</v>
      </c>
      <c r="BH5" s="5" t="s">
        <v>6</v>
      </c>
      <c r="BI5" s="5" t="s">
        <v>7</v>
      </c>
      <c r="BJ5" s="5" t="s">
        <v>6</v>
      </c>
      <c r="BK5" s="5" t="s">
        <v>7</v>
      </c>
      <c r="BL5" s="5" t="s">
        <v>6</v>
      </c>
      <c r="BM5" s="5" t="s">
        <v>7</v>
      </c>
      <c r="BN5" s="5" t="s">
        <v>6</v>
      </c>
      <c r="BO5" s="5" t="s">
        <v>7</v>
      </c>
    </row>
    <row r="6" spans="1:67" x14ac:dyDescent="0.3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9"/>
      <c r="G6" s="10"/>
      <c r="H6" s="52"/>
      <c r="I6" s="52"/>
      <c r="J6" s="52"/>
      <c r="K6" s="52"/>
      <c r="L6" s="10"/>
      <c r="M6" s="10"/>
      <c r="N6" s="10"/>
      <c r="O6" s="10"/>
      <c r="P6" s="10"/>
      <c r="Q6" s="10"/>
      <c r="R6" s="10">
        <v>16</v>
      </c>
      <c r="S6" s="10"/>
      <c r="T6" s="10"/>
      <c r="U6" s="10"/>
      <c r="V6" s="52"/>
      <c r="W6" s="52"/>
      <c r="X6" s="52"/>
      <c r="Y6" s="52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52"/>
      <c r="AK6" s="52"/>
      <c r="AL6" s="52"/>
      <c r="AM6" s="52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52"/>
      <c r="AY6" s="52"/>
      <c r="AZ6" s="52"/>
      <c r="BA6" s="52"/>
      <c r="BB6" s="10"/>
      <c r="BC6" s="10"/>
      <c r="BD6" s="10">
        <v>12</v>
      </c>
      <c r="BE6" s="10"/>
      <c r="BF6" s="10">
        <v>14</v>
      </c>
      <c r="BG6" s="10"/>
      <c r="BH6" s="10"/>
      <c r="BI6" s="10"/>
      <c r="BJ6" s="10"/>
      <c r="BK6" s="10"/>
      <c r="BL6" s="56"/>
      <c r="BM6" s="56"/>
      <c r="BN6" s="56"/>
      <c r="BO6" s="56"/>
    </row>
    <row r="7" spans="1:67" x14ac:dyDescent="0.3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9"/>
      <c r="G7" s="10"/>
      <c r="H7" s="52"/>
      <c r="I7" s="52"/>
      <c r="J7" s="52"/>
      <c r="K7" s="52"/>
      <c r="L7" s="10"/>
      <c r="M7" s="10"/>
      <c r="N7" s="10"/>
      <c r="O7" s="10"/>
      <c r="P7" s="10"/>
      <c r="Q7" s="10"/>
      <c r="R7" s="10">
        <v>18</v>
      </c>
      <c r="S7" s="10"/>
      <c r="T7" s="10"/>
      <c r="U7" s="10"/>
      <c r="V7" s="52"/>
      <c r="W7" s="52"/>
      <c r="X7" s="52"/>
      <c r="Y7" s="52"/>
      <c r="Z7" s="10"/>
      <c r="AA7" s="10"/>
      <c r="AB7" s="10">
        <v>1</v>
      </c>
      <c r="AC7" s="10"/>
      <c r="AD7" s="10"/>
      <c r="AE7" s="10"/>
      <c r="AF7" s="10"/>
      <c r="AG7" s="10"/>
      <c r="AH7" s="10"/>
      <c r="AI7" s="10"/>
      <c r="AJ7" s="52"/>
      <c r="AK7" s="52"/>
      <c r="AL7" s="52"/>
      <c r="AM7" s="52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52"/>
      <c r="AY7" s="52"/>
      <c r="AZ7" s="52"/>
      <c r="BA7" s="52"/>
      <c r="BB7" s="10"/>
      <c r="BC7" s="10"/>
      <c r="BD7" s="10"/>
      <c r="BE7" s="10"/>
      <c r="BF7" s="10">
        <v>15</v>
      </c>
      <c r="BG7" s="10"/>
      <c r="BH7" s="10">
        <v>14</v>
      </c>
      <c r="BI7" s="10"/>
      <c r="BJ7" s="10"/>
      <c r="BK7" s="10"/>
      <c r="BL7" s="56"/>
      <c r="BM7" s="56"/>
      <c r="BN7" s="56"/>
      <c r="BO7" s="56"/>
    </row>
    <row r="8" spans="1:67" x14ac:dyDescent="0.3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9"/>
      <c r="G8" s="10"/>
      <c r="H8" s="52"/>
      <c r="I8" s="52"/>
      <c r="J8" s="52"/>
      <c r="K8" s="52"/>
      <c r="L8" s="10"/>
      <c r="M8" s="10"/>
      <c r="N8" s="10"/>
      <c r="O8" s="10"/>
      <c r="P8" s="10"/>
      <c r="Q8" s="10"/>
      <c r="R8" s="10">
        <v>17</v>
      </c>
      <c r="S8" s="10"/>
      <c r="T8" s="10"/>
      <c r="U8" s="10"/>
      <c r="V8" s="52"/>
      <c r="W8" s="52"/>
      <c r="X8" s="52"/>
      <c r="Y8" s="52"/>
      <c r="Z8" s="10"/>
      <c r="AA8" s="10"/>
      <c r="AB8" s="10">
        <v>1</v>
      </c>
      <c r="AC8" s="10"/>
      <c r="AD8" s="10"/>
      <c r="AE8" s="10"/>
      <c r="AF8" s="10"/>
      <c r="AG8" s="10"/>
      <c r="AH8" s="10"/>
      <c r="AI8" s="10"/>
      <c r="AJ8" s="52"/>
      <c r="AK8" s="52"/>
      <c r="AL8" s="52"/>
      <c r="AM8" s="52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52"/>
      <c r="AY8" s="52"/>
      <c r="AZ8" s="52"/>
      <c r="BA8" s="52"/>
      <c r="BB8" s="10"/>
      <c r="BC8" s="10"/>
      <c r="BD8" s="10"/>
      <c r="BE8" s="10"/>
      <c r="BF8" s="10">
        <v>15</v>
      </c>
      <c r="BG8" s="10"/>
      <c r="BH8" s="10">
        <v>11</v>
      </c>
      <c r="BI8" s="10"/>
      <c r="BJ8" s="10"/>
      <c r="BK8" s="10"/>
      <c r="BL8" s="56"/>
      <c r="BM8" s="56"/>
      <c r="BN8" s="56"/>
      <c r="BO8" s="56"/>
    </row>
    <row r="9" spans="1:67" x14ac:dyDescent="0.3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9"/>
      <c r="G9" s="10"/>
      <c r="H9" s="52"/>
      <c r="I9" s="52"/>
      <c r="J9" s="52"/>
      <c r="K9" s="52"/>
      <c r="L9" s="10"/>
      <c r="M9" s="10"/>
      <c r="N9" s="10"/>
      <c r="O9" s="10"/>
      <c r="P9" s="10"/>
      <c r="Q9" s="10"/>
      <c r="R9" s="10"/>
      <c r="S9" s="10"/>
      <c r="T9" s="10">
        <v>15</v>
      </c>
      <c r="U9" s="10"/>
      <c r="V9" s="52"/>
      <c r="W9" s="52"/>
      <c r="X9" s="52"/>
      <c r="Y9" s="52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52"/>
      <c r="AK9" s="52"/>
      <c r="AL9" s="52"/>
      <c r="AM9" s="52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52"/>
      <c r="AY9" s="52"/>
      <c r="AZ9" s="52"/>
      <c r="BA9" s="52"/>
      <c r="BB9" s="10"/>
      <c r="BC9" s="10"/>
      <c r="BD9" s="10"/>
      <c r="BE9" s="10"/>
      <c r="BF9" s="10"/>
      <c r="BG9" s="10"/>
      <c r="BH9" s="10">
        <v>10</v>
      </c>
      <c r="BI9" s="10"/>
      <c r="BJ9" s="10">
        <v>9</v>
      </c>
      <c r="BK9" s="10"/>
      <c r="BL9" s="56"/>
      <c r="BM9" s="56"/>
      <c r="BN9" s="56"/>
      <c r="BO9" s="56"/>
    </row>
    <row r="10" spans="1:67" x14ac:dyDescent="0.3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9"/>
      <c r="G10" s="10"/>
      <c r="H10" s="52"/>
      <c r="I10" s="53"/>
      <c r="J10" s="52"/>
      <c r="K10" s="53"/>
      <c r="L10" s="10"/>
      <c r="M10" s="12"/>
      <c r="N10" s="10"/>
      <c r="O10" s="12"/>
      <c r="P10" s="10"/>
      <c r="Q10" s="12"/>
      <c r="R10" s="12"/>
      <c r="S10" s="12"/>
      <c r="T10" s="12">
        <v>15</v>
      </c>
      <c r="U10" s="12"/>
      <c r="V10" s="53"/>
      <c r="W10" s="53"/>
      <c r="X10" s="53"/>
      <c r="Y10" s="53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53"/>
      <c r="AK10" s="53"/>
      <c r="AL10" s="53"/>
      <c r="AM10" s="53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53"/>
      <c r="AY10" s="53"/>
      <c r="AZ10" s="53"/>
      <c r="BA10" s="53"/>
      <c r="BB10" s="12"/>
      <c r="BC10" s="12"/>
      <c r="BD10" s="12"/>
      <c r="BE10" s="12"/>
      <c r="BF10" s="12"/>
      <c r="BG10" s="12"/>
      <c r="BH10" s="12">
        <v>16</v>
      </c>
      <c r="BI10" s="12"/>
      <c r="BJ10" s="12"/>
      <c r="BK10" s="12"/>
      <c r="BL10" s="56"/>
      <c r="BM10" s="56"/>
      <c r="BN10" s="56"/>
      <c r="BO10" s="56"/>
    </row>
    <row r="11" spans="1:67" ht="13.8" customHeight="1" x14ac:dyDescent="0.3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13"/>
      <c r="G11" s="10"/>
      <c r="H11" s="52"/>
      <c r="I11" s="53"/>
      <c r="J11" s="52"/>
      <c r="K11" s="53"/>
      <c r="L11" s="10"/>
      <c r="M11" s="12"/>
      <c r="N11" s="10"/>
      <c r="O11" s="12"/>
      <c r="P11" s="12"/>
      <c r="Q11" s="12"/>
      <c r="R11" s="12"/>
      <c r="S11" s="12"/>
      <c r="T11" s="12">
        <v>14</v>
      </c>
      <c r="U11" s="12"/>
      <c r="V11" s="53"/>
      <c r="W11" s="53"/>
      <c r="X11" s="53"/>
      <c r="Y11" s="53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53"/>
      <c r="AK11" s="53"/>
      <c r="AL11" s="53"/>
      <c r="AM11" s="53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53"/>
      <c r="AY11" s="53"/>
      <c r="AZ11" s="53"/>
      <c r="BA11" s="53"/>
      <c r="BB11" s="12"/>
      <c r="BC11" s="12"/>
      <c r="BD11" s="12"/>
      <c r="BE11" s="12"/>
      <c r="BF11" s="12"/>
      <c r="BG11" s="12"/>
      <c r="BH11" s="12">
        <v>10</v>
      </c>
      <c r="BI11" s="12"/>
      <c r="BJ11" s="12">
        <v>13</v>
      </c>
      <c r="BK11" s="12"/>
      <c r="BL11" s="56"/>
      <c r="BM11" s="56"/>
      <c r="BN11" s="56"/>
      <c r="BO11" s="56"/>
    </row>
    <row r="12" spans="1:67" x14ac:dyDescent="0.3">
      <c r="A12" s="6" t="s">
        <v>33</v>
      </c>
      <c r="C12" s="11"/>
      <c r="D12" s="6" t="s">
        <v>34</v>
      </c>
      <c r="E12" s="8" t="s">
        <v>35</v>
      </c>
      <c r="F12" s="13"/>
      <c r="G12" s="10"/>
      <c r="H12" s="52"/>
      <c r="I12" s="53"/>
      <c r="J12" s="52"/>
      <c r="K12" s="53"/>
      <c r="L12" s="10"/>
      <c r="M12" s="12"/>
      <c r="N12" s="10"/>
      <c r="O12" s="12"/>
      <c r="P12" s="12"/>
      <c r="Q12" s="12"/>
      <c r="R12" s="12"/>
      <c r="S12" s="12"/>
      <c r="T12" s="12"/>
      <c r="U12" s="12"/>
      <c r="V12" s="53"/>
      <c r="W12" s="53"/>
      <c r="X12" s="53"/>
      <c r="Y12" s="53"/>
      <c r="Z12" s="12"/>
      <c r="AA12" s="12"/>
      <c r="AB12" s="12">
        <v>12</v>
      </c>
      <c r="AC12" s="12"/>
      <c r="AD12" s="12"/>
      <c r="AE12" s="12"/>
      <c r="AF12" s="12"/>
      <c r="AG12" s="12"/>
      <c r="AH12" s="12"/>
      <c r="AI12" s="12"/>
      <c r="AJ12" s="53"/>
      <c r="AK12" s="53"/>
      <c r="AL12" s="53"/>
      <c r="AM12" s="53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53"/>
      <c r="AY12" s="53"/>
      <c r="AZ12" s="53"/>
      <c r="BA12" s="53"/>
      <c r="BB12" s="12"/>
      <c r="BC12" s="12"/>
      <c r="BD12" s="12">
        <v>10</v>
      </c>
      <c r="BE12" s="12"/>
      <c r="BF12" s="12"/>
      <c r="BG12" s="12"/>
      <c r="BH12" s="12"/>
      <c r="BI12" s="12"/>
      <c r="BJ12" s="12"/>
      <c r="BK12" s="12"/>
      <c r="BL12" s="56"/>
      <c r="BM12" s="56"/>
      <c r="BN12" s="56"/>
      <c r="BO12" s="56"/>
    </row>
    <row r="13" spans="1:67" ht="15" customHeight="1" x14ac:dyDescent="0.3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9"/>
      <c r="G13" s="10"/>
      <c r="H13" s="52"/>
      <c r="I13" s="53"/>
      <c r="J13" s="52"/>
      <c r="K13" s="53"/>
      <c r="L13" s="10"/>
      <c r="M13" s="12"/>
      <c r="N13" s="10"/>
      <c r="O13" s="12"/>
      <c r="P13" s="12"/>
      <c r="Q13" s="12"/>
      <c r="R13" s="12"/>
      <c r="S13" s="12"/>
      <c r="T13" s="12"/>
      <c r="U13" s="12"/>
      <c r="V13" s="53"/>
      <c r="W13" s="53"/>
      <c r="X13" s="53"/>
      <c r="Y13" s="53"/>
      <c r="Z13" s="12"/>
      <c r="AA13" s="12"/>
      <c r="AB13" s="12"/>
      <c r="AC13" s="12"/>
      <c r="AD13" s="12">
        <v>11</v>
      </c>
      <c r="AE13" s="12"/>
      <c r="AF13" s="12"/>
      <c r="AG13" s="12"/>
      <c r="AH13" s="12"/>
      <c r="AI13" s="12"/>
      <c r="AJ13" s="53"/>
      <c r="AK13" s="53"/>
      <c r="AL13" s="53"/>
      <c r="AM13" s="53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53"/>
      <c r="AY13" s="53"/>
      <c r="AZ13" s="53"/>
      <c r="BA13" s="53"/>
      <c r="BB13" s="12"/>
      <c r="BC13" s="12"/>
      <c r="BD13" s="12">
        <v>10</v>
      </c>
      <c r="BE13" s="12"/>
      <c r="BF13" s="12"/>
      <c r="BG13" s="12"/>
      <c r="BH13" s="12"/>
      <c r="BI13" s="12"/>
      <c r="BJ13" s="12"/>
      <c r="BK13" s="12"/>
      <c r="BL13" s="56"/>
      <c r="BM13" s="56"/>
      <c r="BN13" s="56"/>
      <c r="BO13" s="56"/>
    </row>
    <row r="14" spans="1:67" x14ac:dyDescent="0.3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9"/>
      <c r="G14" s="10"/>
      <c r="H14" s="52"/>
      <c r="I14" s="53"/>
      <c r="J14" s="52"/>
      <c r="K14" s="53"/>
      <c r="L14" s="10"/>
      <c r="M14" s="12"/>
      <c r="N14" s="10"/>
      <c r="O14" s="12"/>
      <c r="P14" s="12"/>
      <c r="Q14" s="12"/>
      <c r="R14" s="12"/>
      <c r="S14" s="12"/>
      <c r="T14" s="12"/>
      <c r="U14" s="12"/>
      <c r="V14" s="53">
        <v>14</v>
      </c>
      <c r="W14" s="53"/>
      <c r="X14" s="53"/>
      <c r="Y14" s="53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53"/>
      <c r="AK14" s="53"/>
      <c r="AL14" s="53"/>
      <c r="AM14" s="53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53"/>
      <c r="AY14" s="53"/>
      <c r="AZ14" s="53"/>
      <c r="BA14" s="53"/>
      <c r="BB14" s="12"/>
      <c r="BC14" s="12"/>
      <c r="BD14" s="12"/>
      <c r="BE14" s="12"/>
      <c r="BF14" s="12"/>
      <c r="BG14" s="12"/>
      <c r="BH14" s="12"/>
      <c r="BI14" s="12"/>
      <c r="BJ14" s="12">
        <v>17</v>
      </c>
      <c r="BK14" s="12"/>
      <c r="BL14" s="56"/>
      <c r="BM14" s="56"/>
      <c r="BN14" s="56"/>
      <c r="BO14" s="56"/>
    </row>
    <row r="15" spans="1:67" x14ac:dyDescent="0.3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13"/>
      <c r="G15" s="10"/>
      <c r="H15" s="54"/>
      <c r="I15" s="55"/>
      <c r="J15" s="54"/>
      <c r="K15" s="55"/>
      <c r="L15" s="14"/>
      <c r="M15" s="15"/>
      <c r="N15" s="14"/>
      <c r="O15" s="15"/>
      <c r="P15" s="15"/>
      <c r="Q15" s="15"/>
      <c r="R15" s="15"/>
      <c r="S15" s="15"/>
      <c r="T15" s="15"/>
      <c r="U15" s="15"/>
      <c r="V15" s="55">
        <v>12</v>
      </c>
      <c r="W15" s="55"/>
      <c r="X15" s="55"/>
      <c r="Y15" s="5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55"/>
      <c r="AK15" s="55"/>
      <c r="AL15" s="55"/>
      <c r="AM15" s="5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55"/>
      <c r="AY15" s="55"/>
      <c r="AZ15" s="55"/>
      <c r="BA15" s="5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56"/>
      <c r="BM15" s="56"/>
      <c r="BN15" s="56"/>
      <c r="BO15" s="56"/>
    </row>
    <row r="16" spans="1:67" x14ac:dyDescent="0.3">
      <c r="A16" s="6" t="s">
        <v>46</v>
      </c>
      <c r="B16" s="6"/>
      <c r="C16" s="11"/>
      <c r="D16" s="6" t="s">
        <v>47</v>
      </c>
      <c r="E16" s="8" t="s">
        <v>48</v>
      </c>
      <c r="F16" s="9"/>
      <c r="G16" s="10"/>
      <c r="H16" s="54"/>
      <c r="I16" s="55"/>
      <c r="J16" s="54"/>
      <c r="K16" s="55"/>
      <c r="L16" s="14"/>
      <c r="M16" s="15"/>
      <c r="N16" s="14"/>
      <c r="O16" s="15"/>
      <c r="P16" s="15"/>
      <c r="Q16" s="15"/>
      <c r="R16" s="15"/>
      <c r="S16" s="15"/>
      <c r="T16" s="15"/>
      <c r="U16" s="15"/>
      <c r="V16" s="55">
        <v>10</v>
      </c>
      <c r="W16" s="55"/>
      <c r="X16" s="55"/>
      <c r="Y16" s="5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55"/>
      <c r="AK16" s="55"/>
      <c r="AL16" s="55"/>
      <c r="AM16" s="5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55"/>
      <c r="AY16" s="55"/>
      <c r="AZ16" s="55"/>
      <c r="BA16" s="5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56"/>
      <c r="BM16" s="56"/>
      <c r="BN16" s="56"/>
      <c r="BO16" s="56"/>
    </row>
    <row r="17" spans="1:67" x14ac:dyDescent="0.3">
      <c r="A17" s="6" t="s">
        <v>49</v>
      </c>
      <c r="B17" s="6"/>
      <c r="C17" s="11"/>
      <c r="D17" s="6" t="s">
        <v>50</v>
      </c>
      <c r="E17" s="8" t="s">
        <v>50</v>
      </c>
      <c r="F17" s="9"/>
      <c r="G17" s="10"/>
      <c r="H17" s="54"/>
      <c r="I17" s="55"/>
      <c r="J17" s="54"/>
      <c r="K17" s="55"/>
      <c r="L17" s="14"/>
      <c r="M17" s="15"/>
      <c r="N17" s="14"/>
      <c r="O17" s="15"/>
      <c r="P17" s="15"/>
      <c r="Q17" s="15"/>
      <c r="R17" s="15"/>
      <c r="S17" s="15"/>
      <c r="T17" s="15"/>
      <c r="U17" s="15"/>
      <c r="V17" s="55"/>
      <c r="W17" s="55"/>
      <c r="X17" s="55"/>
      <c r="Y17" s="55"/>
      <c r="Z17" s="15"/>
      <c r="AA17" s="15"/>
      <c r="AB17" s="15"/>
      <c r="AC17" s="15"/>
      <c r="AD17" s="15">
        <v>14</v>
      </c>
      <c r="AE17" s="15"/>
      <c r="AF17" s="15"/>
      <c r="AG17" s="15"/>
      <c r="AH17" s="15"/>
      <c r="AI17" s="15"/>
      <c r="AJ17" s="55"/>
      <c r="AK17" s="55"/>
      <c r="AL17" s="55"/>
      <c r="AM17" s="5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55"/>
      <c r="AY17" s="55"/>
      <c r="AZ17" s="55"/>
      <c r="BA17" s="5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56">
        <v>14</v>
      </c>
      <c r="BM17" s="56"/>
      <c r="BN17" s="56"/>
      <c r="BO17" s="56"/>
    </row>
    <row r="18" spans="1:67" x14ac:dyDescent="0.3">
      <c r="A18" s="6" t="s">
        <v>51</v>
      </c>
      <c r="B18" s="6"/>
      <c r="C18" s="11"/>
      <c r="D18" s="6" t="s">
        <v>52</v>
      </c>
      <c r="E18" s="16" t="s">
        <v>52</v>
      </c>
      <c r="F18" s="9"/>
      <c r="G18" s="10"/>
      <c r="H18" s="54"/>
      <c r="I18" s="55"/>
      <c r="J18" s="54"/>
      <c r="K18" s="55"/>
      <c r="L18" s="14"/>
      <c r="M18" s="15"/>
      <c r="N18" s="14"/>
      <c r="O18" s="15"/>
      <c r="P18" s="15"/>
      <c r="Q18" s="15"/>
      <c r="R18" s="15"/>
      <c r="S18" s="15"/>
      <c r="T18" s="15"/>
      <c r="U18" s="15"/>
      <c r="V18" s="55"/>
      <c r="W18" s="55"/>
      <c r="X18" s="55"/>
      <c r="Y18" s="55"/>
      <c r="Z18" s="15"/>
      <c r="AA18" s="15"/>
      <c r="AB18" s="15"/>
      <c r="AC18" s="15"/>
      <c r="AD18" s="15">
        <v>13</v>
      </c>
      <c r="AE18" s="15"/>
      <c r="AF18" s="15"/>
      <c r="AG18" s="15"/>
      <c r="AH18" s="15"/>
      <c r="AI18" s="15"/>
      <c r="AJ18" s="55"/>
      <c r="AK18" s="55"/>
      <c r="AL18" s="55"/>
      <c r="AM18" s="5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55"/>
      <c r="AY18" s="55"/>
      <c r="AZ18" s="55"/>
      <c r="BA18" s="5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56">
        <v>13</v>
      </c>
      <c r="BM18" s="56"/>
      <c r="BN18" s="56"/>
      <c r="BO18" s="56"/>
    </row>
    <row r="19" spans="1:67" x14ac:dyDescent="0.3">
      <c r="A19" s="6" t="s">
        <v>53</v>
      </c>
      <c r="B19" s="6"/>
      <c r="C19" s="11"/>
      <c r="D19" s="6" t="s">
        <v>54</v>
      </c>
      <c r="E19" s="16" t="s">
        <v>54</v>
      </c>
      <c r="F19" s="9"/>
      <c r="G19" s="10"/>
      <c r="H19" s="54"/>
      <c r="I19" s="55"/>
      <c r="J19" s="54"/>
      <c r="K19" s="55"/>
      <c r="L19" s="14"/>
      <c r="M19" s="15"/>
      <c r="N19" s="14"/>
      <c r="O19" s="15"/>
      <c r="P19" s="15"/>
      <c r="Q19" s="15"/>
      <c r="R19" s="15"/>
      <c r="S19" s="15"/>
      <c r="T19" s="15"/>
      <c r="U19" s="15"/>
      <c r="V19" s="55">
        <v>11</v>
      </c>
      <c r="W19" s="55"/>
      <c r="X19" s="55"/>
      <c r="Y19" s="5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55"/>
      <c r="AK19" s="55"/>
      <c r="AL19" s="55"/>
      <c r="AM19" s="5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55"/>
      <c r="AY19" s="55"/>
      <c r="AZ19" s="55"/>
      <c r="BA19" s="5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56"/>
      <c r="BM19" s="56"/>
      <c r="BN19" s="56"/>
      <c r="BO19" s="56"/>
    </row>
    <row r="20" spans="1:67" x14ac:dyDescent="0.3">
      <c r="A20" s="6" t="s">
        <v>55</v>
      </c>
      <c r="B20" s="6"/>
      <c r="C20" s="11"/>
      <c r="D20" s="6" t="s">
        <v>56</v>
      </c>
      <c r="E20" s="16" t="s">
        <v>56</v>
      </c>
      <c r="F20" s="9"/>
      <c r="G20" s="10"/>
      <c r="H20" s="54"/>
      <c r="I20" s="55"/>
      <c r="J20" s="54"/>
      <c r="K20" s="55"/>
      <c r="L20" s="14"/>
      <c r="M20" s="15"/>
      <c r="N20" s="14"/>
      <c r="O20" s="15"/>
      <c r="P20" s="15"/>
      <c r="Q20" s="15"/>
      <c r="R20" s="15"/>
      <c r="S20" s="15"/>
      <c r="T20" s="15"/>
      <c r="U20" s="15"/>
      <c r="V20" s="55"/>
      <c r="W20" s="55"/>
      <c r="X20" s="55"/>
      <c r="Y20" s="55"/>
      <c r="Z20" s="15"/>
      <c r="AA20" s="15"/>
      <c r="AB20" s="15"/>
      <c r="AC20" s="15"/>
      <c r="AD20" s="15"/>
      <c r="AE20" s="15"/>
      <c r="AF20" s="15"/>
      <c r="AG20" s="15"/>
      <c r="AH20" s="15">
        <v>10</v>
      </c>
      <c r="AI20" s="15"/>
      <c r="AJ20" s="55"/>
      <c r="AK20" s="55"/>
      <c r="AL20" s="55"/>
      <c r="AM20" s="5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55"/>
      <c r="AY20" s="55"/>
      <c r="AZ20" s="55"/>
      <c r="BA20" s="5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56"/>
      <c r="BM20" s="56"/>
      <c r="BN20" s="56"/>
      <c r="BO20" s="56"/>
    </row>
    <row r="21" spans="1:67" x14ac:dyDescent="0.3">
      <c r="A21" s="6" t="s">
        <v>57</v>
      </c>
      <c r="B21" s="6"/>
      <c r="C21" s="11"/>
      <c r="D21" s="6" t="s">
        <v>58</v>
      </c>
      <c r="E21" s="16" t="s">
        <v>58</v>
      </c>
      <c r="F21" s="9"/>
      <c r="G21" s="10"/>
      <c r="H21" s="54"/>
      <c r="I21" s="55"/>
      <c r="J21" s="54"/>
      <c r="K21" s="55"/>
      <c r="L21" s="14"/>
      <c r="M21" s="15"/>
      <c r="N21" s="14"/>
      <c r="O21" s="15"/>
      <c r="P21" s="15"/>
      <c r="Q21" s="15"/>
      <c r="R21" s="15"/>
      <c r="S21" s="15"/>
      <c r="T21" s="15"/>
      <c r="U21" s="15"/>
      <c r="V21" s="55"/>
      <c r="W21" s="55"/>
      <c r="X21" s="55"/>
      <c r="Y21" s="55"/>
      <c r="Z21" s="15"/>
      <c r="AA21" s="15"/>
      <c r="AB21" s="15">
        <v>9</v>
      </c>
      <c r="AC21" s="15"/>
      <c r="AD21" s="15">
        <v>4</v>
      </c>
      <c r="AE21" s="15"/>
      <c r="AF21" s="15"/>
      <c r="AG21" s="15"/>
      <c r="AH21" s="15"/>
      <c r="AI21" s="15"/>
      <c r="AJ21" s="55"/>
      <c r="AK21" s="55"/>
      <c r="AL21" s="55"/>
      <c r="AM21" s="5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55"/>
      <c r="AY21" s="55"/>
      <c r="AZ21" s="55"/>
      <c r="BA21" s="5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56"/>
      <c r="BM21" s="56"/>
      <c r="BN21" s="56"/>
      <c r="BO21" s="56"/>
    </row>
    <row r="22" spans="1:67" x14ac:dyDescent="0.3">
      <c r="A22" s="17" t="s">
        <v>59</v>
      </c>
      <c r="C22" s="18"/>
      <c r="D22" s="17" t="s">
        <v>60</v>
      </c>
      <c r="E22" s="16" t="s">
        <v>60</v>
      </c>
      <c r="F22" s="9"/>
      <c r="G22" s="10"/>
      <c r="H22" s="54"/>
      <c r="I22" s="55"/>
      <c r="J22" s="54"/>
      <c r="K22" s="55"/>
      <c r="L22" s="14"/>
      <c r="M22" s="15"/>
      <c r="N22" s="14"/>
      <c r="O22" s="15"/>
      <c r="P22" s="15"/>
      <c r="Q22" s="15"/>
      <c r="R22" s="15"/>
      <c r="S22" s="15"/>
      <c r="T22" s="15"/>
      <c r="U22" s="15"/>
      <c r="V22" s="55"/>
      <c r="W22" s="55"/>
      <c r="X22" s="55"/>
      <c r="Y22" s="55"/>
      <c r="Z22" s="15"/>
      <c r="AA22" s="15"/>
      <c r="AB22" s="15">
        <v>10</v>
      </c>
      <c r="AC22" s="15"/>
      <c r="AD22" s="15"/>
      <c r="AE22" s="15"/>
      <c r="AF22" s="15"/>
      <c r="AG22" s="15"/>
      <c r="AH22" s="15"/>
      <c r="AI22" s="15"/>
      <c r="AJ22" s="55"/>
      <c r="AK22" s="55"/>
      <c r="AL22" s="55"/>
      <c r="AM22" s="5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55"/>
      <c r="AY22" s="55"/>
      <c r="AZ22" s="55"/>
      <c r="BA22" s="5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56"/>
      <c r="BM22" s="56"/>
      <c r="BN22" s="56"/>
      <c r="BO22" s="56"/>
    </row>
    <row r="23" spans="1:67" ht="15.6" x14ac:dyDescent="0.3">
      <c r="A23" s="17" t="s">
        <v>61</v>
      </c>
      <c r="B23" s="19" t="s">
        <v>62</v>
      </c>
      <c r="C23" s="20" t="s">
        <v>63</v>
      </c>
      <c r="D23" s="17" t="s">
        <v>64</v>
      </c>
      <c r="E23" s="16" t="s">
        <v>64</v>
      </c>
      <c r="F23" s="9"/>
      <c r="G23" s="10"/>
      <c r="H23" s="54"/>
      <c r="I23" s="55"/>
      <c r="J23" s="54"/>
      <c r="K23" s="55"/>
      <c r="L23" s="14"/>
      <c r="M23" s="15"/>
      <c r="N23" s="14"/>
      <c r="O23" s="15"/>
      <c r="P23" s="15"/>
      <c r="Q23" s="15"/>
      <c r="R23" s="15"/>
      <c r="S23" s="15"/>
      <c r="T23" s="15"/>
      <c r="U23" s="15"/>
      <c r="V23" s="55"/>
      <c r="W23" s="55"/>
      <c r="X23" s="55"/>
      <c r="Y23" s="55"/>
      <c r="Z23" s="15"/>
      <c r="AA23" s="15"/>
      <c r="AB23" s="15">
        <v>11</v>
      </c>
      <c r="AC23" s="15"/>
      <c r="AD23" s="15"/>
      <c r="AE23" s="15"/>
      <c r="AF23" s="15"/>
      <c r="AG23" s="15"/>
      <c r="AH23" s="15"/>
      <c r="AI23" s="15"/>
      <c r="AJ23" s="55"/>
      <c r="AK23" s="55"/>
      <c r="AL23" s="55"/>
      <c r="AM23" s="5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55"/>
      <c r="AY23" s="55"/>
      <c r="AZ23" s="55"/>
      <c r="BA23" s="5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56"/>
      <c r="BM23" s="56"/>
      <c r="BN23" s="56"/>
      <c r="BO23" s="56"/>
    </row>
    <row r="24" spans="1:67" ht="15.6" x14ac:dyDescent="0.3">
      <c r="A24" s="6" t="s">
        <v>65</v>
      </c>
      <c r="B24" s="21"/>
      <c r="C24" s="11"/>
      <c r="D24" s="6" t="s">
        <v>66</v>
      </c>
      <c r="E24" s="16" t="s">
        <v>69</v>
      </c>
      <c r="F24" s="9"/>
      <c r="G24" s="10"/>
      <c r="H24" s="54"/>
      <c r="I24" s="55"/>
      <c r="J24" s="54"/>
      <c r="K24" s="55"/>
      <c r="L24" s="14"/>
      <c r="M24" s="15"/>
      <c r="N24" s="14"/>
      <c r="O24" s="15"/>
      <c r="P24" s="15"/>
      <c r="Q24" s="15"/>
      <c r="R24" s="15"/>
      <c r="S24" s="15"/>
      <c r="T24" s="15"/>
      <c r="U24" s="15"/>
      <c r="V24" s="55"/>
      <c r="W24" s="55"/>
      <c r="X24" s="55"/>
      <c r="Y24" s="55"/>
      <c r="Z24" s="15"/>
      <c r="AA24" s="15"/>
      <c r="AB24" s="15">
        <v>6</v>
      </c>
      <c r="AC24" s="15"/>
      <c r="AD24" s="15"/>
      <c r="AE24" s="15"/>
      <c r="AF24" s="15"/>
      <c r="AG24" s="15"/>
      <c r="AH24" s="15"/>
      <c r="AI24" s="15"/>
      <c r="AJ24" s="55"/>
      <c r="AK24" s="55"/>
      <c r="AL24" s="55"/>
      <c r="AM24" s="5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55"/>
      <c r="AY24" s="55"/>
      <c r="AZ24" s="55"/>
      <c r="BA24" s="5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56"/>
      <c r="BM24" s="56"/>
      <c r="BN24" s="56"/>
      <c r="BO24" s="56"/>
    </row>
    <row r="25" spans="1:67" ht="15.6" x14ac:dyDescent="0.3">
      <c r="A25" s="6" t="s">
        <v>68</v>
      </c>
      <c r="B25" s="21"/>
      <c r="C25" s="11"/>
      <c r="D25" s="6" t="s">
        <v>66</v>
      </c>
      <c r="E25" s="16" t="s">
        <v>67</v>
      </c>
      <c r="F25" s="9"/>
      <c r="G25" s="10"/>
      <c r="H25" s="54"/>
      <c r="I25" s="55"/>
      <c r="J25" s="54"/>
      <c r="K25" s="55"/>
      <c r="L25" s="14"/>
      <c r="M25" s="15"/>
      <c r="N25" s="14"/>
      <c r="O25" s="15"/>
      <c r="P25" s="15"/>
      <c r="Q25" s="15"/>
      <c r="R25" s="15"/>
      <c r="S25" s="15"/>
      <c r="T25" s="15"/>
      <c r="U25" s="15"/>
      <c r="V25" s="55"/>
      <c r="W25" s="55"/>
      <c r="X25" s="55"/>
      <c r="Y25" s="55"/>
      <c r="Z25" s="15"/>
      <c r="AA25" s="15"/>
      <c r="AB25" s="15"/>
      <c r="AC25" s="15"/>
      <c r="AD25" s="15">
        <v>10</v>
      </c>
      <c r="AE25" s="15"/>
      <c r="AF25" s="15"/>
      <c r="AG25" s="15"/>
      <c r="AH25" s="15"/>
      <c r="AI25" s="15"/>
      <c r="AJ25" s="55"/>
      <c r="AK25" s="55"/>
      <c r="AL25" s="55"/>
      <c r="AM25" s="5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55"/>
      <c r="AY25" s="55"/>
      <c r="AZ25" s="55"/>
      <c r="BA25" s="5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56"/>
      <c r="BM25" s="56"/>
      <c r="BN25" s="56"/>
      <c r="BO25" s="56"/>
    </row>
    <row r="26" spans="1:67" ht="15.6" x14ac:dyDescent="0.3">
      <c r="A26" s="6" t="s">
        <v>70</v>
      </c>
      <c r="B26" s="21"/>
      <c r="C26" s="11"/>
      <c r="D26" s="6" t="s">
        <v>71</v>
      </c>
      <c r="E26" s="16" t="s">
        <v>72</v>
      </c>
      <c r="F26" s="9"/>
      <c r="G26" s="10"/>
      <c r="H26" s="54"/>
      <c r="I26" s="55"/>
      <c r="J26" s="54"/>
      <c r="K26" s="55"/>
      <c r="L26" s="14"/>
      <c r="M26" s="15"/>
      <c r="N26" s="14"/>
      <c r="O26" s="15"/>
      <c r="P26" s="15"/>
      <c r="Q26" s="15"/>
      <c r="R26" s="15"/>
      <c r="S26" s="15"/>
      <c r="T26" s="15"/>
      <c r="U26" s="15"/>
      <c r="V26" s="55"/>
      <c r="W26" s="55"/>
      <c r="X26" s="55"/>
      <c r="Y26" s="55"/>
      <c r="Z26" s="15"/>
      <c r="AA26" s="15"/>
      <c r="AB26" s="15">
        <v>12</v>
      </c>
      <c r="AC26" s="15"/>
      <c r="AD26" s="15"/>
      <c r="AE26" s="15"/>
      <c r="AF26" s="15"/>
      <c r="AG26" s="15"/>
      <c r="AH26" s="15"/>
      <c r="AI26" s="15"/>
      <c r="AJ26" s="55"/>
      <c r="AK26" s="55"/>
      <c r="AL26" s="55"/>
      <c r="AM26" s="5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55"/>
      <c r="AY26" s="55"/>
      <c r="AZ26" s="55"/>
      <c r="BA26" s="5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56"/>
      <c r="BM26" s="56"/>
      <c r="BN26" s="56"/>
      <c r="BO26" s="56"/>
    </row>
    <row r="27" spans="1:67" ht="15.6" x14ac:dyDescent="0.3">
      <c r="A27" s="6" t="s">
        <v>78</v>
      </c>
      <c r="B27" s="21"/>
      <c r="C27" s="11"/>
      <c r="D27" s="6" t="s">
        <v>78</v>
      </c>
      <c r="E27" s="16" t="s">
        <v>12</v>
      </c>
      <c r="F27" s="9"/>
      <c r="G27" s="10"/>
      <c r="H27" s="54"/>
      <c r="I27" s="55"/>
      <c r="J27" s="54"/>
      <c r="K27" s="55"/>
      <c r="L27" s="14"/>
      <c r="M27" s="15"/>
      <c r="N27" s="14"/>
      <c r="O27" s="15"/>
      <c r="P27" s="15"/>
      <c r="Q27" s="15"/>
      <c r="R27" s="15"/>
      <c r="S27" s="15"/>
      <c r="T27" s="15">
        <v>17</v>
      </c>
      <c r="U27" s="15"/>
      <c r="V27" s="55"/>
      <c r="W27" s="55"/>
      <c r="X27" s="55"/>
      <c r="Y27" s="55"/>
      <c r="Z27" s="15"/>
      <c r="AA27" s="15"/>
      <c r="AB27" s="15"/>
      <c r="AC27" s="15"/>
      <c r="AD27" s="15">
        <v>3</v>
      </c>
      <c r="AE27" s="15"/>
      <c r="AF27" s="15"/>
      <c r="AG27" s="15"/>
      <c r="AH27" s="15"/>
      <c r="AI27" s="15"/>
      <c r="AJ27" s="55"/>
      <c r="AK27" s="55"/>
      <c r="AL27" s="55"/>
      <c r="AM27" s="5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55"/>
      <c r="AY27" s="55"/>
      <c r="AZ27" s="55"/>
      <c r="BA27" s="5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56"/>
      <c r="BM27" s="56"/>
      <c r="BN27" s="56"/>
      <c r="BO27" s="56"/>
    </row>
    <row r="28" spans="1:67" ht="18.600000000000001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x14ac:dyDescent="0.3">
      <c r="BB29" s="22"/>
      <c r="BC29" s="22"/>
      <c r="BD29" s="22"/>
      <c r="BE29" s="22"/>
    </row>
    <row r="30" spans="1:67" x14ac:dyDescent="0.3">
      <c r="D30" s="59" t="s">
        <v>11</v>
      </c>
      <c r="E30" s="59"/>
      <c r="F30" s="24">
        <f t="shared" ref="F30:BM34" si="0">F6*15</f>
        <v>0</v>
      </c>
      <c r="G30" s="24">
        <f t="shared" si="0"/>
        <v>0</v>
      </c>
      <c r="H30" s="24">
        <f t="shared" si="0"/>
        <v>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240</v>
      </c>
      <c r="S30" s="24">
        <f t="shared" si="0"/>
        <v>0</v>
      </c>
      <c r="T30" s="24">
        <f t="shared" si="0"/>
        <v>0</v>
      </c>
      <c r="U30" s="24">
        <f t="shared" si="0"/>
        <v>0</v>
      </c>
      <c r="V30" s="24">
        <f t="shared" si="0"/>
        <v>0</v>
      </c>
      <c r="W30" s="24">
        <f t="shared" si="0"/>
        <v>0</v>
      </c>
      <c r="X30" s="24">
        <f t="shared" si="0"/>
        <v>0</v>
      </c>
      <c r="Y30" s="24">
        <f t="shared" si="0"/>
        <v>0</v>
      </c>
      <c r="Z30" s="24">
        <f t="shared" si="0"/>
        <v>0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0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0</v>
      </c>
      <c r="AK30" s="24">
        <f t="shared" si="0"/>
        <v>0</v>
      </c>
      <c r="AL30" s="24">
        <f t="shared" si="0"/>
        <v>0</v>
      </c>
      <c r="AM30" s="24">
        <f t="shared" si="0"/>
        <v>0</v>
      </c>
      <c r="AN30" s="24">
        <f t="shared" si="0"/>
        <v>0</v>
      </c>
      <c r="AO30" s="24">
        <f t="shared" si="0"/>
        <v>0</v>
      </c>
      <c r="AP30" s="24">
        <f t="shared" si="0"/>
        <v>0</v>
      </c>
      <c r="AQ30" s="24">
        <f t="shared" si="0"/>
        <v>0</v>
      </c>
      <c r="AR30" s="24">
        <f t="shared" si="0"/>
        <v>0</v>
      </c>
      <c r="AS30" s="24">
        <f t="shared" si="0"/>
        <v>0</v>
      </c>
      <c r="AT30" s="24">
        <f t="shared" si="0"/>
        <v>0</v>
      </c>
      <c r="AU30" s="24">
        <f t="shared" si="0"/>
        <v>0</v>
      </c>
      <c r="AV30" s="24">
        <f t="shared" si="0"/>
        <v>0</v>
      </c>
      <c r="AW30" s="24">
        <f t="shared" si="0"/>
        <v>0</v>
      </c>
      <c r="AX30" s="24">
        <f t="shared" si="0"/>
        <v>0</v>
      </c>
      <c r="AY30" s="24">
        <f t="shared" si="0"/>
        <v>0</v>
      </c>
      <c r="AZ30" s="24">
        <f t="shared" si="0"/>
        <v>0</v>
      </c>
      <c r="BA30" s="24">
        <f t="shared" si="0"/>
        <v>0</v>
      </c>
      <c r="BB30" s="24">
        <f t="shared" si="0"/>
        <v>0</v>
      </c>
      <c r="BC30" s="24">
        <f t="shared" si="0"/>
        <v>0</v>
      </c>
      <c r="BD30" s="24">
        <f t="shared" si="0"/>
        <v>180</v>
      </c>
      <c r="BE30" s="24">
        <f t="shared" si="0"/>
        <v>0</v>
      </c>
      <c r="BF30" s="24">
        <f t="shared" si="0"/>
        <v>210</v>
      </c>
      <c r="BG30" s="24">
        <f t="shared" si="0"/>
        <v>0</v>
      </c>
      <c r="BH30" s="24">
        <f t="shared" si="0"/>
        <v>0</v>
      </c>
      <c r="BI30" s="24">
        <f t="shared" si="0"/>
        <v>0</v>
      </c>
      <c r="BJ30" s="24">
        <f t="shared" si="0"/>
        <v>0</v>
      </c>
      <c r="BK30" s="24">
        <f t="shared" si="0"/>
        <v>0</v>
      </c>
      <c r="BL30" s="24">
        <f t="shared" si="0"/>
        <v>0</v>
      </c>
      <c r="BM30" s="24">
        <f t="shared" si="0"/>
        <v>0</v>
      </c>
    </row>
    <row r="31" spans="1:67" x14ac:dyDescent="0.3">
      <c r="D31" s="59" t="s">
        <v>16</v>
      </c>
      <c r="E31" s="59"/>
      <c r="F31" s="24">
        <f t="shared" si="0"/>
        <v>0</v>
      </c>
      <c r="G31" s="24">
        <f t="shared" si="0"/>
        <v>0</v>
      </c>
      <c r="H31" s="24">
        <f t="shared" si="0"/>
        <v>0</v>
      </c>
      <c r="I31" s="24">
        <f t="shared" si="0"/>
        <v>0</v>
      </c>
      <c r="J31" s="24">
        <f t="shared" si="0"/>
        <v>0</v>
      </c>
      <c r="K31" s="24">
        <f t="shared" si="0"/>
        <v>0</v>
      </c>
      <c r="L31" s="24">
        <f t="shared" si="0"/>
        <v>0</v>
      </c>
      <c r="M31" s="24">
        <f t="shared" si="0"/>
        <v>0</v>
      </c>
      <c r="N31" s="24">
        <f t="shared" si="0"/>
        <v>0</v>
      </c>
      <c r="O31" s="24">
        <f t="shared" si="0"/>
        <v>0</v>
      </c>
      <c r="P31" s="24">
        <f t="shared" si="0"/>
        <v>0</v>
      </c>
      <c r="Q31" s="24">
        <f t="shared" si="0"/>
        <v>0</v>
      </c>
      <c r="R31" s="24">
        <f t="shared" si="0"/>
        <v>270</v>
      </c>
      <c r="S31" s="24">
        <f t="shared" si="0"/>
        <v>0</v>
      </c>
      <c r="T31" s="24">
        <f t="shared" si="0"/>
        <v>0</v>
      </c>
      <c r="U31" s="24">
        <f t="shared" si="0"/>
        <v>0</v>
      </c>
      <c r="V31" s="24">
        <f t="shared" si="0"/>
        <v>0</v>
      </c>
      <c r="W31" s="24">
        <f t="shared" si="0"/>
        <v>0</v>
      </c>
      <c r="X31" s="24">
        <f t="shared" si="0"/>
        <v>0</v>
      </c>
      <c r="Y31" s="24">
        <f t="shared" si="0"/>
        <v>0</v>
      </c>
      <c r="Z31" s="24">
        <f t="shared" si="0"/>
        <v>0</v>
      </c>
      <c r="AA31" s="24">
        <f t="shared" si="0"/>
        <v>0</v>
      </c>
      <c r="AB31" s="24">
        <f t="shared" si="0"/>
        <v>15</v>
      </c>
      <c r="AC31" s="24">
        <f t="shared" si="0"/>
        <v>0</v>
      </c>
      <c r="AD31" s="24">
        <f t="shared" si="0"/>
        <v>0</v>
      </c>
      <c r="AE31" s="24">
        <f t="shared" si="0"/>
        <v>0</v>
      </c>
      <c r="AF31" s="24">
        <f t="shared" si="0"/>
        <v>0</v>
      </c>
      <c r="AG31" s="24">
        <f t="shared" si="0"/>
        <v>0</v>
      </c>
      <c r="AH31" s="24">
        <f t="shared" si="0"/>
        <v>0</v>
      </c>
      <c r="AI31" s="24">
        <f t="shared" si="0"/>
        <v>0</v>
      </c>
      <c r="AJ31" s="24">
        <f t="shared" si="0"/>
        <v>0</v>
      </c>
      <c r="AK31" s="24">
        <f t="shared" si="0"/>
        <v>0</v>
      </c>
      <c r="AL31" s="24">
        <f t="shared" si="0"/>
        <v>0</v>
      </c>
      <c r="AM31" s="24">
        <f t="shared" si="0"/>
        <v>0</v>
      </c>
      <c r="AN31" s="24">
        <f t="shared" si="0"/>
        <v>0</v>
      </c>
      <c r="AO31" s="24">
        <f t="shared" si="0"/>
        <v>0</v>
      </c>
      <c r="AP31" s="24">
        <f t="shared" si="0"/>
        <v>0</v>
      </c>
      <c r="AQ31" s="24">
        <f t="shared" si="0"/>
        <v>0</v>
      </c>
      <c r="AR31" s="24">
        <f t="shared" si="0"/>
        <v>0</v>
      </c>
      <c r="AS31" s="24">
        <f t="shared" si="0"/>
        <v>0</v>
      </c>
      <c r="AT31" s="24">
        <f t="shared" si="0"/>
        <v>0</v>
      </c>
      <c r="AU31" s="24">
        <f t="shared" si="0"/>
        <v>0</v>
      </c>
      <c r="AV31" s="24">
        <f t="shared" si="0"/>
        <v>0</v>
      </c>
      <c r="AW31" s="24">
        <f t="shared" si="0"/>
        <v>0</v>
      </c>
      <c r="AX31" s="24">
        <f t="shared" si="0"/>
        <v>0</v>
      </c>
      <c r="AY31" s="24">
        <f t="shared" si="0"/>
        <v>0</v>
      </c>
      <c r="AZ31" s="24">
        <f t="shared" si="0"/>
        <v>0</v>
      </c>
      <c r="BA31" s="24">
        <f t="shared" si="0"/>
        <v>0</v>
      </c>
      <c r="BB31" s="24">
        <f t="shared" si="0"/>
        <v>0</v>
      </c>
      <c r="BC31" s="24">
        <f t="shared" si="0"/>
        <v>0</v>
      </c>
      <c r="BD31" s="24">
        <f t="shared" si="0"/>
        <v>0</v>
      </c>
      <c r="BE31" s="24">
        <f t="shared" si="0"/>
        <v>0</v>
      </c>
      <c r="BF31" s="24">
        <f t="shared" si="0"/>
        <v>225</v>
      </c>
      <c r="BG31" s="24">
        <f t="shared" si="0"/>
        <v>0</v>
      </c>
      <c r="BH31" s="24">
        <f t="shared" si="0"/>
        <v>210</v>
      </c>
      <c r="BI31" s="24">
        <f t="shared" si="0"/>
        <v>0</v>
      </c>
      <c r="BJ31" s="24">
        <f t="shared" si="0"/>
        <v>0</v>
      </c>
      <c r="BK31" s="24">
        <f t="shared" si="0"/>
        <v>0</v>
      </c>
      <c r="BL31" s="24">
        <f t="shared" si="0"/>
        <v>0</v>
      </c>
      <c r="BM31" s="24">
        <f t="shared" si="0"/>
        <v>0</v>
      </c>
    </row>
    <row r="32" spans="1:67" x14ac:dyDescent="0.3">
      <c r="D32" s="59" t="s">
        <v>20</v>
      </c>
      <c r="E32" s="59"/>
      <c r="F32" s="24">
        <f t="shared" si="0"/>
        <v>0</v>
      </c>
      <c r="G32" s="24">
        <f t="shared" si="0"/>
        <v>0</v>
      </c>
      <c r="H32" s="24">
        <f t="shared" si="0"/>
        <v>0</v>
      </c>
      <c r="I32" s="24">
        <f t="shared" si="0"/>
        <v>0</v>
      </c>
      <c r="J32" s="24">
        <f t="shared" si="0"/>
        <v>0</v>
      </c>
      <c r="K32" s="24">
        <f t="shared" si="0"/>
        <v>0</v>
      </c>
      <c r="L32" s="24">
        <f t="shared" si="0"/>
        <v>0</v>
      </c>
      <c r="M32" s="24">
        <f t="shared" si="0"/>
        <v>0</v>
      </c>
      <c r="N32" s="24">
        <f t="shared" si="0"/>
        <v>0</v>
      </c>
      <c r="O32" s="24">
        <f t="shared" si="0"/>
        <v>0</v>
      </c>
      <c r="P32" s="24">
        <f t="shared" si="0"/>
        <v>0</v>
      </c>
      <c r="Q32" s="24">
        <f t="shared" si="0"/>
        <v>0</v>
      </c>
      <c r="R32" s="24">
        <f t="shared" si="0"/>
        <v>255</v>
      </c>
      <c r="S32" s="24">
        <f t="shared" si="0"/>
        <v>0</v>
      </c>
      <c r="T32" s="24">
        <f t="shared" si="0"/>
        <v>0</v>
      </c>
      <c r="U32" s="24">
        <f t="shared" si="0"/>
        <v>0</v>
      </c>
      <c r="V32" s="24">
        <f t="shared" si="0"/>
        <v>0</v>
      </c>
      <c r="W32" s="24">
        <f t="shared" si="0"/>
        <v>0</v>
      </c>
      <c r="X32" s="24">
        <f t="shared" si="0"/>
        <v>0</v>
      </c>
      <c r="Y32" s="24">
        <f t="shared" si="0"/>
        <v>0</v>
      </c>
      <c r="Z32" s="24">
        <f t="shared" si="0"/>
        <v>0</v>
      </c>
      <c r="AA32" s="24">
        <f t="shared" si="0"/>
        <v>0</v>
      </c>
      <c r="AB32" s="24">
        <f t="shared" si="0"/>
        <v>15</v>
      </c>
      <c r="AC32" s="24">
        <f t="shared" si="0"/>
        <v>0</v>
      </c>
      <c r="AD32" s="24">
        <f t="shared" si="0"/>
        <v>0</v>
      </c>
      <c r="AE32" s="24">
        <f t="shared" si="0"/>
        <v>0</v>
      </c>
      <c r="AF32" s="24">
        <f t="shared" si="0"/>
        <v>0</v>
      </c>
      <c r="AG32" s="24">
        <f t="shared" si="0"/>
        <v>0</v>
      </c>
      <c r="AH32" s="24">
        <f t="shared" si="0"/>
        <v>0</v>
      </c>
      <c r="AI32" s="24">
        <f t="shared" si="0"/>
        <v>0</v>
      </c>
      <c r="AJ32" s="24">
        <f t="shared" si="0"/>
        <v>0</v>
      </c>
      <c r="AK32" s="24">
        <f t="shared" si="0"/>
        <v>0</v>
      </c>
      <c r="AL32" s="24">
        <f t="shared" si="0"/>
        <v>0</v>
      </c>
      <c r="AM32" s="24">
        <f t="shared" si="0"/>
        <v>0</v>
      </c>
      <c r="AN32" s="24">
        <f t="shared" si="0"/>
        <v>0</v>
      </c>
      <c r="AO32" s="24">
        <f t="shared" si="0"/>
        <v>0</v>
      </c>
      <c r="AP32" s="24">
        <f t="shared" si="0"/>
        <v>0</v>
      </c>
      <c r="AQ32" s="24">
        <f t="shared" si="0"/>
        <v>0</v>
      </c>
      <c r="AR32" s="24">
        <f t="shared" si="0"/>
        <v>0</v>
      </c>
      <c r="AS32" s="24">
        <f t="shared" si="0"/>
        <v>0</v>
      </c>
      <c r="AT32" s="24">
        <f t="shared" si="0"/>
        <v>0</v>
      </c>
      <c r="AU32" s="24">
        <f t="shared" si="0"/>
        <v>0</v>
      </c>
      <c r="AV32" s="24">
        <f t="shared" si="0"/>
        <v>0</v>
      </c>
      <c r="AW32" s="24">
        <f t="shared" si="0"/>
        <v>0</v>
      </c>
      <c r="AX32" s="24">
        <f t="shared" si="0"/>
        <v>0</v>
      </c>
      <c r="AY32" s="24">
        <f t="shared" si="0"/>
        <v>0</v>
      </c>
      <c r="AZ32" s="24">
        <f t="shared" si="0"/>
        <v>0</v>
      </c>
      <c r="BA32" s="24">
        <f t="shared" si="0"/>
        <v>0</v>
      </c>
      <c r="BB32" s="24">
        <f t="shared" si="0"/>
        <v>0</v>
      </c>
      <c r="BC32" s="24">
        <f t="shared" si="0"/>
        <v>0</v>
      </c>
      <c r="BD32" s="24">
        <f t="shared" si="0"/>
        <v>0</v>
      </c>
      <c r="BE32" s="24">
        <f t="shared" si="0"/>
        <v>0</v>
      </c>
      <c r="BF32" s="24">
        <f t="shared" si="0"/>
        <v>225</v>
      </c>
      <c r="BG32" s="24">
        <f t="shared" si="0"/>
        <v>0</v>
      </c>
      <c r="BH32" s="24">
        <f t="shared" si="0"/>
        <v>165</v>
      </c>
      <c r="BI32" s="24">
        <f t="shared" si="0"/>
        <v>0</v>
      </c>
      <c r="BJ32" s="24">
        <f t="shared" si="0"/>
        <v>0</v>
      </c>
      <c r="BK32" s="24">
        <f t="shared" si="0"/>
        <v>0</v>
      </c>
      <c r="BL32" s="24">
        <f t="shared" si="0"/>
        <v>0</v>
      </c>
      <c r="BM32" s="24">
        <f t="shared" si="0"/>
        <v>0</v>
      </c>
    </row>
    <row r="33" spans="4:65" x14ac:dyDescent="0.3">
      <c r="D33" s="59" t="s">
        <v>24</v>
      </c>
      <c r="E33" s="59"/>
      <c r="F33" s="24">
        <f t="shared" si="0"/>
        <v>0</v>
      </c>
      <c r="G33" s="24">
        <f t="shared" si="0"/>
        <v>0</v>
      </c>
      <c r="H33" s="24">
        <f t="shared" si="0"/>
        <v>0</v>
      </c>
      <c r="I33" s="24">
        <f t="shared" si="0"/>
        <v>0</v>
      </c>
      <c r="J33" s="24">
        <f t="shared" si="0"/>
        <v>0</v>
      </c>
      <c r="K33" s="24">
        <f t="shared" si="0"/>
        <v>0</v>
      </c>
      <c r="L33" s="24">
        <f t="shared" si="0"/>
        <v>0</v>
      </c>
      <c r="M33" s="24">
        <f t="shared" si="0"/>
        <v>0</v>
      </c>
      <c r="N33" s="24">
        <f t="shared" si="0"/>
        <v>0</v>
      </c>
      <c r="O33" s="24">
        <f t="shared" si="0"/>
        <v>0</v>
      </c>
      <c r="P33" s="24">
        <f t="shared" si="0"/>
        <v>0</v>
      </c>
      <c r="Q33" s="24">
        <f t="shared" si="0"/>
        <v>0</v>
      </c>
      <c r="R33" s="24">
        <f t="shared" si="0"/>
        <v>0</v>
      </c>
      <c r="S33" s="24">
        <f t="shared" si="0"/>
        <v>0</v>
      </c>
      <c r="T33" s="24">
        <f t="shared" si="0"/>
        <v>225</v>
      </c>
      <c r="U33" s="24">
        <f t="shared" si="0"/>
        <v>0</v>
      </c>
      <c r="V33" s="24">
        <f t="shared" si="0"/>
        <v>0</v>
      </c>
      <c r="W33" s="24">
        <f t="shared" si="0"/>
        <v>0</v>
      </c>
      <c r="X33" s="24">
        <f t="shared" si="0"/>
        <v>0</v>
      </c>
      <c r="Y33" s="24">
        <f t="shared" si="0"/>
        <v>0</v>
      </c>
      <c r="Z33" s="24">
        <f t="shared" si="0"/>
        <v>0</v>
      </c>
      <c r="AA33" s="24">
        <f t="shared" si="0"/>
        <v>0</v>
      </c>
      <c r="AB33" s="24">
        <f t="shared" si="0"/>
        <v>0</v>
      </c>
      <c r="AC33" s="24">
        <f t="shared" si="0"/>
        <v>0</v>
      </c>
      <c r="AD33" s="24">
        <f t="shared" si="0"/>
        <v>0</v>
      </c>
      <c r="AE33" s="24">
        <f t="shared" si="0"/>
        <v>0</v>
      </c>
      <c r="AF33" s="24">
        <f t="shared" si="0"/>
        <v>0</v>
      </c>
      <c r="AG33" s="24">
        <f t="shared" si="0"/>
        <v>0</v>
      </c>
      <c r="AH33" s="24">
        <f t="shared" si="0"/>
        <v>0</v>
      </c>
      <c r="AI33" s="24">
        <f t="shared" si="0"/>
        <v>0</v>
      </c>
      <c r="AJ33" s="24">
        <f t="shared" si="0"/>
        <v>0</v>
      </c>
      <c r="AK33" s="24">
        <f t="shared" si="0"/>
        <v>0</v>
      </c>
      <c r="AL33" s="24">
        <f t="shared" si="0"/>
        <v>0</v>
      </c>
      <c r="AM33" s="24">
        <f t="shared" si="0"/>
        <v>0</v>
      </c>
      <c r="AN33" s="24">
        <f t="shared" si="0"/>
        <v>0</v>
      </c>
      <c r="AO33" s="24">
        <f t="shared" si="0"/>
        <v>0</v>
      </c>
      <c r="AP33" s="24">
        <f t="shared" si="0"/>
        <v>0</v>
      </c>
      <c r="AQ33" s="24">
        <f t="shared" si="0"/>
        <v>0</v>
      </c>
      <c r="AR33" s="24">
        <f t="shared" si="0"/>
        <v>0</v>
      </c>
      <c r="AS33" s="24">
        <f t="shared" si="0"/>
        <v>0</v>
      </c>
      <c r="AT33" s="24">
        <f t="shared" si="0"/>
        <v>0</v>
      </c>
      <c r="AU33" s="24">
        <f t="shared" si="0"/>
        <v>0</v>
      </c>
      <c r="AV33" s="24">
        <f t="shared" si="0"/>
        <v>0</v>
      </c>
      <c r="AW33" s="24">
        <f t="shared" si="0"/>
        <v>0</v>
      </c>
      <c r="AX33" s="24">
        <f t="shared" si="0"/>
        <v>0</v>
      </c>
      <c r="AY33" s="24">
        <f t="shared" si="0"/>
        <v>0</v>
      </c>
      <c r="AZ33" s="24">
        <f t="shared" si="0"/>
        <v>0</v>
      </c>
      <c r="BA33" s="24">
        <f t="shared" si="0"/>
        <v>0</v>
      </c>
      <c r="BB33" s="24">
        <f t="shared" si="0"/>
        <v>0</v>
      </c>
      <c r="BC33" s="24">
        <f t="shared" si="0"/>
        <v>0</v>
      </c>
      <c r="BD33" s="24">
        <f t="shared" si="0"/>
        <v>0</v>
      </c>
      <c r="BE33" s="24">
        <f t="shared" si="0"/>
        <v>0</v>
      </c>
      <c r="BF33" s="24">
        <f t="shared" si="0"/>
        <v>0</v>
      </c>
      <c r="BG33" s="24">
        <f t="shared" si="0"/>
        <v>0</v>
      </c>
      <c r="BH33" s="24">
        <f t="shared" si="0"/>
        <v>150</v>
      </c>
      <c r="BI33" s="24">
        <f t="shared" si="0"/>
        <v>0</v>
      </c>
      <c r="BJ33" s="24">
        <f t="shared" si="0"/>
        <v>135</v>
      </c>
      <c r="BK33" s="24">
        <f t="shared" si="0"/>
        <v>0</v>
      </c>
      <c r="BL33" s="24">
        <f t="shared" si="0"/>
        <v>0</v>
      </c>
      <c r="BM33" s="24">
        <f t="shared" si="0"/>
        <v>0</v>
      </c>
    </row>
    <row r="34" spans="4:65" x14ac:dyDescent="0.3">
      <c r="D34" t="s">
        <v>29</v>
      </c>
      <c r="E34" s="25"/>
      <c r="F34" s="24">
        <f t="shared" si="0"/>
        <v>0</v>
      </c>
      <c r="G34" s="24">
        <f t="shared" si="0"/>
        <v>0</v>
      </c>
      <c r="H34" s="24">
        <f t="shared" si="0"/>
        <v>0</v>
      </c>
      <c r="I34" s="24">
        <f t="shared" si="0"/>
        <v>0</v>
      </c>
      <c r="J34" s="24">
        <f t="shared" si="0"/>
        <v>0</v>
      </c>
      <c r="K34" s="24">
        <f t="shared" si="0"/>
        <v>0</v>
      </c>
      <c r="L34" s="24">
        <f t="shared" si="0"/>
        <v>0</v>
      </c>
      <c r="M34" s="24">
        <f t="shared" si="0"/>
        <v>0</v>
      </c>
      <c r="N34" s="24">
        <f t="shared" si="0"/>
        <v>0</v>
      </c>
      <c r="O34" s="24">
        <f t="shared" si="0"/>
        <v>0</v>
      </c>
      <c r="P34" s="24">
        <f t="shared" si="0"/>
        <v>0</v>
      </c>
      <c r="Q34" s="24">
        <f t="shared" si="0"/>
        <v>0</v>
      </c>
      <c r="R34" s="24">
        <f t="shared" si="0"/>
        <v>0</v>
      </c>
      <c r="S34" s="24">
        <f t="shared" si="0"/>
        <v>0</v>
      </c>
      <c r="T34" s="24">
        <f t="shared" si="0"/>
        <v>225</v>
      </c>
      <c r="U34" s="24">
        <f t="shared" ref="U34:BM35" si="1">U10*15</f>
        <v>0</v>
      </c>
      <c r="V34" s="24">
        <f t="shared" si="1"/>
        <v>0</v>
      </c>
      <c r="W34" s="24">
        <f t="shared" si="1"/>
        <v>0</v>
      </c>
      <c r="X34" s="24">
        <f t="shared" si="1"/>
        <v>0</v>
      </c>
      <c r="Y34" s="24">
        <f t="shared" si="1"/>
        <v>0</v>
      </c>
      <c r="Z34" s="24">
        <f t="shared" si="1"/>
        <v>0</v>
      </c>
      <c r="AA34" s="24">
        <f t="shared" si="1"/>
        <v>0</v>
      </c>
      <c r="AB34" s="24">
        <f t="shared" si="1"/>
        <v>0</v>
      </c>
      <c r="AC34" s="24">
        <f t="shared" si="1"/>
        <v>0</v>
      </c>
      <c r="AD34" s="24">
        <f t="shared" si="1"/>
        <v>0</v>
      </c>
      <c r="AE34" s="24">
        <f t="shared" si="1"/>
        <v>0</v>
      </c>
      <c r="AF34" s="24">
        <f t="shared" si="1"/>
        <v>0</v>
      </c>
      <c r="AG34" s="24">
        <f t="shared" si="1"/>
        <v>0</v>
      </c>
      <c r="AH34" s="24">
        <f t="shared" si="1"/>
        <v>0</v>
      </c>
      <c r="AI34" s="24">
        <f t="shared" si="1"/>
        <v>0</v>
      </c>
      <c r="AJ34" s="24">
        <f t="shared" si="1"/>
        <v>0</v>
      </c>
      <c r="AK34" s="24">
        <f t="shared" si="1"/>
        <v>0</v>
      </c>
      <c r="AL34" s="24">
        <f t="shared" si="1"/>
        <v>0</v>
      </c>
      <c r="AM34" s="24">
        <f t="shared" si="1"/>
        <v>0</v>
      </c>
      <c r="AN34" s="24">
        <f t="shared" si="1"/>
        <v>0</v>
      </c>
      <c r="AO34" s="24">
        <f t="shared" si="1"/>
        <v>0</v>
      </c>
      <c r="AP34" s="24">
        <f t="shared" si="1"/>
        <v>0</v>
      </c>
      <c r="AQ34" s="24">
        <f t="shared" si="1"/>
        <v>0</v>
      </c>
      <c r="AR34" s="24">
        <f t="shared" si="1"/>
        <v>0</v>
      </c>
      <c r="AS34" s="24">
        <f t="shared" si="1"/>
        <v>0</v>
      </c>
      <c r="AT34" s="24">
        <f t="shared" si="1"/>
        <v>0</v>
      </c>
      <c r="AU34" s="24">
        <f t="shared" si="1"/>
        <v>0</v>
      </c>
      <c r="AV34" s="24">
        <f t="shared" si="1"/>
        <v>0</v>
      </c>
      <c r="AW34" s="24">
        <f t="shared" si="1"/>
        <v>0</v>
      </c>
      <c r="AX34" s="24">
        <f t="shared" si="1"/>
        <v>0</v>
      </c>
      <c r="AY34" s="24">
        <f t="shared" si="1"/>
        <v>0</v>
      </c>
      <c r="AZ34" s="24">
        <f t="shared" si="1"/>
        <v>0</v>
      </c>
      <c r="BA34" s="24">
        <f t="shared" si="1"/>
        <v>0</v>
      </c>
      <c r="BB34" s="24">
        <f t="shared" si="1"/>
        <v>0</v>
      </c>
      <c r="BC34" s="24">
        <f t="shared" si="1"/>
        <v>0</v>
      </c>
      <c r="BD34" s="24">
        <f t="shared" si="1"/>
        <v>0</v>
      </c>
      <c r="BE34" s="24">
        <f t="shared" si="1"/>
        <v>0</v>
      </c>
      <c r="BF34" s="24">
        <f t="shared" si="1"/>
        <v>0</v>
      </c>
      <c r="BG34" s="24">
        <f t="shared" si="1"/>
        <v>0</v>
      </c>
      <c r="BH34" s="24">
        <f t="shared" si="1"/>
        <v>240</v>
      </c>
      <c r="BI34" s="24">
        <f t="shared" si="1"/>
        <v>0</v>
      </c>
      <c r="BJ34" s="24">
        <f t="shared" si="1"/>
        <v>0</v>
      </c>
      <c r="BK34" s="24">
        <f t="shared" si="1"/>
        <v>0</v>
      </c>
      <c r="BL34" s="24">
        <f t="shared" si="1"/>
        <v>0</v>
      </c>
      <c r="BM34" s="24">
        <f t="shared" si="1"/>
        <v>0</v>
      </c>
    </row>
    <row r="35" spans="4:65" x14ac:dyDescent="0.3">
      <c r="D35" t="s">
        <v>32</v>
      </c>
      <c r="E35" s="25"/>
      <c r="F35" s="24">
        <f t="shared" ref="F35:AK35" si="2">F11*15</f>
        <v>0</v>
      </c>
      <c r="G35" s="24">
        <f t="shared" si="2"/>
        <v>0</v>
      </c>
      <c r="H35" s="24">
        <f t="shared" si="2"/>
        <v>0</v>
      </c>
      <c r="I35" s="24">
        <f t="shared" si="2"/>
        <v>0</v>
      </c>
      <c r="J35" s="24">
        <f t="shared" si="2"/>
        <v>0</v>
      </c>
      <c r="K35" s="24">
        <f t="shared" si="2"/>
        <v>0</v>
      </c>
      <c r="L35" s="24">
        <f t="shared" si="2"/>
        <v>0</v>
      </c>
      <c r="M35" s="24">
        <f t="shared" si="2"/>
        <v>0</v>
      </c>
      <c r="N35" s="24">
        <f t="shared" si="2"/>
        <v>0</v>
      </c>
      <c r="O35" s="24">
        <f t="shared" si="2"/>
        <v>0</v>
      </c>
      <c r="P35" s="24">
        <f t="shared" si="2"/>
        <v>0</v>
      </c>
      <c r="Q35" s="24">
        <f t="shared" si="2"/>
        <v>0</v>
      </c>
      <c r="R35" s="24">
        <f t="shared" si="2"/>
        <v>0</v>
      </c>
      <c r="S35" s="24">
        <f t="shared" si="2"/>
        <v>0</v>
      </c>
      <c r="T35" s="24">
        <f t="shared" si="2"/>
        <v>210</v>
      </c>
      <c r="U35" s="24">
        <f t="shared" si="2"/>
        <v>0</v>
      </c>
      <c r="V35" s="24">
        <f t="shared" si="2"/>
        <v>0</v>
      </c>
      <c r="W35" s="24">
        <f t="shared" si="2"/>
        <v>0</v>
      </c>
      <c r="X35" s="24">
        <f t="shared" si="2"/>
        <v>0</v>
      </c>
      <c r="Y35" s="24">
        <f t="shared" si="2"/>
        <v>0</v>
      </c>
      <c r="Z35" s="24">
        <f t="shared" si="2"/>
        <v>0</v>
      </c>
      <c r="AA35" s="24">
        <f t="shared" si="2"/>
        <v>0</v>
      </c>
      <c r="AB35" s="24">
        <f t="shared" si="2"/>
        <v>0</v>
      </c>
      <c r="AC35" s="24">
        <f t="shared" si="2"/>
        <v>0</v>
      </c>
      <c r="AD35" s="24">
        <f t="shared" si="2"/>
        <v>0</v>
      </c>
      <c r="AE35" s="24">
        <f t="shared" si="2"/>
        <v>0</v>
      </c>
      <c r="AF35" s="24">
        <f t="shared" si="2"/>
        <v>0</v>
      </c>
      <c r="AG35" s="24">
        <f t="shared" si="2"/>
        <v>0</v>
      </c>
      <c r="AH35" s="24">
        <f t="shared" si="2"/>
        <v>0</v>
      </c>
      <c r="AI35" s="24">
        <f t="shared" si="2"/>
        <v>0</v>
      </c>
      <c r="AJ35" s="24">
        <f t="shared" si="2"/>
        <v>0</v>
      </c>
      <c r="AK35" s="24">
        <f t="shared" si="2"/>
        <v>0</v>
      </c>
      <c r="AL35" s="24">
        <f t="shared" si="1"/>
        <v>0</v>
      </c>
      <c r="AM35" s="24">
        <f t="shared" si="1"/>
        <v>0</v>
      </c>
      <c r="AN35" s="24">
        <f t="shared" si="1"/>
        <v>0</v>
      </c>
      <c r="AO35" s="24">
        <f t="shared" si="1"/>
        <v>0</v>
      </c>
      <c r="AP35" s="24">
        <f t="shared" si="1"/>
        <v>0</v>
      </c>
      <c r="AQ35" s="24">
        <f t="shared" si="1"/>
        <v>0</v>
      </c>
      <c r="AR35" s="24">
        <f t="shared" si="1"/>
        <v>0</v>
      </c>
      <c r="AS35" s="24">
        <f t="shared" si="1"/>
        <v>0</v>
      </c>
      <c r="AT35" s="24">
        <f t="shared" si="1"/>
        <v>0</v>
      </c>
      <c r="AU35" s="24">
        <f t="shared" si="1"/>
        <v>0</v>
      </c>
      <c r="AV35" s="24">
        <f t="shared" si="1"/>
        <v>0</v>
      </c>
      <c r="AW35" s="24">
        <f t="shared" si="1"/>
        <v>0</v>
      </c>
      <c r="AX35" s="24">
        <f t="shared" si="1"/>
        <v>0</v>
      </c>
      <c r="AY35" s="24">
        <f t="shared" si="1"/>
        <v>0</v>
      </c>
      <c r="AZ35" s="24">
        <f t="shared" si="1"/>
        <v>0</v>
      </c>
      <c r="BA35" s="24">
        <f t="shared" si="1"/>
        <v>0</v>
      </c>
      <c r="BB35" s="24">
        <f t="shared" si="1"/>
        <v>0</v>
      </c>
      <c r="BC35" s="24">
        <f t="shared" si="1"/>
        <v>0</v>
      </c>
      <c r="BD35" s="24">
        <f t="shared" si="1"/>
        <v>0</v>
      </c>
      <c r="BE35" s="24">
        <f t="shared" si="1"/>
        <v>0</v>
      </c>
      <c r="BF35" s="24">
        <f t="shared" si="1"/>
        <v>0</v>
      </c>
      <c r="BG35" s="24">
        <f t="shared" si="1"/>
        <v>0</v>
      </c>
      <c r="BH35" s="24">
        <f t="shared" si="1"/>
        <v>150</v>
      </c>
      <c r="BI35" s="24">
        <f t="shared" si="1"/>
        <v>0</v>
      </c>
      <c r="BJ35" s="24">
        <f t="shared" si="1"/>
        <v>195</v>
      </c>
      <c r="BK35" s="24">
        <f t="shared" si="1"/>
        <v>0</v>
      </c>
      <c r="BL35" s="24">
        <f t="shared" si="1"/>
        <v>0</v>
      </c>
      <c r="BM35" s="24">
        <f t="shared" si="1"/>
        <v>0</v>
      </c>
    </row>
    <row r="36" spans="4:65" x14ac:dyDescent="0.3">
      <c r="D36" s="23" t="s">
        <v>35</v>
      </c>
      <c r="E36" s="25"/>
      <c r="F36" s="24">
        <f t="shared" ref="F36:BM36" si="3">F13*40</f>
        <v>0</v>
      </c>
      <c r="G36" s="24">
        <f t="shared" si="3"/>
        <v>0</v>
      </c>
      <c r="H36" s="24">
        <f t="shared" si="3"/>
        <v>0</v>
      </c>
      <c r="I36" s="24">
        <f t="shared" si="3"/>
        <v>0</v>
      </c>
      <c r="J36" s="24">
        <f t="shared" si="3"/>
        <v>0</v>
      </c>
      <c r="K36" s="24">
        <f t="shared" si="3"/>
        <v>0</v>
      </c>
      <c r="L36" s="24">
        <f t="shared" si="3"/>
        <v>0</v>
      </c>
      <c r="M36" s="24">
        <f t="shared" si="3"/>
        <v>0</v>
      </c>
      <c r="N36" s="24">
        <f t="shared" si="3"/>
        <v>0</v>
      </c>
      <c r="O36" s="24">
        <f t="shared" si="3"/>
        <v>0</v>
      </c>
      <c r="P36" s="24">
        <f t="shared" si="3"/>
        <v>0</v>
      </c>
      <c r="Q36" s="24">
        <f t="shared" si="3"/>
        <v>0</v>
      </c>
      <c r="R36" s="24">
        <f t="shared" si="3"/>
        <v>0</v>
      </c>
      <c r="S36" s="24">
        <f t="shared" si="3"/>
        <v>0</v>
      </c>
      <c r="T36" s="24">
        <f t="shared" si="3"/>
        <v>0</v>
      </c>
      <c r="U36" s="24">
        <f t="shared" si="3"/>
        <v>0</v>
      </c>
      <c r="V36" s="24">
        <f t="shared" si="3"/>
        <v>0</v>
      </c>
      <c r="W36" s="24">
        <f t="shared" si="3"/>
        <v>0</v>
      </c>
      <c r="X36" s="24">
        <f t="shared" si="3"/>
        <v>0</v>
      </c>
      <c r="Y36" s="24">
        <f t="shared" si="3"/>
        <v>0</v>
      </c>
      <c r="Z36" s="24">
        <f t="shared" si="3"/>
        <v>0</v>
      </c>
      <c r="AA36" s="24">
        <f t="shared" si="3"/>
        <v>0</v>
      </c>
      <c r="AB36" s="24">
        <f t="shared" si="3"/>
        <v>0</v>
      </c>
      <c r="AC36" s="24">
        <f t="shared" si="3"/>
        <v>0</v>
      </c>
      <c r="AD36" s="24">
        <f t="shared" si="3"/>
        <v>440</v>
      </c>
      <c r="AE36" s="24">
        <f t="shared" si="3"/>
        <v>0</v>
      </c>
      <c r="AF36" s="24">
        <f t="shared" si="3"/>
        <v>0</v>
      </c>
      <c r="AG36" s="24">
        <f t="shared" si="3"/>
        <v>0</v>
      </c>
      <c r="AH36" s="24">
        <f t="shared" si="3"/>
        <v>0</v>
      </c>
      <c r="AI36" s="24">
        <f t="shared" si="3"/>
        <v>0</v>
      </c>
      <c r="AJ36" s="24">
        <f t="shared" si="3"/>
        <v>0</v>
      </c>
      <c r="AK36" s="24">
        <f t="shared" si="3"/>
        <v>0</v>
      </c>
      <c r="AL36" s="24">
        <f t="shared" si="3"/>
        <v>0</v>
      </c>
      <c r="AM36" s="24">
        <f t="shared" si="3"/>
        <v>0</v>
      </c>
      <c r="AN36" s="24">
        <f t="shared" si="3"/>
        <v>0</v>
      </c>
      <c r="AO36" s="24">
        <f t="shared" si="3"/>
        <v>0</v>
      </c>
      <c r="AP36" s="24">
        <f t="shared" si="3"/>
        <v>0</v>
      </c>
      <c r="AQ36" s="24">
        <f t="shared" si="3"/>
        <v>0</v>
      </c>
      <c r="AR36" s="24">
        <f t="shared" si="3"/>
        <v>0</v>
      </c>
      <c r="AS36" s="24">
        <f t="shared" si="3"/>
        <v>0</v>
      </c>
      <c r="AT36" s="24">
        <f t="shared" si="3"/>
        <v>0</v>
      </c>
      <c r="AU36" s="24">
        <f t="shared" si="3"/>
        <v>0</v>
      </c>
      <c r="AV36" s="24">
        <f t="shared" si="3"/>
        <v>0</v>
      </c>
      <c r="AW36" s="24">
        <f t="shared" si="3"/>
        <v>0</v>
      </c>
      <c r="AX36" s="24">
        <f t="shared" si="3"/>
        <v>0</v>
      </c>
      <c r="AY36" s="24">
        <f t="shared" si="3"/>
        <v>0</v>
      </c>
      <c r="AZ36" s="24">
        <f t="shared" si="3"/>
        <v>0</v>
      </c>
      <c r="BA36" s="24">
        <f t="shared" si="3"/>
        <v>0</v>
      </c>
      <c r="BB36" s="24">
        <f t="shared" si="3"/>
        <v>0</v>
      </c>
      <c r="BC36" s="24">
        <f t="shared" si="3"/>
        <v>0</v>
      </c>
      <c r="BD36" s="24">
        <f t="shared" si="3"/>
        <v>400</v>
      </c>
      <c r="BE36" s="24">
        <f t="shared" si="3"/>
        <v>0</v>
      </c>
      <c r="BF36" s="24">
        <f t="shared" si="3"/>
        <v>0</v>
      </c>
      <c r="BG36" s="24">
        <f t="shared" si="3"/>
        <v>0</v>
      </c>
      <c r="BH36" s="24">
        <f t="shared" si="3"/>
        <v>0</v>
      </c>
      <c r="BI36" s="24">
        <f t="shared" si="3"/>
        <v>0</v>
      </c>
      <c r="BJ36" s="24">
        <f t="shared" si="3"/>
        <v>0</v>
      </c>
      <c r="BK36" s="24">
        <f t="shared" si="3"/>
        <v>0</v>
      </c>
      <c r="BL36" s="24">
        <f t="shared" si="3"/>
        <v>0</v>
      </c>
      <c r="BM36" s="24">
        <f t="shared" si="3"/>
        <v>0</v>
      </c>
    </row>
    <row r="37" spans="4:65" x14ac:dyDescent="0.3">
      <c r="D37" s="23" t="s">
        <v>35</v>
      </c>
      <c r="E37" s="25"/>
      <c r="F37" s="24">
        <f t="shared" ref="F37:BM37" si="4">F12*40</f>
        <v>0</v>
      </c>
      <c r="G37" s="24">
        <f t="shared" si="4"/>
        <v>0</v>
      </c>
      <c r="H37" s="24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4"/>
        <v>0</v>
      </c>
      <c r="N37" s="24">
        <f t="shared" si="4"/>
        <v>0</v>
      </c>
      <c r="O37" s="24">
        <f t="shared" si="4"/>
        <v>0</v>
      </c>
      <c r="P37" s="24">
        <f t="shared" si="4"/>
        <v>0</v>
      </c>
      <c r="Q37" s="24">
        <f t="shared" si="4"/>
        <v>0</v>
      </c>
      <c r="R37" s="24">
        <f t="shared" si="4"/>
        <v>0</v>
      </c>
      <c r="S37" s="24">
        <f t="shared" si="4"/>
        <v>0</v>
      </c>
      <c r="T37" s="24">
        <f t="shared" si="4"/>
        <v>0</v>
      </c>
      <c r="U37" s="24">
        <f t="shared" si="4"/>
        <v>0</v>
      </c>
      <c r="V37" s="24">
        <f t="shared" si="4"/>
        <v>0</v>
      </c>
      <c r="W37" s="24">
        <f t="shared" si="4"/>
        <v>0</v>
      </c>
      <c r="X37" s="24">
        <f t="shared" si="4"/>
        <v>0</v>
      </c>
      <c r="Y37" s="24">
        <f t="shared" si="4"/>
        <v>0</v>
      </c>
      <c r="Z37" s="24">
        <f t="shared" si="4"/>
        <v>0</v>
      </c>
      <c r="AA37" s="24">
        <f t="shared" si="4"/>
        <v>0</v>
      </c>
      <c r="AB37" s="24">
        <f t="shared" si="4"/>
        <v>480</v>
      </c>
      <c r="AC37" s="24">
        <f t="shared" si="4"/>
        <v>0</v>
      </c>
      <c r="AD37" s="24">
        <f t="shared" si="4"/>
        <v>0</v>
      </c>
      <c r="AE37" s="24">
        <f t="shared" si="4"/>
        <v>0</v>
      </c>
      <c r="AF37" s="24">
        <f t="shared" si="4"/>
        <v>0</v>
      </c>
      <c r="AG37" s="24">
        <f t="shared" si="4"/>
        <v>0</v>
      </c>
      <c r="AH37" s="24">
        <f t="shared" si="4"/>
        <v>0</v>
      </c>
      <c r="AI37" s="24">
        <f t="shared" si="4"/>
        <v>0</v>
      </c>
      <c r="AJ37" s="24">
        <f t="shared" si="4"/>
        <v>0</v>
      </c>
      <c r="AK37" s="24">
        <f t="shared" si="4"/>
        <v>0</v>
      </c>
      <c r="AL37" s="24">
        <f t="shared" si="4"/>
        <v>0</v>
      </c>
      <c r="AM37" s="24">
        <f t="shared" si="4"/>
        <v>0</v>
      </c>
      <c r="AN37" s="24">
        <f t="shared" si="4"/>
        <v>0</v>
      </c>
      <c r="AO37" s="24">
        <f t="shared" si="4"/>
        <v>0</v>
      </c>
      <c r="AP37" s="24">
        <f t="shared" si="4"/>
        <v>0</v>
      </c>
      <c r="AQ37" s="24">
        <f t="shared" si="4"/>
        <v>0</v>
      </c>
      <c r="AR37" s="24">
        <f t="shared" si="4"/>
        <v>0</v>
      </c>
      <c r="AS37" s="24">
        <f t="shared" si="4"/>
        <v>0</v>
      </c>
      <c r="AT37" s="24">
        <f t="shared" si="4"/>
        <v>0</v>
      </c>
      <c r="AU37" s="24">
        <f t="shared" si="4"/>
        <v>0</v>
      </c>
      <c r="AV37" s="24">
        <f t="shared" si="4"/>
        <v>0</v>
      </c>
      <c r="AW37" s="24">
        <f t="shared" si="4"/>
        <v>0</v>
      </c>
      <c r="AX37" s="24">
        <f t="shared" si="4"/>
        <v>0</v>
      </c>
      <c r="AY37" s="24">
        <f t="shared" si="4"/>
        <v>0</v>
      </c>
      <c r="AZ37" s="24">
        <f t="shared" si="4"/>
        <v>0</v>
      </c>
      <c r="BA37" s="24">
        <f t="shared" si="4"/>
        <v>0</v>
      </c>
      <c r="BB37" s="24">
        <f t="shared" si="4"/>
        <v>0</v>
      </c>
      <c r="BC37" s="24">
        <f t="shared" si="4"/>
        <v>0</v>
      </c>
      <c r="BD37" s="24">
        <f t="shared" si="4"/>
        <v>400</v>
      </c>
      <c r="BE37" s="24">
        <f t="shared" si="4"/>
        <v>0</v>
      </c>
      <c r="BF37" s="24">
        <f t="shared" si="4"/>
        <v>0</v>
      </c>
      <c r="BG37" s="24">
        <f t="shared" si="4"/>
        <v>0</v>
      </c>
      <c r="BH37" s="24">
        <f t="shared" si="4"/>
        <v>0</v>
      </c>
      <c r="BI37" s="24">
        <f t="shared" si="4"/>
        <v>0</v>
      </c>
      <c r="BJ37" s="24">
        <f t="shared" si="4"/>
        <v>0</v>
      </c>
      <c r="BK37" s="24">
        <f t="shared" si="4"/>
        <v>0</v>
      </c>
      <c r="BL37" s="24">
        <f t="shared" si="4"/>
        <v>0</v>
      </c>
      <c r="BM37" s="24">
        <f t="shared" si="4"/>
        <v>0</v>
      </c>
    </row>
    <row r="38" spans="4:65" x14ac:dyDescent="0.3">
      <c r="D38" s="23" t="s">
        <v>42</v>
      </c>
      <c r="E38" s="25"/>
      <c r="F38" s="24">
        <f t="shared" ref="F38:BM40" si="5">F14*30</f>
        <v>0</v>
      </c>
      <c r="G38" s="24">
        <f t="shared" si="5"/>
        <v>0</v>
      </c>
      <c r="H38" s="24">
        <f t="shared" si="5"/>
        <v>0</v>
      </c>
      <c r="I38" s="24">
        <f t="shared" si="5"/>
        <v>0</v>
      </c>
      <c r="J38" s="24">
        <f t="shared" si="5"/>
        <v>0</v>
      </c>
      <c r="K38" s="24">
        <f t="shared" si="5"/>
        <v>0</v>
      </c>
      <c r="L38" s="24">
        <f t="shared" si="5"/>
        <v>0</v>
      </c>
      <c r="M38" s="24">
        <f t="shared" si="5"/>
        <v>0</v>
      </c>
      <c r="N38" s="24">
        <f t="shared" si="5"/>
        <v>0</v>
      </c>
      <c r="O38" s="24">
        <f t="shared" si="5"/>
        <v>0</v>
      </c>
      <c r="P38" s="24">
        <f t="shared" si="5"/>
        <v>0</v>
      </c>
      <c r="Q38" s="24">
        <f t="shared" si="5"/>
        <v>0</v>
      </c>
      <c r="R38" s="24">
        <f t="shared" si="5"/>
        <v>0</v>
      </c>
      <c r="S38" s="24">
        <f t="shared" si="5"/>
        <v>0</v>
      </c>
      <c r="T38" s="24">
        <f t="shared" si="5"/>
        <v>0</v>
      </c>
      <c r="U38" s="24">
        <f t="shared" si="5"/>
        <v>0</v>
      </c>
      <c r="V38" s="24">
        <f t="shared" si="5"/>
        <v>420</v>
      </c>
      <c r="W38" s="24">
        <f t="shared" si="5"/>
        <v>0</v>
      </c>
      <c r="X38" s="24">
        <f t="shared" si="5"/>
        <v>0</v>
      </c>
      <c r="Y38" s="24">
        <f t="shared" si="5"/>
        <v>0</v>
      </c>
      <c r="Z38" s="24">
        <f t="shared" si="5"/>
        <v>0</v>
      </c>
      <c r="AA38" s="24">
        <f t="shared" si="5"/>
        <v>0</v>
      </c>
      <c r="AB38" s="24">
        <f t="shared" si="5"/>
        <v>0</v>
      </c>
      <c r="AC38" s="24">
        <f t="shared" si="5"/>
        <v>0</v>
      </c>
      <c r="AD38" s="24">
        <f t="shared" si="5"/>
        <v>0</v>
      </c>
      <c r="AE38" s="24">
        <f t="shared" si="5"/>
        <v>0</v>
      </c>
      <c r="AF38" s="24">
        <f t="shared" si="5"/>
        <v>0</v>
      </c>
      <c r="AG38" s="24">
        <f t="shared" si="5"/>
        <v>0</v>
      </c>
      <c r="AH38" s="24">
        <f t="shared" si="5"/>
        <v>0</v>
      </c>
      <c r="AI38" s="24">
        <f t="shared" si="5"/>
        <v>0</v>
      </c>
      <c r="AJ38" s="24">
        <f t="shared" si="5"/>
        <v>0</v>
      </c>
      <c r="AK38" s="24">
        <f t="shared" si="5"/>
        <v>0</v>
      </c>
      <c r="AL38" s="24">
        <f t="shared" si="5"/>
        <v>0</v>
      </c>
      <c r="AM38" s="24">
        <f t="shared" si="5"/>
        <v>0</v>
      </c>
      <c r="AN38" s="24">
        <f t="shared" si="5"/>
        <v>0</v>
      </c>
      <c r="AO38" s="24">
        <f t="shared" si="5"/>
        <v>0</v>
      </c>
      <c r="AP38" s="24">
        <f t="shared" si="5"/>
        <v>0</v>
      </c>
      <c r="AQ38" s="24">
        <f t="shared" si="5"/>
        <v>0</v>
      </c>
      <c r="AR38" s="24">
        <f t="shared" si="5"/>
        <v>0</v>
      </c>
      <c r="AS38" s="24">
        <f t="shared" si="5"/>
        <v>0</v>
      </c>
      <c r="AT38" s="24">
        <f t="shared" si="5"/>
        <v>0</v>
      </c>
      <c r="AU38" s="24">
        <f t="shared" si="5"/>
        <v>0</v>
      </c>
      <c r="AV38" s="24">
        <f t="shared" si="5"/>
        <v>0</v>
      </c>
      <c r="AW38" s="24">
        <f t="shared" si="5"/>
        <v>0</v>
      </c>
      <c r="AX38" s="24">
        <f t="shared" si="5"/>
        <v>0</v>
      </c>
      <c r="AY38" s="24">
        <f t="shared" si="5"/>
        <v>0</v>
      </c>
      <c r="AZ38" s="24">
        <f t="shared" si="5"/>
        <v>0</v>
      </c>
      <c r="BA38" s="24">
        <f t="shared" si="5"/>
        <v>0</v>
      </c>
      <c r="BB38" s="24">
        <f t="shared" si="5"/>
        <v>0</v>
      </c>
      <c r="BC38" s="24">
        <f t="shared" si="5"/>
        <v>0</v>
      </c>
      <c r="BD38" s="24">
        <f t="shared" si="5"/>
        <v>0</v>
      </c>
      <c r="BE38" s="24">
        <f t="shared" si="5"/>
        <v>0</v>
      </c>
      <c r="BF38" s="24">
        <f t="shared" si="5"/>
        <v>0</v>
      </c>
      <c r="BG38" s="24">
        <f t="shared" si="5"/>
        <v>0</v>
      </c>
      <c r="BH38" s="24">
        <f t="shared" si="5"/>
        <v>0</v>
      </c>
      <c r="BI38" s="24">
        <f t="shared" si="5"/>
        <v>0</v>
      </c>
      <c r="BJ38" s="24">
        <f t="shared" si="5"/>
        <v>510</v>
      </c>
      <c r="BK38" s="24">
        <f t="shared" si="5"/>
        <v>0</v>
      </c>
      <c r="BL38" s="24">
        <f t="shared" si="5"/>
        <v>0</v>
      </c>
      <c r="BM38" s="24">
        <f t="shared" si="5"/>
        <v>0</v>
      </c>
    </row>
    <row r="39" spans="4:65" x14ac:dyDescent="0.3">
      <c r="D39" s="23" t="s">
        <v>45</v>
      </c>
      <c r="E39" s="25"/>
      <c r="F39" s="24">
        <f t="shared" si="5"/>
        <v>0</v>
      </c>
      <c r="G39" s="24">
        <f t="shared" si="5"/>
        <v>0</v>
      </c>
      <c r="H39" s="24">
        <f t="shared" si="5"/>
        <v>0</v>
      </c>
      <c r="I39" s="24">
        <f t="shared" si="5"/>
        <v>0</v>
      </c>
      <c r="J39" s="24">
        <f t="shared" si="5"/>
        <v>0</v>
      </c>
      <c r="K39" s="24">
        <f t="shared" si="5"/>
        <v>0</v>
      </c>
      <c r="L39" s="24">
        <f t="shared" si="5"/>
        <v>0</v>
      </c>
      <c r="M39" s="24">
        <f t="shared" si="5"/>
        <v>0</v>
      </c>
      <c r="N39" s="24">
        <f t="shared" si="5"/>
        <v>0</v>
      </c>
      <c r="O39" s="24">
        <f t="shared" si="5"/>
        <v>0</v>
      </c>
      <c r="P39" s="24">
        <f t="shared" si="5"/>
        <v>0</v>
      </c>
      <c r="Q39" s="24">
        <f t="shared" si="5"/>
        <v>0</v>
      </c>
      <c r="R39" s="24">
        <f t="shared" si="5"/>
        <v>0</v>
      </c>
      <c r="S39" s="24">
        <f t="shared" si="5"/>
        <v>0</v>
      </c>
      <c r="T39" s="24">
        <f t="shared" si="5"/>
        <v>0</v>
      </c>
      <c r="U39" s="24">
        <f t="shared" si="5"/>
        <v>0</v>
      </c>
      <c r="V39" s="24">
        <f t="shared" si="5"/>
        <v>360</v>
      </c>
      <c r="W39" s="24">
        <f t="shared" si="5"/>
        <v>0</v>
      </c>
      <c r="X39" s="24">
        <f t="shared" si="5"/>
        <v>0</v>
      </c>
      <c r="Y39" s="24">
        <f t="shared" si="5"/>
        <v>0</v>
      </c>
      <c r="Z39" s="24">
        <f t="shared" si="5"/>
        <v>0</v>
      </c>
      <c r="AA39" s="24">
        <f t="shared" si="5"/>
        <v>0</v>
      </c>
      <c r="AB39" s="24">
        <f t="shared" si="5"/>
        <v>0</v>
      </c>
      <c r="AC39" s="24">
        <f t="shared" si="5"/>
        <v>0</v>
      </c>
      <c r="AD39" s="24">
        <f t="shared" si="5"/>
        <v>0</v>
      </c>
      <c r="AE39" s="24">
        <f t="shared" si="5"/>
        <v>0</v>
      </c>
      <c r="AF39" s="24">
        <f t="shared" si="5"/>
        <v>0</v>
      </c>
      <c r="AG39" s="24">
        <f t="shared" si="5"/>
        <v>0</v>
      </c>
      <c r="AH39" s="24">
        <f t="shared" si="5"/>
        <v>0</v>
      </c>
      <c r="AI39" s="24">
        <f t="shared" si="5"/>
        <v>0</v>
      </c>
      <c r="AJ39" s="24">
        <f t="shared" si="5"/>
        <v>0</v>
      </c>
      <c r="AK39" s="24">
        <f t="shared" si="5"/>
        <v>0</v>
      </c>
      <c r="AL39" s="24">
        <f t="shared" si="5"/>
        <v>0</v>
      </c>
      <c r="AM39" s="24">
        <f t="shared" si="5"/>
        <v>0</v>
      </c>
      <c r="AN39" s="24">
        <f t="shared" si="5"/>
        <v>0</v>
      </c>
      <c r="AO39" s="24">
        <f t="shared" si="5"/>
        <v>0</v>
      </c>
      <c r="AP39" s="24">
        <f t="shared" si="5"/>
        <v>0</v>
      </c>
      <c r="AQ39" s="24">
        <f t="shared" si="5"/>
        <v>0</v>
      </c>
      <c r="AR39" s="24">
        <f t="shared" si="5"/>
        <v>0</v>
      </c>
      <c r="AS39" s="24">
        <f t="shared" si="5"/>
        <v>0</v>
      </c>
      <c r="AT39" s="24">
        <f t="shared" si="5"/>
        <v>0</v>
      </c>
      <c r="AU39" s="24">
        <f t="shared" si="5"/>
        <v>0</v>
      </c>
      <c r="AV39" s="24">
        <f t="shared" si="5"/>
        <v>0</v>
      </c>
      <c r="AW39" s="24">
        <f t="shared" si="5"/>
        <v>0</v>
      </c>
      <c r="AX39" s="24">
        <f t="shared" si="5"/>
        <v>0</v>
      </c>
      <c r="AY39" s="24">
        <f t="shared" si="5"/>
        <v>0</v>
      </c>
      <c r="AZ39" s="24">
        <f t="shared" si="5"/>
        <v>0</v>
      </c>
      <c r="BA39" s="24">
        <f t="shared" si="5"/>
        <v>0</v>
      </c>
      <c r="BB39" s="24">
        <f t="shared" si="5"/>
        <v>0</v>
      </c>
      <c r="BC39" s="24">
        <f t="shared" si="5"/>
        <v>0</v>
      </c>
      <c r="BD39" s="24">
        <f t="shared" si="5"/>
        <v>0</v>
      </c>
      <c r="BE39" s="24">
        <f t="shared" si="5"/>
        <v>0</v>
      </c>
      <c r="BF39" s="24">
        <f t="shared" si="5"/>
        <v>0</v>
      </c>
      <c r="BG39" s="24">
        <f t="shared" si="5"/>
        <v>0</v>
      </c>
      <c r="BH39" s="24">
        <f t="shared" si="5"/>
        <v>0</v>
      </c>
      <c r="BI39" s="24">
        <f t="shared" si="5"/>
        <v>0</v>
      </c>
      <c r="BJ39" s="24">
        <f t="shared" si="5"/>
        <v>0</v>
      </c>
      <c r="BK39" s="24">
        <f t="shared" si="5"/>
        <v>0</v>
      </c>
      <c r="BL39" s="24">
        <f t="shared" si="5"/>
        <v>0</v>
      </c>
      <c r="BM39" s="24">
        <f t="shared" si="5"/>
        <v>0</v>
      </c>
    </row>
    <row r="40" spans="4:65" x14ac:dyDescent="0.3">
      <c r="D40" s="23" t="s">
        <v>47</v>
      </c>
      <c r="E40" s="25"/>
      <c r="F40" s="24">
        <f t="shared" si="5"/>
        <v>0</v>
      </c>
      <c r="G40" s="24">
        <f t="shared" si="5"/>
        <v>0</v>
      </c>
      <c r="H40" s="24">
        <f t="shared" si="5"/>
        <v>0</v>
      </c>
      <c r="I40" s="24">
        <f t="shared" si="5"/>
        <v>0</v>
      </c>
      <c r="J40" s="24">
        <f t="shared" si="5"/>
        <v>0</v>
      </c>
      <c r="K40" s="24">
        <f t="shared" si="5"/>
        <v>0</v>
      </c>
      <c r="L40" s="24">
        <f t="shared" si="5"/>
        <v>0</v>
      </c>
      <c r="M40" s="24">
        <f t="shared" si="5"/>
        <v>0</v>
      </c>
      <c r="N40" s="24">
        <f t="shared" si="5"/>
        <v>0</v>
      </c>
      <c r="O40" s="24">
        <f t="shared" si="5"/>
        <v>0</v>
      </c>
      <c r="P40" s="24">
        <f t="shared" si="5"/>
        <v>0</v>
      </c>
      <c r="Q40" s="24">
        <f t="shared" si="5"/>
        <v>0</v>
      </c>
      <c r="R40" s="24">
        <f t="shared" si="5"/>
        <v>0</v>
      </c>
      <c r="S40" s="24">
        <f t="shared" si="5"/>
        <v>0</v>
      </c>
      <c r="T40" s="24">
        <f t="shared" si="5"/>
        <v>0</v>
      </c>
      <c r="U40" s="24">
        <f t="shared" si="5"/>
        <v>0</v>
      </c>
      <c r="V40" s="24">
        <f t="shared" si="5"/>
        <v>300</v>
      </c>
      <c r="W40" s="24">
        <f t="shared" si="5"/>
        <v>0</v>
      </c>
      <c r="X40" s="24">
        <f t="shared" si="5"/>
        <v>0</v>
      </c>
      <c r="Y40" s="24">
        <f t="shared" si="5"/>
        <v>0</v>
      </c>
      <c r="Z40" s="24">
        <f t="shared" si="5"/>
        <v>0</v>
      </c>
      <c r="AA40" s="24">
        <f t="shared" si="5"/>
        <v>0</v>
      </c>
      <c r="AB40" s="24">
        <f t="shared" si="5"/>
        <v>0</v>
      </c>
      <c r="AC40" s="24">
        <f t="shared" si="5"/>
        <v>0</v>
      </c>
      <c r="AD40" s="24">
        <f t="shared" si="5"/>
        <v>0</v>
      </c>
      <c r="AE40" s="24">
        <f t="shared" si="5"/>
        <v>0</v>
      </c>
      <c r="AF40" s="24">
        <f t="shared" si="5"/>
        <v>0</v>
      </c>
      <c r="AG40" s="24">
        <f t="shared" si="5"/>
        <v>0</v>
      </c>
      <c r="AH40" s="24">
        <f t="shared" si="5"/>
        <v>0</v>
      </c>
      <c r="AI40" s="24">
        <f t="shared" si="5"/>
        <v>0</v>
      </c>
      <c r="AJ40" s="24">
        <f t="shared" si="5"/>
        <v>0</v>
      </c>
      <c r="AK40" s="24">
        <f t="shared" si="5"/>
        <v>0</v>
      </c>
      <c r="AL40" s="24">
        <f t="shared" si="5"/>
        <v>0</v>
      </c>
      <c r="AM40" s="24">
        <f t="shared" si="5"/>
        <v>0</v>
      </c>
      <c r="AN40" s="24">
        <f t="shared" si="5"/>
        <v>0</v>
      </c>
      <c r="AO40" s="24">
        <f t="shared" si="5"/>
        <v>0</v>
      </c>
      <c r="AP40" s="24">
        <f t="shared" si="5"/>
        <v>0</v>
      </c>
      <c r="AQ40" s="24">
        <f t="shared" si="5"/>
        <v>0</v>
      </c>
      <c r="AR40" s="24">
        <f t="shared" si="5"/>
        <v>0</v>
      </c>
      <c r="AS40" s="24">
        <f t="shared" si="5"/>
        <v>0</v>
      </c>
      <c r="AT40" s="24">
        <f t="shared" si="5"/>
        <v>0</v>
      </c>
      <c r="AU40" s="24">
        <f t="shared" si="5"/>
        <v>0</v>
      </c>
      <c r="AV40" s="24">
        <f t="shared" si="5"/>
        <v>0</v>
      </c>
      <c r="AW40" s="24">
        <f t="shared" si="5"/>
        <v>0</v>
      </c>
      <c r="AX40" s="24">
        <f t="shared" si="5"/>
        <v>0</v>
      </c>
      <c r="AY40" s="24">
        <f t="shared" si="5"/>
        <v>0</v>
      </c>
      <c r="AZ40" s="24">
        <f t="shared" si="5"/>
        <v>0</v>
      </c>
      <c r="BA40" s="24">
        <f t="shared" si="5"/>
        <v>0</v>
      </c>
      <c r="BB40" s="24">
        <f t="shared" si="5"/>
        <v>0</v>
      </c>
      <c r="BC40" s="24">
        <f t="shared" si="5"/>
        <v>0</v>
      </c>
      <c r="BD40" s="24">
        <f t="shared" si="5"/>
        <v>0</v>
      </c>
      <c r="BE40" s="24">
        <f t="shared" si="5"/>
        <v>0</v>
      </c>
      <c r="BF40" s="24">
        <f t="shared" si="5"/>
        <v>0</v>
      </c>
      <c r="BG40" s="24">
        <f t="shared" si="5"/>
        <v>0</v>
      </c>
      <c r="BH40" s="24">
        <f t="shared" si="5"/>
        <v>0</v>
      </c>
      <c r="BI40" s="24">
        <f t="shared" si="5"/>
        <v>0</v>
      </c>
      <c r="BJ40" s="24">
        <f t="shared" si="5"/>
        <v>0</v>
      </c>
      <c r="BK40" s="24">
        <f t="shared" si="5"/>
        <v>0</v>
      </c>
      <c r="BL40" s="24">
        <f t="shared" si="5"/>
        <v>0</v>
      </c>
      <c r="BM40" s="24">
        <f t="shared" si="5"/>
        <v>0</v>
      </c>
    </row>
    <row r="41" spans="4:65" x14ac:dyDescent="0.3">
      <c r="D41" s="23" t="s">
        <v>50</v>
      </c>
      <c r="E41" s="25"/>
      <c r="F41" s="24">
        <f t="shared" ref="F41:BM41" si="6">F17*40</f>
        <v>0</v>
      </c>
      <c r="G41" s="24">
        <f t="shared" si="6"/>
        <v>0</v>
      </c>
      <c r="H41" s="24">
        <f t="shared" si="6"/>
        <v>0</v>
      </c>
      <c r="I41" s="24">
        <f t="shared" si="6"/>
        <v>0</v>
      </c>
      <c r="J41" s="24">
        <f t="shared" si="6"/>
        <v>0</v>
      </c>
      <c r="K41" s="24">
        <f t="shared" si="6"/>
        <v>0</v>
      </c>
      <c r="L41" s="24">
        <f t="shared" si="6"/>
        <v>0</v>
      </c>
      <c r="M41" s="24">
        <f t="shared" si="6"/>
        <v>0</v>
      </c>
      <c r="N41" s="24">
        <f t="shared" si="6"/>
        <v>0</v>
      </c>
      <c r="O41" s="24">
        <f t="shared" si="6"/>
        <v>0</v>
      </c>
      <c r="P41" s="24">
        <f t="shared" si="6"/>
        <v>0</v>
      </c>
      <c r="Q41" s="24">
        <f t="shared" si="6"/>
        <v>0</v>
      </c>
      <c r="R41" s="24">
        <f t="shared" si="6"/>
        <v>0</v>
      </c>
      <c r="S41" s="24">
        <f t="shared" si="6"/>
        <v>0</v>
      </c>
      <c r="T41" s="24">
        <f t="shared" si="6"/>
        <v>0</v>
      </c>
      <c r="U41" s="24">
        <f t="shared" si="6"/>
        <v>0</v>
      </c>
      <c r="V41" s="24">
        <f t="shared" si="6"/>
        <v>0</v>
      </c>
      <c r="W41" s="24">
        <f t="shared" si="6"/>
        <v>0</v>
      </c>
      <c r="X41" s="24">
        <f t="shared" si="6"/>
        <v>0</v>
      </c>
      <c r="Y41" s="24">
        <f t="shared" si="6"/>
        <v>0</v>
      </c>
      <c r="Z41" s="24">
        <f t="shared" si="6"/>
        <v>0</v>
      </c>
      <c r="AA41" s="24">
        <f t="shared" si="6"/>
        <v>0</v>
      </c>
      <c r="AB41" s="24">
        <f t="shared" si="6"/>
        <v>0</v>
      </c>
      <c r="AC41" s="24">
        <f t="shared" si="6"/>
        <v>0</v>
      </c>
      <c r="AD41" s="24">
        <f t="shared" si="6"/>
        <v>560</v>
      </c>
      <c r="AE41" s="24">
        <f t="shared" si="6"/>
        <v>0</v>
      </c>
      <c r="AF41" s="24">
        <f t="shared" si="6"/>
        <v>0</v>
      </c>
      <c r="AG41" s="24">
        <f t="shared" si="6"/>
        <v>0</v>
      </c>
      <c r="AH41" s="24">
        <f t="shared" si="6"/>
        <v>0</v>
      </c>
      <c r="AI41" s="24">
        <f t="shared" si="6"/>
        <v>0</v>
      </c>
      <c r="AJ41" s="24">
        <f t="shared" si="6"/>
        <v>0</v>
      </c>
      <c r="AK41" s="24">
        <f t="shared" si="6"/>
        <v>0</v>
      </c>
      <c r="AL41" s="24">
        <f t="shared" si="6"/>
        <v>0</v>
      </c>
      <c r="AM41" s="24">
        <f t="shared" si="6"/>
        <v>0</v>
      </c>
      <c r="AN41" s="24">
        <f t="shared" si="6"/>
        <v>0</v>
      </c>
      <c r="AO41" s="24">
        <f t="shared" si="6"/>
        <v>0</v>
      </c>
      <c r="AP41" s="24">
        <f t="shared" si="6"/>
        <v>0</v>
      </c>
      <c r="AQ41" s="24">
        <f t="shared" si="6"/>
        <v>0</v>
      </c>
      <c r="AR41" s="24">
        <f t="shared" si="6"/>
        <v>0</v>
      </c>
      <c r="AS41" s="24">
        <f t="shared" si="6"/>
        <v>0</v>
      </c>
      <c r="AT41" s="24">
        <f t="shared" si="6"/>
        <v>0</v>
      </c>
      <c r="AU41" s="24">
        <f t="shared" si="6"/>
        <v>0</v>
      </c>
      <c r="AV41" s="24">
        <f t="shared" si="6"/>
        <v>0</v>
      </c>
      <c r="AW41" s="24">
        <f t="shared" si="6"/>
        <v>0</v>
      </c>
      <c r="AX41" s="24">
        <f t="shared" si="6"/>
        <v>0</v>
      </c>
      <c r="AY41" s="24">
        <f t="shared" si="6"/>
        <v>0</v>
      </c>
      <c r="AZ41" s="24">
        <f t="shared" si="6"/>
        <v>0</v>
      </c>
      <c r="BA41" s="24">
        <f t="shared" si="6"/>
        <v>0</v>
      </c>
      <c r="BB41" s="24">
        <f t="shared" si="6"/>
        <v>0</v>
      </c>
      <c r="BC41" s="24">
        <f t="shared" si="6"/>
        <v>0</v>
      </c>
      <c r="BD41" s="24">
        <f t="shared" si="6"/>
        <v>0</v>
      </c>
      <c r="BE41" s="24">
        <f t="shared" si="6"/>
        <v>0</v>
      </c>
      <c r="BF41" s="24">
        <f t="shared" si="6"/>
        <v>0</v>
      </c>
      <c r="BG41" s="24">
        <f t="shared" si="6"/>
        <v>0</v>
      </c>
      <c r="BH41" s="24">
        <f t="shared" si="6"/>
        <v>0</v>
      </c>
      <c r="BI41" s="24">
        <f t="shared" si="6"/>
        <v>0</v>
      </c>
      <c r="BJ41" s="24">
        <f t="shared" si="6"/>
        <v>0</v>
      </c>
      <c r="BK41" s="24">
        <f t="shared" si="6"/>
        <v>0</v>
      </c>
      <c r="BL41" s="24">
        <f t="shared" si="6"/>
        <v>560</v>
      </c>
      <c r="BM41" s="24">
        <f t="shared" si="6"/>
        <v>0</v>
      </c>
    </row>
    <row r="42" spans="4:65" x14ac:dyDescent="0.3">
      <c r="D42" s="23" t="s">
        <v>52</v>
      </c>
      <c r="E42" s="25"/>
      <c r="F42" s="24">
        <f t="shared" ref="F42:BM46" si="7">F18*35</f>
        <v>0</v>
      </c>
      <c r="G42" s="24">
        <f t="shared" si="7"/>
        <v>0</v>
      </c>
      <c r="H42" s="24">
        <f t="shared" si="7"/>
        <v>0</v>
      </c>
      <c r="I42" s="24">
        <f t="shared" si="7"/>
        <v>0</v>
      </c>
      <c r="J42" s="24">
        <f t="shared" si="7"/>
        <v>0</v>
      </c>
      <c r="K42" s="24">
        <f t="shared" si="7"/>
        <v>0</v>
      </c>
      <c r="L42" s="24">
        <f t="shared" si="7"/>
        <v>0</v>
      </c>
      <c r="M42" s="24">
        <f t="shared" si="7"/>
        <v>0</v>
      </c>
      <c r="N42" s="24">
        <f t="shared" si="7"/>
        <v>0</v>
      </c>
      <c r="O42" s="24">
        <f t="shared" si="7"/>
        <v>0</v>
      </c>
      <c r="P42" s="24">
        <f t="shared" si="7"/>
        <v>0</v>
      </c>
      <c r="Q42" s="24">
        <f t="shared" si="7"/>
        <v>0</v>
      </c>
      <c r="R42" s="24">
        <f t="shared" si="7"/>
        <v>0</v>
      </c>
      <c r="S42" s="24">
        <f t="shared" si="7"/>
        <v>0</v>
      </c>
      <c r="T42" s="24">
        <f t="shared" si="7"/>
        <v>0</v>
      </c>
      <c r="U42" s="24">
        <f t="shared" si="7"/>
        <v>0</v>
      </c>
      <c r="V42" s="24">
        <f t="shared" si="7"/>
        <v>0</v>
      </c>
      <c r="W42" s="24">
        <f t="shared" si="7"/>
        <v>0</v>
      </c>
      <c r="X42" s="24">
        <f t="shared" si="7"/>
        <v>0</v>
      </c>
      <c r="Y42" s="24">
        <f t="shared" si="7"/>
        <v>0</v>
      </c>
      <c r="Z42" s="24">
        <f t="shared" si="7"/>
        <v>0</v>
      </c>
      <c r="AA42" s="24">
        <f t="shared" si="7"/>
        <v>0</v>
      </c>
      <c r="AB42" s="24">
        <f t="shared" si="7"/>
        <v>0</v>
      </c>
      <c r="AC42" s="24">
        <f t="shared" si="7"/>
        <v>0</v>
      </c>
      <c r="AD42" s="24">
        <f t="shared" si="7"/>
        <v>455</v>
      </c>
      <c r="AE42" s="24">
        <f t="shared" si="7"/>
        <v>0</v>
      </c>
      <c r="AF42" s="24">
        <f t="shared" si="7"/>
        <v>0</v>
      </c>
      <c r="AG42" s="24">
        <f t="shared" si="7"/>
        <v>0</v>
      </c>
      <c r="AH42" s="24">
        <f t="shared" si="7"/>
        <v>0</v>
      </c>
      <c r="AI42" s="24">
        <f t="shared" si="7"/>
        <v>0</v>
      </c>
      <c r="AJ42" s="24">
        <f t="shared" si="7"/>
        <v>0</v>
      </c>
      <c r="AK42" s="24">
        <f t="shared" si="7"/>
        <v>0</v>
      </c>
      <c r="AL42" s="24">
        <f t="shared" si="7"/>
        <v>0</v>
      </c>
      <c r="AM42" s="24">
        <f t="shared" si="7"/>
        <v>0</v>
      </c>
      <c r="AN42" s="24">
        <f t="shared" si="7"/>
        <v>0</v>
      </c>
      <c r="AO42" s="24">
        <f t="shared" si="7"/>
        <v>0</v>
      </c>
      <c r="AP42" s="24">
        <f t="shared" si="7"/>
        <v>0</v>
      </c>
      <c r="AQ42" s="24">
        <f t="shared" si="7"/>
        <v>0</v>
      </c>
      <c r="AR42" s="24">
        <f t="shared" si="7"/>
        <v>0</v>
      </c>
      <c r="AS42" s="24">
        <f t="shared" si="7"/>
        <v>0</v>
      </c>
      <c r="AT42" s="24">
        <f t="shared" si="7"/>
        <v>0</v>
      </c>
      <c r="AU42" s="24">
        <f t="shared" si="7"/>
        <v>0</v>
      </c>
      <c r="AV42" s="24">
        <f t="shared" si="7"/>
        <v>0</v>
      </c>
      <c r="AW42" s="24">
        <f t="shared" si="7"/>
        <v>0</v>
      </c>
      <c r="AX42" s="24">
        <f t="shared" si="7"/>
        <v>0</v>
      </c>
      <c r="AY42" s="24">
        <f t="shared" si="7"/>
        <v>0</v>
      </c>
      <c r="AZ42" s="24">
        <f t="shared" si="7"/>
        <v>0</v>
      </c>
      <c r="BA42" s="24">
        <f t="shared" si="7"/>
        <v>0</v>
      </c>
      <c r="BB42" s="24">
        <f t="shared" si="7"/>
        <v>0</v>
      </c>
      <c r="BC42" s="24">
        <f t="shared" si="7"/>
        <v>0</v>
      </c>
      <c r="BD42" s="24">
        <f t="shared" si="7"/>
        <v>0</v>
      </c>
      <c r="BE42" s="24">
        <f t="shared" si="7"/>
        <v>0</v>
      </c>
      <c r="BF42" s="24">
        <f t="shared" si="7"/>
        <v>0</v>
      </c>
      <c r="BG42" s="24">
        <f t="shared" si="7"/>
        <v>0</v>
      </c>
      <c r="BH42" s="24">
        <f t="shared" si="7"/>
        <v>0</v>
      </c>
      <c r="BI42" s="24">
        <f t="shared" si="7"/>
        <v>0</v>
      </c>
      <c r="BJ42" s="24">
        <f t="shared" si="7"/>
        <v>0</v>
      </c>
      <c r="BK42" s="24">
        <f t="shared" si="7"/>
        <v>0</v>
      </c>
      <c r="BL42" s="24">
        <f t="shared" si="7"/>
        <v>455</v>
      </c>
      <c r="BM42" s="24">
        <f t="shared" si="7"/>
        <v>0</v>
      </c>
    </row>
    <row r="43" spans="4:65" x14ac:dyDescent="0.3">
      <c r="D43" s="23" t="s">
        <v>54</v>
      </c>
      <c r="E43" s="25"/>
      <c r="F43" s="24">
        <f t="shared" si="7"/>
        <v>0</v>
      </c>
      <c r="G43" s="24">
        <f t="shared" si="7"/>
        <v>0</v>
      </c>
      <c r="H43" s="24">
        <f t="shared" si="7"/>
        <v>0</v>
      </c>
      <c r="I43" s="24">
        <f t="shared" si="7"/>
        <v>0</v>
      </c>
      <c r="J43" s="24">
        <f t="shared" si="7"/>
        <v>0</v>
      </c>
      <c r="K43" s="24">
        <f t="shared" si="7"/>
        <v>0</v>
      </c>
      <c r="L43" s="24">
        <f t="shared" si="7"/>
        <v>0</v>
      </c>
      <c r="M43" s="24">
        <f t="shared" si="7"/>
        <v>0</v>
      </c>
      <c r="N43" s="24">
        <f t="shared" si="7"/>
        <v>0</v>
      </c>
      <c r="O43" s="24">
        <f t="shared" si="7"/>
        <v>0</v>
      </c>
      <c r="P43" s="24">
        <f t="shared" si="7"/>
        <v>0</v>
      </c>
      <c r="Q43" s="24">
        <f t="shared" si="7"/>
        <v>0</v>
      </c>
      <c r="R43" s="24">
        <f t="shared" si="7"/>
        <v>0</v>
      </c>
      <c r="S43" s="24">
        <f t="shared" si="7"/>
        <v>0</v>
      </c>
      <c r="T43" s="24">
        <f t="shared" si="7"/>
        <v>0</v>
      </c>
      <c r="U43" s="24">
        <f t="shared" si="7"/>
        <v>0</v>
      </c>
      <c r="V43" s="24">
        <f t="shared" si="7"/>
        <v>385</v>
      </c>
      <c r="W43" s="24">
        <f t="shared" si="7"/>
        <v>0</v>
      </c>
      <c r="X43" s="24">
        <f t="shared" si="7"/>
        <v>0</v>
      </c>
      <c r="Y43" s="24">
        <f t="shared" si="7"/>
        <v>0</v>
      </c>
      <c r="Z43" s="24">
        <f t="shared" si="7"/>
        <v>0</v>
      </c>
      <c r="AA43" s="24">
        <f t="shared" si="7"/>
        <v>0</v>
      </c>
      <c r="AB43" s="24">
        <f t="shared" si="7"/>
        <v>0</v>
      </c>
      <c r="AC43" s="24">
        <f t="shared" si="7"/>
        <v>0</v>
      </c>
      <c r="AD43" s="24">
        <f t="shared" si="7"/>
        <v>0</v>
      </c>
      <c r="AE43" s="24">
        <f t="shared" si="7"/>
        <v>0</v>
      </c>
      <c r="AF43" s="24">
        <f t="shared" si="7"/>
        <v>0</v>
      </c>
      <c r="AG43" s="24">
        <f t="shared" si="7"/>
        <v>0</v>
      </c>
      <c r="AH43" s="24">
        <f t="shared" si="7"/>
        <v>0</v>
      </c>
      <c r="AI43" s="24">
        <f t="shared" si="7"/>
        <v>0</v>
      </c>
      <c r="AJ43" s="24">
        <f t="shared" si="7"/>
        <v>0</v>
      </c>
      <c r="AK43" s="24">
        <f t="shared" si="7"/>
        <v>0</v>
      </c>
      <c r="AL43" s="24">
        <f t="shared" si="7"/>
        <v>0</v>
      </c>
      <c r="AM43" s="24">
        <f t="shared" si="7"/>
        <v>0</v>
      </c>
      <c r="AN43" s="24">
        <f t="shared" si="7"/>
        <v>0</v>
      </c>
      <c r="AO43" s="24">
        <f t="shared" si="7"/>
        <v>0</v>
      </c>
      <c r="AP43" s="24">
        <f t="shared" si="7"/>
        <v>0</v>
      </c>
      <c r="AQ43" s="24">
        <f t="shared" si="7"/>
        <v>0</v>
      </c>
      <c r="AR43" s="24">
        <f t="shared" si="7"/>
        <v>0</v>
      </c>
      <c r="AS43" s="24">
        <f t="shared" si="7"/>
        <v>0</v>
      </c>
      <c r="AT43" s="24">
        <f t="shared" si="7"/>
        <v>0</v>
      </c>
      <c r="AU43" s="24">
        <f t="shared" si="7"/>
        <v>0</v>
      </c>
      <c r="AV43" s="24">
        <f t="shared" si="7"/>
        <v>0</v>
      </c>
      <c r="AW43" s="24">
        <f t="shared" si="7"/>
        <v>0</v>
      </c>
      <c r="AX43" s="24">
        <f t="shared" si="7"/>
        <v>0</v>
      </c>
      <c r="AY43" s="24">
        <f t="shared" si="7"/>
        <v>0</v>
      </c>
      <c r="AZ43" s="24">
        <f t="shared" si="7"/>
        <v>0</v>
      </c>
      <c r="BA43" s="24">
        <f t="shared" si="7"/>
        <v>0</v>
      </c>
      <c r="BB43" s="24">
        <f t="shared" si="7"/>
        <v>0</v>
      </c>
      <c r="BC43" s="24">
        <f t="shared" si="7"/>
        <v>0</v>
      </c>
      <c r="BD43" s="24">
        <f t="shared" si="7"/>
        <v>0</v>
      </c>
      <c r="BE43" s="24">
        <f t="shared" si="7"/>
        <v>0</v>
      </c>
      <c r="BF43" s="24">
        <f t="shared" si="7"/>
        <v>0</v>
      </c>
      <c r="BG43" s="24">
        <f t="shared" si="7"/>
        <v>0</v>
      </c>
      <c r="BH43" s="24">
        <f t="shared" si="7"/>
        <v>0</v>
      </c>
      <c r="BI43" s="24">
        <f t="shared" si="7"/>
        <v>0</v>
      </c>
      <c r="BJ43" s="24">
        <f t="shared" si="7"/>
        <v>0</v>
      </c>
      <c r="BK43" s="24">
        <f t="shared" si="7"/>
        <v>0</v>
      </c>
      <c r="BL43" s="24">
        <f t="shared" si="7"/>
        <v>0</v>
      </c>
      <c r="BM43" s="24">
        <f t="shared" si="7"/>
        <v>0</v>
      </c>
    </row>
    <row r="44" spans="4:65" x14ac:dyDescent="0.3">
      <c r="D44" s="6" t="s">
        <v>56</v>
      </c>
      <c r="E44" s="25"/>
      <c r="F44" s="24">
        <f t="shared" si="7"/>
        <v>0</v>
      </c>
      <c r="G44" s="24">
        <f t="shared" si="7"/>
        <v>0</v>
      </c>
      <c r="H44" s="24">
        <f t="shared" si="7"/>
        <v>0</v>
      </c>
      <c r="I44" s="24">
        <f t="shared" si="7"/>
        <v>0</v>
      </c>
      <c r="J44" s="24">
        <f t="shared" si="7"/>
        <v>0</v>
      </c>
      <c r="K44" s="24">
        <f t="shared" si="7"/>
        <v>0</v>
      </c>
      <c r="L44" s="24">
        <f t="shared" si="7"/>
        <v>0</v>
      </c>
      <c r="M44" s="24">
        <f t="shared" si="7"/>
        <v>0</v>
      </c>
      <c r="N44" s="24">
        <f t="shared" si="7"/>
        <v>0</v>
      </c>
      <c r="O44" s="24">
        <f t="shared" si="7"/>
        <v>0</v>
      </c>
      <c r="P44" s="24">
        <f t="shared" si="7"/>
        <v>0</v>
      </c>
      <c r="Q44" s="24">
        <f t="shared" si="7"/>
        <v>0</v>
      </c>
      <c r="R44" s="24">
        <f t="shared" si="7"/>
        <v>0</v>
      </c>
      <c r="S44" s="24">
        <f t="shared" si="7"/>
        <v>0</v>
      </c>
      <c r="T44" s="24">
        <f t="shared" si="7"/>
        <v>0</v>
      </c>
      <c r="U44" s="24">
        <f t="shared" si="7"/>
        <v>0</v>
      </c>
      <c r="V44" s="24">
        <f t="shared" si="7"/>
        <v>0</v>
      </c>
      <c r="W44" s="24">
        <f t="shared" si="7"/>
        <v>0</v>
      </c>
      <c r="X44" s="24">
        <f t="shared" si="7"/>
        <v>0</v>
      </c>
      <c r="Y44" s="24">
        <f t="shared" si="7"/>
        <v>0</v>
      </c>
      <c r="Z44" s="24">
        <f t="shared" si="7"/>
        <v>0</v>
      </c>
      <c r="AA44" s="24">
        <f t="shared" si="7"/>
        <v>0</v>
      </c>
      <c r="AB44" s="24">
        <f t="shared" si="7"/>
        <v>0</v>
      </c>
      <c r="AC44" s="24">
        <f t="shared" si="7"/>
        <v>0</v>
      </c>
      <c r="AD44" s="24">
        <f t="shared" si="7"/>
        <v>0</v>
      </c>
      <c r="AE44" s="24">
        <f t="shared" si="7"/>
        <v>0</v>
      </c>
      <c r="AF44" s="24">
        <f t="shared" si="7"/>
        <v>0</v>
      </c>
      <c r="AG44" s="24">
        <f t="shared" si="7"/>
        <v>0</v>
      </c>
      <c r="AH44" s="24">
        <f t="shared" si="7"/>
        <v>350</v>
      </c>
      <c r="AI44" s="24">
        <f t="shared" si="7"/>
        <v>0</v>
      </c>
      <c r="AJ44" s="24">
        <f t="shared" si="7"/>
        <v>0</v>
      </c>
      <c r="AK44" s="24">
        <f t="shared" si="7"/>
        <v>0</v>
      </c>
      <c r="AL44" s="24">
        <f t="shared" si="7"/>
        <v>0</v>
      </c>
      <c r="AM44" s="24">
        <f t="shared" si="7"/>
        <v>0</v>
      </c>
      <c r="AN44" s="24">
        <f t="shared" si="7"/>
        <v>0</v>
      </c>
      <c r="AO44" s="24">
        <f t="shared" si="7"/>
        <v>0</v>
      </c>
      <c r="AP44" s="24">
        <f t="shared" si="7"/>
        <v>0</v>
      </c>
      <c r="AQ44" s="24">
        <f t="shared" si="7"/>
        <v>0</v>
      </c>
      <c r="AR44" s="24">
        <f t="shared" si="7"/>
        <v>0</v>
      </c>
      <c r="AS44" s="24">
        <f t="shared" si="7"/>
        <v>0</v>
      </c>
      <c r="AT44" s="24">
        <f t="shared" si="7"/>
        <v>0</v>
      </c>
      <c r="AU44" s="24">
        <f t="shared" si="7"/>
        <v>0</v>
      </c>
      <c r="AV44" s="24">
        <f t="shared" si="7"/>
        <v>0</v>
      </c>
      <c r="AW44" s="24">
        <f t="shared" si="7"/>
        <v>0</v>
      </c>
      <c r="AX44" s="24">
        <f t="shared" si="7"/>
        <v>0</v>
      </c>
      <c r="AY44" s="24">
        <f t="shared" si="7"/>
        <v>0</v>
      </c>
      <c r="AZ44" s="24">
        <f t="shared" si="7"/>
        <v>0</v>
      </c>
      <c r="BA44" s="24">
        <f t="shared" si="7"/>
        <v>0</v>
      </c>
      <c r="BB44" s="24">
        <f t="shared" si="7"/>
        <v>0</v>
      </c>
      <c r="BC44" s="24">
        <f t="shared" si="7"/>
        <v>0</v>
      </c>
      <c r="BD44" s="24">
        <f t="shared" si="7"/>
        <v>0</v>
      </c>
      <c r="BE44" s="24">
        <f t="shared" si="7"/>
        <v>0</v>
      </c>
      <c r="BF44" s="24">
        <f t="shared" si="7"/>
        <v>0</v>
      </c>
      <c r="BG44" s="24">
        <f t="shared" si="7"/>
        <v>0</v>
      </c>
      <c r="BH44" s="24">
        <f t="shared" si="7"/>
        <v>0</v>
      </c>
      <c r="BI44" s="24">
        <f t="shared" si="7"/>
        <v>0</v>
      </c>
      <c r="BJ44" s="24">
        <f t="shared" si="7"/>
        <v>0</v>
      </c>
      <c r="BK44" s="24">
        <f t="shared" si="7"/>
        <v>0</v>
      </c>
      <c r="BL44" s="24">
        <f t="shared" si="7"/>
        <v>0</v>
      </c>
      <c r="BM44" s="24">
        <f t="shared" si="7"/>
        <v>0</v>
      </c>
    </row>
    <row r="45" spans="4:65" x14ac:dyDescent="0.3">
      <c r="D45" s="6" t="s">
        <v>58</v>
      </c>
      <c r="E45" s="25"/>
      <c r="F45" s="24">
        <f t="shared" si="7"/>
        <v>0</v>
      </c>
      <c r="G45" s="24">
        <f t="shared" si="7"/>
        <v>0</v>
      </c>
      <c r="H45" s="24">
        <f t="shared" si="7"/>
        <v>0</v>
      </c>
      <c r="I45" s="24">
        <f t="shared" si="7"/>
        <v>0</v>
      </c>
      <c r="J45" s="24">
        <f t="shared" si="7"/>
        <v>0</v>
      </c>
      <c r="K45" s="24">
        <f t="shared" si="7"/>
        <v>0</v>
      </c>
      <c r="L45" s="24">
        <f t="shared" si="7"/>
        <v>0</v>
      </c>
      <c r="M45" s="24">
        <f t="shared" si="7"/>
        <v>0</v>
      </c>
      <c r="N45" s="24">
        <f t="shared" si="7"/>
        <v>0</v>
      </c>
      <c r="O45" s="24">
        <f t="shared" si="7"/>
        <v>0</v>
      </c>
      <c r="P45" s="24">
        <f t="shared" si="7"/>
        <v>0</v>
      </c>
      <c r="Q45" s="24">
        <f t="shared" si="7"/>
        <v>0</v>
      </c>
      <c r="R45" s="24">
        <f t="shared" si="7"/>
        <v>0</v>
      </c>
      <c r="S45" s="24">
        <f t="shared" si="7"/>
        <v>0</v>
      </c>
      <c r="T45" s="24">
        <f t="shared" si="7"/>
        <v>0</v>
      </c>
      <c r="U45" s="24">
        <f t="shared" si="7"/>
        <v>0</v>
      </c>
      <c r="V45" s="24">
        <f t="shared" si="7"/>
        <v>0</v>
      </c>
      <c r="W45" s="24">
        <f t="shared" si="7"/>
        <v>0</v>
      </c>
      <c r="X45" s="24">
        <f t="shared" si="7"/>
        <v>0</v>
      </c>
      <c r="Y45" s="24">
        <f t="shared" si="7"/>
        <v>0</v>
      </c>
      <c r="Z45" s="24">
        <f t="shared" si="7"/>
        <v>0</v>
      </c>
      <c r="AA45" s="24">
        <f t="shared" si="7"/>
        <v>0</v>
      </c>
      <c r="AB45" s="24">
        <f t="shared" si="7"/>
        <v>315</v>
      </c>
      <c r="AC45" s="24">
        <f t="shared" si="7"/>
        <v>0</v>
      </c>
      <c r="AD45" s="24">
        <f t="shared" si="7"/>
        <v>140</v>
      </c>
      <c r="AE45" s="24">
        <f t="shared" si="7"/>
        <v>0</v>
      </c>
      <c r="AF45" s="24">
        <f t="shared" si="7"/>
        <v>0</v>
      </c>
      <c r="AG45" s="24">
        <f t="shared" si="7"/>
        <v>0</v>
      </c>
      <c r="AH45" s="24">
        <f t="shared" si="7"/>
        <v>0</v>
      </c>
      <c r="AI45" s="24">
        <f t="shared" si="7"/>
        <v>0</v>
      </c>
      <c r="AJ45" s="24">
        <f t="shared" si="7"/>
        <v>0</v>
      </c>
      <c r="AK45" s="24">
        <f t="shared" si="7"/>
        <v>0</v>
      </c>
      <c r="AL45" s="24">
        <f t="shared" si="7"/>
        <v>0</v>
      </c>
      <c r="AM45" s="24">
        <f t="shared" si="7"/>
        <v>0</v>
      </c>
      <c r="AN45" s="24">
        <f t="shared" si="7"/>
        <v>0</v>
      </c>
      <c r="AO45" s="24">
        <f t="shared" si="7"/>
        <v>0</v>
      </c>
      <c r="AP45" s="24">
        <f t="shared" si="7"/>
        <v>0</v>
      </c>
      <c r="AQ45" s="24">
        <f t="shared" si="7"/>
        <v>0</v>
      </c>
      <c r="AR45" s="24">
        <f t="shared" si="7"/>
        <v>0</v>
      </c>
      <c r="AS45" s="24">
        <f t="shared" si="7"/>
        <v>0</v>
      </c>
      <c r="AT45" s="24">
        <f t="shared" si="7"/>
        <v>0</v>
      </c>
      <c r="AU45" s="24">
        <f t="shared" si="7"/>
        <v>0</v>
      </c>
      <c r="AV45" s="24">
        <f t="shared" si="7"/>
        <v>0</v>
      </c>
      <c r="AW45" s="24">
        <f t="shared" si="7"/>
        <v>0</v>
      </c>
      <c r="AX45" s="24">
        <f t="shared" si="7"/>
        <v>0</v>
      </c>
      <c r="AY45" s="24">
        <f t="shared" si="7"/>
        <v>0</v>
      </c>
      <c r="AZ45" s="24">
        <f t="shared" si="7"/>
        <v>0</v>
      </c>
      <c r="BA45" s="24">
        <f t="shared" si="7"/>
        <v>0</v>
      </c>
      <c r="BB45" s="24">
        <f t="shared" si="7"/>
        <v>0</v>
      </c>
      <c r="BC45" s="24">
        <f t="shared" si="7"/>
        <v>0</v>
      </c>
      <c r="BD45" s="24">
        <f t="shared" si="7"/>
        <v>0</v>
      </c>
      <c r="BE45" s="24">
        <f t="shared" si="7"/>
        <v>0</v>
      </c>
      <c r="BF45" s="24">
        <f t="shared" si="7"/>
        <v>0</v>
      </c>
      <c r="BG45" s="24">
        <f t="shared" si="7"/>
        <v>0</v>
      </c>
      <c r="BH45" s="24">
        <f t="shared" si="7"/>
        <v>0</v>
      </c>
      <c r="BI45" s="24">
        <f t="shared" si="7"/>
        <v>0</v>
      </c>
      <c r="BJ45" s="24">
        <f t="shared" si="7"/>
        <v>0</v>
      </c>
      <c r="BK45" s="24">
        <f t="shared" si="7"/>
        <v>0</v>
      </c>
      <c r="BL45" s="24">
        <f t="shared" si="7"/>
        <v>0</v>
      </c>
      <c r="BM45" s="24">
        <f t="shared" si="7"/>
        <v>0</v>
      </c>
    </row>
    <row r="46" spans="4:65" x14ac:dyDescent="0.3">
      <c r="D46" s="23" t="s">
        <v>60</v>
      </c>
      <c r="E46" s="25"/>
      <c r="F46" s="24">
        <f t="shared" si="7"/>
        <v>0</v>
      </c>
      <c r="G46" s="24">
        <f t="shared" si="7"/>
        <v>0</v>
      </c>
      <c r="H46" s="24">
        <f t="shared" si="7"/>
        <v>0</v>
      </c>
      <c r="I46" s="24">
        <f t="shared" si="7"/>
        <v>0</v>
      </c>
      <c r="J46" s="24">
        <f t="shared" si="7"/>
        <v>0</v>
      </c>
      <c r="K46" s="24">
        <f t="shared" si="7"/>
        <v>0</v>
      </c>
      <c r="L46" s="24">
        <f t="shared" si="7"/>
        <v>0</v>
      </c>
      <c r="M46" s="24">
        <f t="shared" si="7"/>
        <v>0</v>
      </c>
      <c r="N46" s="24">
        <f t="shared" si="7"/>
        <v>0</v>
      </c>
      <c r="O46" s="24">
        <f t="shared" si="7"/>
        <v>0</v>
      </c>
      <c r="P46" s="24">
        <f t="shared" si="7"/>
        <v>0</v>
      </c>
      <c r="Q46" s="24">
        <f t="shared" si="7"/>
        <v>0</v>
      </c>
      <c r="R46" s="24">
        <f t="shared" si="7"/>
        <v>0</v>
      </c>
      <c r="S46" s="24">
        <f t="shared" si="7"/>
        <v>0</v>
      </c>
      <c r="T46" s="24">
        <f t="shared" si="7"/>
        <v>0</v>
      </c>
      <c r="U46" s="24">
        <f t="shared" ref="U46:BM47" si="8">U22*35</f>
        <v>0</v>
      </c>
      <c r="V46" s="24">
        <f t="shared" si="8"/>
        <v>0</v>
      </c>
      <c r="W46" s="24">
        <f t="shared" si="8"/>
        <v>0</v>
      </c>
      <c r="X46" s="24">
        <f t="shared" si="8"/>
        <v>0</v>
      </c>
      <c r="Y46" s="24">
        <f t="shared" si="8"/>
        <v>0</v>
      </c>
      <c r="Z46" s="24">
        <f t="shared" si="8"/>
        <v>0</v>
      </c>
      <c r="AA46" s="24">
        <f t="shared" si="8"/>
        <v>0</v>
      </c>
      <c r="AB46" s="24">
        <f t="shared" si="8"/>
        <v>350</v>
      </c>
      <c r="AC46" s="24">
        <f t="shared" si="8"/>
        <v>0</v>
      </c>
      <c r="AD46" s="24">
        <f t="shared" si="8"/>
        <v>0</v>
      </c>
      <c r="AE46" s="24">
        <f t="shared" si="8"/>
        <v>0</v>
      </c>
      <c r="AF46" s="24">
        <f t="shared" si="8"/>
        <v>0</v>
      </c>
      <c r="AG46" s="24">
        <f t="shared" si="8"/>
        <v>0</v>
      </c>
      <c r="AH46" s="24">
        <f t="shared" si="8"/>
        <v>0</v>
      </c>
      <c r="AI46" s="24">
        <f t="shared" si="8"/>
        <v>0</v>
      </c>
      <c r="AJ46" s="24">
        <f t="shared" si="8"/>
        <v>0</v>
      </c>
      <c r="AK46" s="24">
        <f t="shared" si="8"/>
        <v>0</v>
      </c>
      <c r="AL46" s="24">
        <f t="shared" si="8"/>
        <v>0</v>
      </c>
      <c r="AM46" s="24">
        <f t="shared" si="8"/>
        <v>0</v>
      </c>
      <c r="AN46" s="24">
        <f t="shared" si="8"/>
        <v>0</v>
      </c>
      <c r="AO46" s="24">
        <f t="shared" si="8"/>
        <v>0</v>
      </c>
      <c r="AP46" s="24">
        <f t="shared" si="8"/>
        <v>0</v>
      </c>
      <c r="AQ46" s="24">
        <f t="shared" si="8"/>
        <v>0</v>
      </c>
      <c r="AR46" s="24">
        <f t="shared" si="8"/>
        <v>0</v>
      </c>
      <c r="AS46" s="24">
        <f t="shared" si="8"/>
        <v>0</v>
      </c>
      <c r="AT46" s="24">
        <f t="shared" si="8"/>
        <v>0</v>
      </c>
      <c r="AU46" s="24">
        <f t="shared" si="8"/>
        <v>0</v>
      </c>
      <c r="AV46" s="24">
        <f t="shared" si="8"/>
        <v>0</v>
      </c>
      <c r="AW46" s="24">
        <f t="shared" si="8"/>
        <v>0</v>
      </c>
      <c r="AX46" s="24">
        <f t="shared" si="8"/>
        <v>0</v>
      </c>
      <c r="AY46" s="24">
        <f t="shared" si="8"/>
        <v>0</v>
      </c>
      <c r="AZ46" s="24">
        <f t="shared" si="8"/>
        <v>0</v>
      </c>
      <c r="BA46" s="24">
        <f t="shared" si="8"/>
        <v>0</v>
      </c>
      <c r="BB46" s="24">
        <f t="shared" si="8"/>
        <v>0</v>
      </c>
      <c r="BC46" s="24">
        <f t="shared" si="8"/>
        <v>0</v>
      </c>
      <c r="BD46" s="24">
        <f t="shared" si="8"/>
        <v>0</v>
      </c>
      <c r="BE46" s="24">
        <f t="shared" si="8"/>
        <v>0</v>
      </c>
      <c r="BF46" s="24">
        <f t="shared" si="8"/>
        <v>0</v>
      </c>
      <c r="BG46" s="24">
        <f t="shared" si="8"/>
        <v>0</v>
      </c>
      <c r="BH46" s="24">
        <f t="shared" si="8"/>
        <v>0</v>
      </c>
      <c r="BI46" s="24">
        <f t="shared" si="8"/>
        <v>0</v>
      </c>
      <c r="BJ46" s="24">
        <f t="shared" si="8"/>
        <v>0</v>
      </c>
      <c r="BK46" s="24">
        <f t="shared" si="8"/>
        <v>0</v>
      </c>
      <c r="BL46" s="24">
        <f t="shared" si="8"/>
        <v>0</v>
      </c>
      <c r="BM46" s="24">
        <f t="shared" si="8"/>
        <v>0</v>
      </c>
    </row>
    <row r="47" spans="4:65" x14ac:dyDescent="0.3">
      <c r="D47" s="23" t="s">
        <v>64</v>
      </c>
      <c r="E47" s="25"/>
      <c r="F47" s="24">
        <f t="shared" ref="F47:AK47" si="9">F23*35</f>
        <v>0</v>
      </c>
      <c r="G47" s="24">
        <f t="shared" si="9"/>
        <v>0</v>
      </c>
      <c r="H47" s="24">
        <f t="shared" si="9"/>
        <v>0</v>
      </c>
      <c r="I47" s="24">
        <f t="shared" si="9"/>
        <v>0</v>
      </c>
      <c r="J47" s="24">
        <f t="shared" si="9"/>
        <v>0</v>
      </c>
      <c r="K47" s="24">
        <f t="shared" si="9"/>
        <v>0</v>
      </c>
      <c r="L47" s="24">
        <f t="shared" si="9"/>
        <v>0</v>
      </c>
      <c r="M47" s="24">
        <f t="shared" si="9"/>
        <v>0</v>
      </c>
      <c r="N47" s="24">
        <f t="shared" si="9"/>
        <v>0</v>
      </c>
      <c r="O47" s="24">
        <f t="shared" si="9"/>
        <v>0</v>
      </c>
      <c r="P47" s="24">
        <f t="shared" si="9"/>
        <v>0</v>
      </c>
      <c r="Q47" s="24">
        <f t="shared" si="9"/>
        <v>0</v>
      </c>
      <c r="R47" s="24">
        <f t="shared" si="9"/>
        <v>0</v>
      </c>
      <c r="S47" s="24">
        <f t="shared" si="9"/>
        <v>0</v>
      </c>
      <c r="T47" s="24">
        <f t="shared" si="9"/>
        <v>0</v>
      </c>
      <c r="U47" s="24">
        <f t="shared" si="9"/>
        <v>0</v>
      </c>
      <c r="V47" s="24">
        <f t="shared" si="9"/>
        <v>0</v>
      </c>
      <c r="W47" s="24">
        <f t="shared" si="9"/>
        <v>0</v>
      </c>
      <c r="X47" s="24">
        <f t="shared" si="9"/>
        <v>0</v>
      </c>
      <c r="Y47" s="24">
        <f t="shared" si="9"/>
        <v>0</v>
      </c>
      <c r="Z47" s="24">
        <f t="shared" si="9"/>
        <v>0</v>
      </c>
      <c r="AA47" s="24">
        <f t="shared" si="9"/>
        <v>0</v>
      </c>
      <c r="AB47" s="24">
        <f t="shared" si="9"/>
        <v>385</v>
      </c>
      <c r="AC47" s="24">
        <f t="shared" si="9"/>
        <v>0</v>
      </c>
      <c r="AD47" s="24">
        <f t="shared" si="9"/>
        <v>0</v>
      </c>
      <c r="AE47" s="24">
        <f t="shared" si="9"/>
        <v>0</v>
      </c>
      <c r="AF47" s="24">
        <f t="shared" si="9"/>
        <v>0</v>
      </c>
      <c r="AG47" s="24">
        <f t="shared" si="9"/>
        <v>0</v>
      </c>
      <c r="AH47" s="24">
        <f t="shared" si="9"/>
        <v>0</v>
      </c>
      <c r="AI47" s="24">
        <f t="shared" si="9"/>
        <v>0</v>
      </c>
      <c r="AJ47" s="24">
        <f t="shared" si="9"/>
        <v>0</v>
      </c>
      <c r="AK47" s="24">
        <f t="shared" si="9"/>
        <v>0</v>
      </c>
      <c r="AL47" s="24">
        <f t="shared" si="8"/>
        <v>0</v>
      </c>
      <c r="AM47" s="24">
        <f t="shared" si="8"/>
        <v>0</v>
      </c>
      <c r="AN47" s="24">
        <f t="shared" si="8"/>
        <v>0</v>
      </c>
      <c r="AO47" s="24">
        <f t="shared" si="8"/>
        <v>0</v>
      </c>
      <c r="AP47" s="24">
        <f t="shared" si="8"/>
        <v>0</v>
      </c>
      <c r="AQ47" s="24">
        <f t="shared" si="8"/>
        <v>0</v>
      </c>
      <c r="AR47" s="24">
        <f t="shared" si="8"/>
        <v>0</v>
      </c>
      <c r="AS47" s="24">
        <f t="shared" si="8"/>
        <v>0</v>
      </c>
      <c r="AT47" s="24">
        <f t="shared" si="8"/>
        <v>0</v>
      </c>
      <c r="AU47" s="24">
        <f t="shared" si="8"/>
        <v>0</v>
      </c>
      <c r="AV47" s="24">
        <f t="shared" si="8"/>
        <v>0</v>
      </c>
      <c r="AW47" s="24">
        <f t="shared" si="8"/>
        <v>0</v>
      </c>
      <c r="AX47" s="24">
        <f t="shared" si="8"/>
        <v>0</v>
      </c>
      <c r="AY47" s="24">
        <f t="shared" si="8"/>
        <v>0</v>
      </c>
      <c r="AZ47" s="24">
        <f t="shared" si="8"/>
        <v>0</v>
      </c>
      <c r="BA47" s="24">
        <f t="shared" si="8"/>
        <v>0</v>
      </c>
      <c r="BB47" s="24">
        <f t="shared" si="8"/>
        <v>0</v>
      </c>
      <c r="BC47" s="24">
        <f t="shared" si="8"/>
        <v>0</v>
      </c>
      <c r="BD47" s="24">
        <f t="shared" si="8"/>
        <v>0</v>
      </c>
      <c r="BE47" s="24">
        <f t="shared" si="8"/>
        <v>0</v>
      </c>
      <c r="BF47" s="24">
        <f t="shared" si="8"/>
        <v>0</v>
      </c>
      <c r="BG47" s="24">
        <f t="shared" si="8"/>
        <v>0</v>
      </c>
      <c r="BH47" s="24">
        <f t="shared" si="8"/>
        <v>0</v>
      </c>
      <c r="BI47" s="24">
        <f t="shared" si="8"/>
        <v>0</v>
      </c>
      <c r="BJ47" s="24">
        <f t="shared" si="8"/>
        <v>0</v>
      </c>
      <c r="BK47" s="24">
        <f t="shared" si="8"/>
        <v>0</v>
      </c>
      <c r="BL47" s="24">
        <f t="shared" si="8"/>
        <v>0</v>
      </c>
      <c r="BM47" s="24">
        <f t="shared" si="8"/>
        <v>0</v>
      </c>
    </row>
    <row r="48" spans="4:65" x14ac:dyDescent="0.3">
      <c r="D48" s="23" t="s">
        <v>69</v>
      </c>
      <c r="E48" s="25"/>
      <c r="F48" s="24">
        <f t="shared" ref="F48:BM48" si="10">F24*45</f>
        <v>0</v>
      </c>
      <c r="G48" s="24">
        <f t="shared" si="10"/>
        <v>0</v>
      </c>
      <c r="H48" s="24">
        <f t="shared" si="10"/>
        <v>0</v>
      </c>
      <c r="I48" s="24">
        <f t="shared" si="10"/>
        <v>0</v>
      </c>
      <c r="J48" s="24">
        <f t="shared" si="10"/>
        <v>0</v>
      </c>
      <c r="K48" s="24">
        <f t="shared" si="10"/>
        <v>0</v>
      </c>
      <c r="L48" s="24">
        <f t="shared" si="10"/>
        <v>0</v>
      </c>
      <c r="M48" s="24">
        <f t="shared" si="10"/>
        <v>0</v>
      </c>
      <c r="N48" s="24">
        <f t="shared" si="10"/>
        <v>0</v>
      </c>
      <c r="O48" s="24">
        <f t="shared" si="10"/>
        <v>0</v>
      </c>
      <c r="P48" s="24">
        <f t="shared" si="10"/>
        <v>0</v>
      </c>
      <c r="Q48" s="24">
        <f t="shared" si="10"/>
        <v>0</v>
      </c>
      <c r="R48" s="24">
        <f t="shared" si="10"/>
        <v>0</v>
      </c>
      <c r="S48" s="24">
        <f t="shared" si="10"/>
        <v>0</v>
      </c>
      <c r="T48" s="24">
        <f t="shared" si="10"/>
        <v>0</v>
      </c>
      <c r="U48" s="24">
        <f t="shared" si="10"/>
        <v>0</v>
      </c>
      <c r="V48" s="24">
        <f t="shared" si="10"/>
        <v>0</v>
      </c>
      <c r="W48" s="24">
        <f t="shared" si="10"/>
        <v>0</v>
      </c>
      <c r="X48" s="24">
        <f t="shared" si="10"/>
        <v>0</v>
      </c>
      <c r="Y48" s="24">
        <f t="shared" si="10"/>
        <v>0</v>
      </c>
      <c r="Z48" s="24">
        <f t="shared" si="10"/>
        <v>0</v>
      </c>
      <c r="AA48" s="24">
        <f t="shared" si="10"/>
        <v>0</v>
      </c>
      <c r="AB48" s="24">
        <f t="shared" si="10"/>
        <v>270</v>
      </c>
      <c r="AC48" s="24">
        <f t="shared" si="10"/>
        <v>0</v>
      </c>
      <c r="AD48" s="24">
        <f t="shared" si="10"/>
        <v>0</v>
      </c>
      <c r="AE48" s="24">
        <f t="shared" si="10"/>
        <v>0</v>
      </c>
      <c r="AF48" s="24">
        <f t="shared" si="10"/>
        <v>0</v>
      </c>
      <c r="AG48" s="24">
        <f t="shared" si="10"/>
        <v>0</v>
      </c>
      <c r="AH48" s="24">
        <f t="shared" si="10"/>
        <v>0</v>
      </c>
      <c r="AI48" s="24">
        <f t="shared" si="10"/>
        <v>0</v>
      </c>
      <c r="AJ48" s="24">
        <f t="shared" si="10"/>
        <v>0</v>
      </c>
      <c r="AK48" s="24">
        <f t="shared" si="10"/>
        <v>0</v>
      </c>
      <c r="AL48" s="24">
        <f t="shared" si="10"/>
        <v>0</v>
      </c>
      <c r="AM48" s="24">
        <f t="shared" si="10"/>
        <v>0</v>
      </c>
      <c r="AN48" s="24">
        <f t="shared" si="10"/>
        <v>0</v>
      </c>
      <c r="AO48" s="24">
        <f t="shared" si="10"/>
        <v>0</v>
      </c>
      <c r="AP48" s="24">
        <f t="shared" si="10"/>
        <v>0</v>
      </c>
      <c r="AQ48" s="24">
        <f t="shared" si="10"/>
        <v>0</v>
      </c>
      <c r="AR48" s="24">
        <f t="shared" si="10"/>
        <v>0</v>
      </c>
      <c r="AS48" s="24">
        <f t="shared" si="10"/>
        <v>0</v>
      </c>
      <c r="AT48" s="24">
        <f t="shared" si="10"/>
        <v>0</v>
      </c>
      <c r="AU48" s="24">
        <f t="shared" si="10"/>
        <v>0</v>
      </c>
      <c r="AV48" s="24">
        <f t="shared" si="10"/>
        <v>0</v>
      </c>
      <c r="AW48" s="24">
        <f t="shared" si="10"/>
        <v>0</v>
      </c>
      <c r="AX48" s="24">
        <f t="shared" si="10"/>
        <v>0</v>
      </c>
      <c r="AY48" s="24">
        <f t="shared" si="10"/>
        <v>0</v>
      </c>
      <c r="AZ48" s="24">
        <f t="shared" si="10"/>
        <v>0</v>
      </c>
      <c r="BA48" s="24">
        <f t="shared" si="10"/>
        <v>0</v>
      </c>
      <c r="BB48" s="24">
        <f t="shared" si="10"/>
        <v>0</v>
      </c>
      <c r="BC48" s="24">
        <f t="shared" si="10"/>
        <v>0</v>
      </c>
      <c r="BD48" s="24">
        <f t="shared" si="10"/>
        <v>0</v>
      </c>
      <c r="BE48" s="24">
        <f t="shared" si="10"/>
        <v>0</v>
      </c>
      <c r="BF48" s="24">
        <f t="shared" si="10"/>
        <v>0</v>
      </c>
      <c r="BG48" s="24">
        <f t="shared" si="10"/>
        <v>0</v>
      </c>
      <c r="BH48" s="24">
        <f t="shared" si="10"/>
        <v>0</v>
      </c>
      <c r="BI48" s="24">
        <f t="shared" si="10"/>
        <v>0</v>
      </c>
      <c r="BJ48" s="24">
        <f t="shared" si="10"/>
        <v>0</v>
      </c>
      <c r="BK48" s="24">
        <f t="shared" si="10"/>
        <v>0</v>
      </c>
      <c r="BL48" s="24">
        <f t="shared" si="10"/>
        <v>0</v>
      </c>
      <c r="BM48" s="24">
        <f t="shared" si="10"/>
        <v>0</v>
      </c>
    </row>
    <row r="49" spans="1:69" x14ac:dyDescent="0.3">
      <c r="D49" s="23" t="s">
        <v>67</v>
      </c>
      <c r="E49" s="25"/>
      <c r="F49" s="24">
        <f t="shared" ref="F49:BM50" si="11">F25*35</f>
        <v>0</v>
      </c>
      <c r="G49" s="24">
        <f t="shared" si="11"/>
        <v>0</v>
      </c>
      <c r="H49" s="24">
        <f t="shared" si="11"/>
        <v>0</v>
      </c>
      <c r="I49" s="24">
        <f t="shared" si="11"/>
        <v>0</v>
      </c>
      <c r="J49" s="24">
        <f t="shared" si="11"/>
        <v>0</v>
      </c>
      <c r="K49" s="24">
        <f t="shared" si="11"/>
        <v>0</v>
      </c>
      <c r="L49" s="24">
        <f t="shared" si="11"/>
        <v>0</v>
      </c>
      <c r="M49" s="24">
        <f t="shared" si="11"/>
        <v>0</v>
      </c>
      <c r="N49" s="24">
        <f t="shared" si="11"/>
        <v>0</v>
      </c>
      <c r="O49" s="24">
        <f t="shared" si="11"/>
        <v>0</v>
      </c>
      <c r="P49" s="24">
        <f t="shared" si="11"/>
        <v>0</v>
      </c>
      <c r="Q49" s="24">
        <f t="shared" si="11"/>
        <v>0</v>
      </c>
      <c r="R49" s="24">
        <f t="shared" si="11"/>
        <v>0</v>
      </c>
      <c r="S49" s="24">
        <f t="shared" si="11"/>
        <v>0</v>
      </c>
      <c r="T49" s="24">
        <f t="shared" si="11"/>
        <v>0</v>
      </c>
      <c r="U49" s="24">
        <f t="shared" si="11"/>
        <v>0</v>
      </c>
      <c r="V49" s="24">
        <f t="shared" si="11"/>
        <v>0</v>
      </c>
      <c r="W49" s="24">
        <f t="shared" si="11"/>
        <v>0</v>
      </c>
      <c r="X49" s="24">
        <f t="shared" si="11"/>
        <v>0</v>
      </c>
      <c r="Y49" s="24">
        <f t="shared" si="11"/>
        <v>0</v>
      </c>
      <c r="Z49" s="24">
        <f t="shared" si="11"/>
        <v>0</v>
      </c>
      <c r="AA49" s="24">
        <f t="shared" si="11"/>
        <v>0</v>
      </c>
      <c r="AB49" s="24">
        <f t="shared" si="11"/>
        <v>0</v>
      </c>
      <c r="AC49" s="24">
        <f t="shared" si="11"/>
        <v>0</v>
      </c>
      <c r="AD49" s="24">
        <f t="shared" si="11"/>
        <v>350</v>
      </c>
      <c r="AE49" s="24">
        <f t="shared" si="11"/>
        <v>0</v>
      </c>
      <c r="AF49" s="24">
        <f t="shared" si="11"/>
        <v>0</v>
      </c>
      <c r="AG49" s="24">
        <f t="shared" si="11"/>
        <v>0</v>
      </c>
      <c r="AH49" s="24">
        <f t="shared" si="11"/>
        <v>0</v>
      </c>
      <c r="AI49" s="24">
        <f t="shared" si="11"/>
        <v>0</v>
      </c>
      <c r="AJ49" s="24">
        <f t="shared" si="11"/>
        <v>0</v>
      </c>
      <c r="AK49" s="24">
        <f t="shared" si="11"/>
        <v>0</v>
      </c>
      <c r="AL49" s="24">
        <f t="shared" si="11"/>
        <v>0</v>
      </c>
      <c r="AM49" s="24">
        <f t="shared" si="11"/>
        <v>0</v>
      </c>
      <c r="AN49" s="24">
        <f t="shared" si="11"/>
        <v>0</v>
      </c>
      <c r="AO49" s="24">
        <f t="shared" si="11"/>
        <v>0</v>
      </c>
      <c r="AP49" s="24">
        <f t="shared" si="11"/>
        <v>0</v>
      </c>
      <c r="AQ49" s="24">
        <f t="shared" si="11"/>
        <v>0</v>
      </c>
      <c r="AR49" s="24">
        <f t="shared" si="11"/>
        <v>0</v>
      </c>
      <c r="AS49" s="24">
        <f t="shared" si="11"/>
        <v>0</v>
      </c>
      <c r="AT49" s="24">
        <f t="shared" si="11"/>
        <v>0</v>
      </c>
      <c r="AU49" s="24">
        <f t="shared" si="11"/>
        <v>0</v>
      </c>
      <c r="AV49" s="24">
        <f t="shared" si="11"/>
        <v>0</v>
      </c>
      <c r="AW49" s="24">
        <f t="shared" si="11"/>
        <v>0</v>
      </c>
      <c r="AX49" s="24">
        <f t="shared" si="11"/>
        <v>0</v>
      </c>
      <c r="AY49" s="24">
        <f t="shared" si="11"/>
        <v>0</v>
      </c>
      <c r="AZ49" s="24">
        <f t="shared" si="11"/>
        <v>0</v>
      </c>
      <c r="BA49" s="24">
        <f t="shared" si="11"/>
        <v>0</v>
      </c>
      <c r="BB49" s="24">
        <f t="shared" si="11"/>
        <v>0</v>
      </c>
      <c r="BC49" s="24">
        <f t="shared" si="11"/>
        <v>0</v>
      </c>
      <c r="BD49" s="24">
        <f t="shared" si="11"/>
        <v>0</v>
      </c>
      <c r="BE49" s="24">
        <f t="shared" si="11"/>
        <v>0</v>
      </c>
      <c r="BF49" s="24">
        <f t="shared" si="11"/>
        <v>0</v>
      </c>
      <c r="BG49" s="24">
        <f t="shared" si="11"/>
        <v>0</v>
      </c>
      <c r="BH49" s="24">
        <f t="shared" si="11"/>
        <v>0</v>
      </c>
      <c r="BI49" s="24">
        <f t="shared" si="11"/>
        <v>0</v>
      </c>
      <c r="BJ49" s="24">
        <f t="shared" si="11"/>
        <v>0</v>
      </c>
      <c r="BK49" s="24">
        <f t="shared" si="11"/>
        <v>0</v>
      </c>
      <c r="BL49" s="24">
        <f t="shared" si="11"/>
        <v>0</v>
      </c>
      <c r="BM49" s="24">
        <f t="shared" si="11"/>
        <v>0</v>
      </c>
    </row>
    <row r="50" spans="1:69" x14ac:dyDescent="0.3">
      <c r="D50" s="23" t="s">
        <v>72</v>
      </c>
      <c r="E50" s="25"/>
      <c r="F50" s="24">
        <f>F26*35</f>
        <v>0</v>
      </c>
      <c r="G50" s="24">
        <f t="shared" si="11"/>
        <v>0</v>
      </c>
      <c r="H50" s="24">
        <f t="shared" si="11"/>
        <v>0</v>
      </c>
      <c r="I50" s="24">
        <f t="shared" si="11"/>
        <v>0</v>
      </c>
      <c r="J50" s="24">
        <f t="shared" si="11"/>
        <v>0</v>
      </c>
      <c r="K50" s="24">
        <f t="shared" si="11"/>
        <v>0</v>
      </c>
      <c r="L50" s="24">
        <f t="shared" si="11"/>
        <v>0</v>
      </c>
      <c r="M50" s="24">
        <f t="shared" si="11"/>
        <v>0</v>
      </c>
      <c r="N50" s="24">
        <f t="shared" si="11"/>
        <v>0</v>
      </c>
      <c r="O50" s="24">
        <f t="shared" si="11"/>
        <v>0</v>
      </c>
      <c r="P50" s="24">
        <f t="shared" si="11"/>
        <v>0</v>
      </c>
      <c r="Q50" s="24">
        <f t="shared" si="11"/>
        <v>0</v>
      </c>
      <c r="R50" s="24">
        <f t="shared" si="11"/>
        <v>0</v>
      </c>
      <c r="S50" s="24">
        <f t="shared" si="11"/>
        <v>0</v>
      </c>
      <c r="T50" s="24">
        <f t="shared" si="11"/>
        <v>0</v>
      </c>
      <c r="U50" s="24">
        <f t="shared" si="11"/>
        <v>0</v>
      </c>
      <c r="V50" s="24">
        <f t="shared" si="11"/>
        <v>0</v>
      </c>
      <c r="W50" s="24">
        <f t="shared" si="11"/>
        <v>0</v>
      </c>
      <c r="X50" s="24">
        <f t="shared" si="11"/>
        <v>0</v>
      </c>
      <c r="Y50" s="24">
        <f t="shared" si="11"/>
        <v>0</v>
      </c>
      <c r="Z50" s="24">
        <f t="shared" si="11"/>
        <v>0</v>
      </c>
      <c r="AA50" s="24">
        <f t="shared" si="11"/>
        <v>0</v>
      </c>
      <c r="AB50" s="24">
        <f t="shared" si="11"/>
        <v>420</v>
      </c>
      <c r="AC50" s="24">
        <f t="shared" si="11"/>
        <v>0</v>
      </c>
      <c r="AD50" s="24">
        <f t="shared" si="11"/>
        <v>0</v>
      </c>
      <c r="AE50" s="24">
        <f t="shared" si="11"/>
        <v>0</v>
      </c>
      <c r="AF50" s="24">
        <f t="shared" si="11"/>
        <v>0</v>
      </c>
      <c r="AG50" s="24">
        <f t="shared" si="11"/>
        <v>0</v>
      </c>
      <c r="AH50" s="24">
        <f t="shared" si="11"/>
        <v>0</v>
      </c>
      <c r="AI50" s="24">
        <f t="shared" si="11"/>
        <v>0</v>
      </c>
      <c r="AJ50" s="24">
        <f t="shared" si="11"/>
        <v>0</v>
      </c>
      <c r="AK50" s="24">
        <f t="shared" si="11"/>
        <v>0</v>
      </c>
      <c r="AL50" s="24">
        <f t="shared" si="11"/>
        <v>0</v>
      </c>
      <c r="AM50" s="24">
        <f t="shared" si="11"/>
        <v>0</v>
      </c>
      <c r="AN50" s="24">
        <f t="shared" si="11"/>
        <v>0</v>
      </c>
      <c r="AO50" s="24">
        <f t="shared" si="11"/>
        <v>0</v>
      </c>
      <c r="AP50" s="24">
        <f t="shared" si="11"/>
        <v>0</v>
      </c>
      <c r="AQ50" s="24">
        <f t="shared" si="11"/>
        <v>0</v>
      </c>
      <c r="AR50" s="24">
        <f t="shared" si="11"/>
        <v>0</v>
      </c>
      <c r="AS50" s="24">
        <f t="shared" si="11"/>
        <v>0</v>
      </c>
      <c r="AT50" s="24">
        <f t="shared" si="11"/>
        <v>0</v>
      </c>
      <c r="AU50" s="24">
        <f t="shared" si="11"/>
        <v>0</v>
      </c>
      <c r="AV50" s="24">
        <f t="shared" si="11"/>
        <v>0</v>
      </c>
      <c r="AW50" s="24">
        <f t="shared" si="11"/>
        <v>0</v>
      </c>
      <c r="AX50" s="24">
        <f t="shared" si="11"/>
        <v>0</v>
      </c>
      <c r="AY50" s="24">
        <f t="shared" si="11"/>
        <v>0</v>
      </c>
      <c r="AZ50" s="24">
        <f t="shared" si="11"/>
        <v>0</v>
      </c>
      <c r="BA50" s="24">
        <f t="shared" si="11"/>
        <v>0</v>
      </c>
      <c r="BB50" s="24">
        <f t="shared" si="11"/>
        <v>0</v>
      </c>
      <c r="BC50" s="24">
        <f t="shared" si="11"/>
        <v>0</v>
      </c>
      <c r="BD50" s="24">
        <f t="shared" si="11"/>
        <v>0</v>
      </c>
      <c r="BE50" s="24">
        <f t="shared" si="11"/>
        <v>0</v>
      </c>
      <c r="BF50" s="24">
        <f t="shared" si="11"/>
        <v>0</v>
      </c>
      <c r="BG50" s="24">
        <f t="shared" si="11"/>
        <v>0</v>
      </c>
      <c r="BH50" s="24">
        <f t="shared" si="11"/>
        <v>0</v>
      </c>
      <c r="BI50" s="24">
        <f t="shared" si="11"/>
        <v>0</v>
      </c>
      <c r="BJ50" s="24">
        <f t="shared" si="11"/>
        <v>0</v>
      </c>
      <c r="BK50" s="24">
        <f t="shared" si="11"/>
        <v>0</v>
      </c>
      <c r="BL50" s="24">
        <f t="shared" si="11"/>
        <v>0</v>
      </c>
      <c r="BM50" s="24">
        <f t="shared" si="11"/>
        <v>0</v>
      </c>
    </row>
    <row r="51" spans="1:69" x14ac:dyDescent="0.3">
      <c r="D51" s="23" t="s">
        <v>78</v>
      </c>
      <c r="E51" s="25"/>
      <c r="F51" s="24">
        <f t="shared" ref="F51:BM51" si="12">F27*15</f>
        <v>0</v>
      </c>
      <c r="G51" s="24">
        <f t="shared" si="12"/>
        <v>0</v>
      </c>
      <c r="H51" s="24">
        <f t="shared" si="12"/>
        <v>0</v>
      </c>
      <c r="I51" s="24">
        <f t="shared" si="12"/>
        <v>0</v>
      </c>
      <c r="J51" s="24">
        <f t="shared" si="12"/>
        <v>0</v>
      </c>
      <c r="K51" s="24">
        <f t="shared" si="12"/>
        <v>0</v>
      </c>
      <c r="L51" s="24">
        <f t="shared" si="12"/>
        <v>0</v>
      </c>
      <c r="M51" s="24">
        <f t="shared" si="12"/>
        <v>0</v>
      </c>
      <c r="N51" s="24">
        <f t="shared" si="12"/>
        <v>0</v>
      </c>
      <c r="O51" s="24">
        <f t="shared" si="12"/>
        <v>0</v>
      </c>
      <c r="P51" s="24">
        <f t="shared" si="12"/>
        <v>0</v>
      </c>
      <c r="Q51" s="24">
        <f t="shared" si="12"/>
        <v>0</v>
      </c>
      <c r="R51" s="24">
        <f t="shared" si="12"/>
        <v>0</v>
      </c>
      <c r="S51" s="24">
        <f t="shared" si="12"/>
        <v>0</v>
      </c>
      <c r="T51" s="24">
        <f t="shared" si="12"/>
        <v>255</v>
      </c>
      <c r="U51" s="24">
        <f t="shared" si="12"/>
        <v>0</v>
      </c>
      <c r="V51" s="24">
        <f t="shared" si="12"/>
        <v>0</v>
      </c>
      <c r="W51" s="24">
        <f t="shared" si="12"/>
        <v>0</v>
      </c>
      <c r="X51" s="24">
        <f t="shared" si="12"/>
        <v>0</v>
      </c>
      <c r="Y51" s="24">
        <f t="shared" si="12"/>
        <v>0</v>
      </c>
      <c r="Z51" s="24">
        <f t="shared" si="12"/>
        <v>0</v>
      </c>
      <c r="AA51" s="24">
        <f t="shared" si="12"/>
        <v>0</v>
      </c>
      <c r="AB51" s="24">
        <f t="shared" si="12"/>
        <v>0</v>
      </c>
      <c r="AC51" s="24">
        <f t="shared" si="12"/>
        <v>0</v>
      </c>
      <c r="AD51" s="24">
        <f t="shared" si="12"/>
        <v>45</v>
      </c>
      <c r="AE51" s="24">
        <f t="shared" si="12"/>
        <v>0</v>
      </c>
      <c r="AF51" s="24">
        <f t="shared" si="12"/>
        <v>0</v>
      </c>
      <c r="AG51" s="24">
        <f t="shared" si="12"/>
        <v>0</v>
      </c>
      <c r="AH51" s="24">
        <f t="shared" si="12"/>
        <v>0</v>
      </c>
      <c r="AI51" s="24">
        <f t="shared" si="12"/>
        <v>0</v>
      </c>
      <c r="AJ51" s="24">
        <f t="shared" si="12"/>
        <v>0</v>
      </c>
      <c r="AK51" s="24">
        <f t="shared" si="12"/>
        <v>0</v>
      </c>
      <c r="AL51" s="24">
        <f t="shared" si="12"/>
        <v>0</v>
      </c>
      <c r="AM51" s="24">
        <f t="shared" si="12"/>
        <v>0</v>
      </c>
      <c r="AN51" s="24">
        <f t="shared" si="12"/>
        <v>0</v>
      </c>
      <c r="AO51" s="24">
        <f t="shared" si="12"/>
        <v>0</v>
      </c>
      <c r="AP51" s="24">
        <f t="shared" si="12"/>
        <v>0</v>
      </c>
      <c r="AQ51" s="24">
        <f t="shared" si="12"/>
        <v>0</v>
      </c>
      <c r="AR51" s="24">
        <f t="shared" si="12"/>
        <v>0</v>
      </c>
      <c r="AS51" s="24">
        <f t="shared" si="12"/>
        <v>0</v>
      </c>
      <c r="AT51" s="24">
        <f t="shared" si="12"/>
        <v>0</v>
      </c>
      <c r="AU51" s="24">
        <f t="shared" si="12"/>
        <v>0</v>
      </c>
      <c r="AV51" s="24">
        <f t="shared" si="12"/>
        <v>0</v>
      </c>
      <c r="AW51" s="24">
        <f t="shared" si="12"/>
        <v>0</v>
      </c>
      <c r="AX51" s="24">
        <f t="shared" si="12"/>
        <v>0</v>
      </c>
      <c r="AY51" s="24">
        <f t="shared" si="12"/>
        <v>0</v>
      </c>
      <c r="AZ51" s="24">
        <f t="shared" si="12"/>
        <v>0</v>
      </c>
      <c r="BA51" s="24">
        <f t="shared" si="12"/>
        <v>0</v>
      </c>
      <c r="BB51" s="24">
        <f t="shared" si="12"/>
        <v>0</v>
      </c>
      <c r="BC51" s="24">
        <f t="shared" si="12"/>
        <v>0</v>
      </c>
      <c r="BD51" s="24">
        <f t="shared" si="12"/>
        <v>0</v>
      </c>
      <c r="BE51" s="24">
        <f t="shared" si="12"/>
        <v>0</v>
      </c>
      <c r="BF51" s="24">
        <f t="shared" si="12"/>
        <v>0</v>
      </c>
      <c r="BG51" s="24">
        <f t="shared" si="12"/>
        <v>0</v>
      </c>
      <c r="BH51" s="24">
        <f t="shared" si="12"/>
        <v>0</v>
      </c>
      <c r="BI51" s="24">
        <f t="shared" si="12"/>
        <v>0</v>
      </c>
      <c r="BJ51" s="24">
        <f t="shared" si="12"/>
        <v>0</v>
      </c>
      <c r="BK51" s="24">
        <f t="shared" si="12"/>
        <v>0</v>
      </c>
      <c r="BL51" s="24">
        <f t="shared" si="12"/>
        <v>0</v>
      </c>
      <c r="BM51" s="24">
        <f t="shared" si="12"/>
        <v>0</v>
      </c>
      <c r="BP51" s="24"/>
      <c r="BQ51" s="24"/>
    </row>
    <row r="52" spans="1:69" x14ac:dyDescent="0.3">
      <c r="D52" s="26"/>
      <c r="E52" s="26" t="s">
        <v>73</v>
      </c>
      <c r="F52" s="27">
        <f>SUM(F30:F51)</f>
        <v>0</v>
      </c>
      <c r="G52" s="27">
        <f>SUM(G30:G51)</f>
        <v>0</v>
      </c>
      <c r="H52" s="27">
        <f>SUM(H30:H51)</f>
        <v>0</v>
      </c>
      <c r="I52" s="27">
        <f t="shared" ref="I52:BM52" si="13">SUM(I30:I51)</f>
        <v>0</v>
      </c>
      <c r="J52" s="27">
        <f t="shared" si="13"/>
        <v>0</v>
      </c>
      <c r="K52" s="27">
        <f t="shared" si="13"/>
        <v>0</v>
      </c>
      <c r="L52" s="27">
        <f t="shared" si="13"/>
        <v>0</v>
      </c>
      <c r="M52" s="27">
        <f t="shared" si="13"/>
        <v>0</v>
      </c>
      <c r="N52" s="27">
        <f t="shared" si="13"/>
        <v>0</v>
      </c>
      <c r="O52" s="27">
        <f t="shared" si="13"/>
        <v>0</v>
      </c>
      <c r="P52" s="27">
        <f t="shared" si="13"/>
        <v>0</v>
      </c>
      <c r="Q52" s="27">
        <f t="shared" si="13"/>
        <v>0</v>
      </c>
      <c r="R52" s="27">
        <f t="shared" si="13"/>
        <v>765</v>
      </c>
      <c r="S52" s="27">
        <f t="shared" si="13"/>
        <v>0</v>
      </c>
      <c r="T52" s="27">
        <f t="shared" si="13"/>
        <v>915</v>
      </c>
      <c r="U52" s="27">
        <f t="shared" si="13"/>
        <v>0</v>
      </c>
      <c r="V52" s="27">
        <f t="shared" si="13"/>
        <v>1465</v>
      </c>
      <c r="W52" s="27">
        <f t="shared" si="13"/>
        <v>0</v>
      </c>
      <c r="X52" s="27">
        <f t="shared" si="13"/>
        <v>0</v>
      </c>
      <c r="Y52" s="27">
        <f t="shared" si="13"/>
        <v>0</v>
      </c>
      <c r="Z52" s="27">
        <f t="shared" si="13"/>
        <v>0</v>
      </c>
      <c r="AA52" s="27">
        <f t="shared" si="13"/>
        <v>0</v>
      </c>
      <c r="AB52" s="27">
        <f t="shared" si="13"/>
        <v>2250</v>
      </c>
      <c r="AC52" s="27">
        <f t="shared" si="13"/>
        <v>0</v>
      </c>
      <c r="AD52" s="27">
        <f t="shared" si="13"/>
        <v>1990</v>
      </c>
      <c r="AE52" s="27">
        <f t="shared" si="13"/>
        <v>0</v>
      </c>
      <c r="AF52" s="27">
        <f t="shared" si="13"/>
        <v>0</v>
      </c>
      <c r="AG52" s="27">
        <f t="shared" si="13"/>
        <v>0</v>
      </c>
      <c r="AH52" s="27">
        <f t="shared" si="13"/>
        <v>350</v>
      </c>
      <c r="AI52" s="27">
        <f t="shared" si="13"/>
        <v>0</v>
      </c>
      <c r="AJ52" s="27">
        <f t="shared" si="13"/>
        <v>0</v>
      </c>
      <c r="AK52" s="27">
        <f t="shared" si="13"/>
        <v>0</v>
      </c>
      <c r="AL52" s="27">
        <f t="shared" si="13"/>
        <v>0</v>
      </c>
      <c r="AM52" s="27">
        <f t="shared" si="13"/>
        <v>0</v>
      </c>
      <c r="AN52" s="27">
        <f t="shared" si="13"/>
        <v>0</v>
      </c>
      <c r="AO52" s="27">
        <f t="shared" si="13"/>
        <v>0</v>
      </c>
      <c r="AP52" s="27">
        <f t="shared" si="13"/>
        <v>0</v>
      </c>
      <c r="AQ52" s="27">
        <f t="shared" si="13"/>
        <v>0</v>
      </c>
      <c r="AR52" s="27">
        <f t="shared" si="13"/>
        <v>0</v>
      </c>
      <c r="AS52" s="27">
        <f t="shared" si="13"/>
        <v>0</v>
      </c>
      <c r="AT52" s="27">
        <f t="shared" si="13"/>
        <v>0</v>
      </c>
      <c r="AU52" s="27">
        <f t="shared" si="13"/>
        <v>0</v>
      </c>
      <c r="AV52" s="27">
        <f t="shared" si="13"/>
        <v>0</v>
      </c>
      <c r="AW52" s="27">
        <f t="shared" si="13"/>
        <v>0</v>
      </c>
      <c r="AX52" s="27">
        <f t="shared" si="13"/>
        <v>0</v>
      </c>
      <c r="AY52" s="27">
        <f t="shared" si="13"/>
        <v>0</v>
      </c>
      <c r="AZ52" s="27">
        <f t="shared" si="13"/>
        <v>0</v>
      </c>
      <c r="BA52" s="27">
        <f t="shared" si="13"/>
        <v>0</v>
      </c>
      <c r="BB52" s="27">
        <f t="shared" si="13"/>
        <v>0</v>
      </c>
      <c r="BC52" s="27">
        <f t="shared" si="13"/>
        <v>0</v>
      </c>
      <c r="BD52" s="27">
        <f t="shared" si="13"/>
        <v>980</v>
      </c>
      <c r="BE52" s="27">
        <f t="shared" si="13"/>
        <v>0</v>
      </c>
      <c r="BF52" s="27">
        <f t="shared" si="13"/>
        <v>660</v>
      </c>
      <c r="BG52" s="27">
        <f t="shared" si="13"/>
        <v>0</v>
      </c>
      <c r="BH52" s="27">
        <f t="shared" si="13"/>
        <v>915</v>
      </c>
      <c r="BI52" s="27">
        <f t="shared" si="13"/>
        <v>0</v>
      </c>
      <c r="BJ52" s="27">
        <f t="shared" si="13"/>
        <v>840</v>
      </c>
      <c r="BK52" s="27">
        <f t="shared" si="13"/>
        <v>0</v>
      </c>
      <c r="BL52" s="27">
        <f t="shared" si="13"/>
        <v>1015</v>
      </c>
      <c r="BM52" s="27">
        <f t="shared" si="13"/>
        <v>0</v>
      </c>
      <c r="BN52" s="24">
        <f>SUM(F52:BM52)</f>
        <v>12145</v>
      </c>
    </row>
    <row r="54" spans="1:69" x14ac:dyDescent="0.3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1:69" x14ac:dyDescent="0.3">
      <c r="F55" s="8" t="s">
        <v>8</v>
      </c>
      <c r="G55" s="8" t="s">
        <v>11</v>
      </c>
      <c r="H55" s="8" t="s">
        <v>12</v>
      </c>
      <c r="I55" s="8">
        <v>42</v>
      </c>
      <c r="J55" s="8"/>
      <c r="AR55" s="29"/>
      <c r="AS55" s="29"/>
      <c r="AT55" s="29"/>
    </row>
    <row r="56" spans="1:69" x14ac:dyDescent="0.3">
      <c r="F56" s="8" t="s">
        <v>13</v>
      </c>
      <c r="G56" s="8" t="s">
        <v>16</v>
      </c>
      <c r="H56" s="8" t="s">
        <v>12</v>
      </c>
      <c r="I56" s="8">
        <v>48</v>
      </c>
      <c r="J56" s="8"/>
    </row>
    <row r="57" spans="1:69" x14ac:dyDescent="0.3">
      <c r="F57" s="8" t="s">
        <v>17</v>
      </c>
      <c r="G57" s="8" t="s">
        <v>20</v>
      </c>
      <c r="H57" s="8" t="s">
        <v>12</v>
      </c>
      <c r="I57" s="8">
        <v>44</v>
      </c>
      <c r="J57" s="8"/>
    </row>
    <row r="58" spans="1:69" x14ac:dyDescent="0.3">
      <c r="A58" s="22"/>
      <c r="B58" s="22"/>
      <c r="C58" s="22"/>
      <c r="D58" s="22"/>
      <c r="F58" s="8" t="s">
        <v>21</v>
      </c>
      <c r="G58" s="8" t="s">
        <v>24</v>
      </c>
      <c r="H58" s="8" t="s">
        <v>25</v>
      </c>
      <c r="I58" s="30">
        <v>34</v>
      </c>
      <c r="J58" s="8"/>
    </row>
    <row r="59" spans="1:69" x14ac:dyDescent="0.3">
      <c r="F59" s="8" t="s">
        <v>26</v>
      </c>
      <c r="G59" s="8" t="s">
        <v>29</v>
      </c>
      <c r="H59" s="8" t="s">
        <v>12</v>
      </c>
      <c r="I59" s="8">
        <v>31</v>
      </c>
      <c r="J59" s="8"/>
    </row>
    <row r="60" spans="1:69" x14ac:dyDescent="0.3">
      <c r="F60" s="8" t="s">
        <v>30</v>
      </c>
      <c r="G60" s="8" t="s">
        <v>32</v>
      </c>
      <c r="H60" s="8" t="s">
        <v>25</v>
      </c>
      <c r="I60" s="8">
        <v>37</v>
      </c>
      <c r="J60" s="8"/>
    </row>
    <row r="61" spans="1:69" x14ac:dyDescent="0.3">
      <c r="F61" s="8" t="s">
        <v>33</v>
      </c>
      <c r="G61" s="8" t="s">
        <v>75</v>
      </c>
      <c r="H61" s="8" t="s">
        <v>35</v>
      </c>
      <c r="I61" s="8">
        <v>22</v>
      </c>
      <c r="J61" s="8"/>
    </row>
    <row r="62" spans="1:69" x14ac:dyDescent="0.3">
      <c r="F62" s="8" t="s">
        <v>36</v>
      </c>
      <c r="G62" s="8" t="s">
        <v>38</v>
      </c>
      <c r="H62" s="8" t="s">
        <v>35</v>
      </c>
      <c r="I62" s="8">
        <v>21</v>
      </c>
      <c r="J62" s="8"/>
    </row>
    <row r="63" spans="1:69" x14ac:dyDescent="0.3">
      <c r="F63" s="8" t="s">
        <v>39</v>
      </c>
      <c r="G63" s="8" t="s">
        <v>41</v>
      </c>
      <c r="H63" s="8" t="s">
        <v>42</v>
      </c>
      <c r="I63" s="8">
        <v>31</v>
      </c>
      <c r="J63" s="8"/>
    </row>
    <row r="64" spans="1:69" x14ac:dyDescent="0.3">
      <c r="F64" s="8" t="s">
        <v>43</v>
      </c>
      <c r="G64" s="8" t="s">
        <v>45</v>
      </c>
      <c r="H64" s="8" t="s">
        <v>45</v>
      </c>
      <c r="I64" s="8">
        <v>12</v>
      </c>
      <c r="J64" s="8"/>
    </row>
    <row r="65" spans="3:10" x14ac:dyDescent="0.3">
      <c r="F65" s="8" t="s">
        <v>46</v>
      </c>
      <c r="G65" s="8" t="s">
        <v>47</v>
      </c>
      <c r="H65" s="8" t="s">
        <v>48</v>
      </c>
      <c r="I65" s="8">
        <v>10</v>
      </c>
      <c r="J65" s="8"/>
    </row>
    <row r="66" spans="3:10" x14ac:dyDescent="0.3">
      <c r="F66" s="8" t="s">
        <v>49</v>
      </c>
      <c r="G66" s="8" t="s">
        <v>50</v>
      </c>
      <c r="H66" s="8" t="s">
        <v>50</v>
      </c>
      <c r="I66" s="8">
        <v>28</v>
      </c>
      <c r="J66" s="8"/>
    </row>
    <row r="67" spans="3:10" x14ac:dyDescent="0.3">
      <c r="F67" s="16" t="s">
        <v>51</v>
      </c>
      <c r="G67" s="16" t="s">
        <v>52</v>
      </c>
      <c r="H67" s="16" t="s">
        <v>52</v>
      </c>
      <c r="I67" s="8">
        <v>26</v>
      </c>
      <c r="J67" s="8"/>
    </row>
    <row r="68" spans="3:10" x14ac:dyDescent="0.3">
      <c r="F68" s="16" t="s">
        <v>53</v>
      </c>
      <c r="G68" s="16" t="s">
        <v>54</v>
      </c>
      <c r="H68" s="16" t="s">
        <v>54</v>
      </c>
      <c r="I68" s="8">
        <v>11</v>
      </c>
      <c r="J68" s="8"/>
    </row>
    <row r="69" spans="3:10" x14ac:dyDescent="0.3">
      <c r="F69" s="16" t="s">
        <v>55</v>
      </c>
      <c r="G69" s="16" t="s">
        <v>56</v>
      </c>
      <c r="H69" s="16" t="s">
        <v>56</v>
      </c>
      <c r="I69" s="8">
        <v>10</v>
      </c>
      <c r="J69" s="8"/>
    </row>
    <row r="70" spans="3:10" x14ac:dyDescent="0.3">
      <c r="F70" s="16" t="s">
        <v>57</v>
      </c>
      <c r="G70" s="16" t="s">
        <v>58</v>
      </c>
      <c r="H70" s="16" t="s">
        <v>58</v>
      </c>
      <c r="I70" s="8">
        <v>13</v>
      </c>
      <c r="J70" s="8"/>
    </row>
    <row r="71" spans="3:10" x14ac:dyDescent="0.3">
      <c r="F71" s="16" t="s">
        <v>59</v>
      </c>
      <c r="G71" s="16" t="s">
        <v>60</v>
      </c>
      <c r="H71" s="16" t="s">
        <v>60</v>
      </c>
      <c r="I71" s="31">
        <v>10</v>
      </c>
      <c r="J71" s="8"/>
    </row>
    <row r="72" spans="3:10" x14ac:dyDescent="0.3">
      <c r="F72" s="16" t="s">
        <v>61</v>
      </c>
      <c r="G72" s="16" t="s">
        <v>76</v>
      </c>
      <c r="H72" s="16" t="s">
        <v>64</v>
      </c>
      <c r="I72" s="31">
        <v>11</v>
      </c>
      <c r="J72" s="8"/>
    </row>
    <row r="73" spans="3:10" x14ac:dyDescent="0.3">
      <c r="F73" s="16" t="s">
        <v>65</v>
      </c>
      <c r="G73" s="16" t="s">
        <v>69</v>
      </c>
      <c r="H73" s="16" t="s">
        <v>69</v>
      </c>
      <c r="I73" s="8">
        <v>6</v>
      </c>
      <c r="J73" s="8"/>
    </row>
    <row r="74" spans="3:10" x14ac:dyDescent="0.3">
      <c r="F74" s="16" t="s">
        <v>68</v>
      </c>
      <c r="G74" s="16" t="s">
        <v>67</v>
      </c>
      <c r="H74" s="16" t="s">
        <v>67</v>
      </c>
      <c r="I74" s="8">
        <v>10</v>
      </c>
      <c r="J74" s="8"/>
    </row>
    <row r="75" spans="3:10" x14ac:dyDescent="0.3">
      <c r="F75" s="16" t="s">
        <v>70</v>
      </c>
      <c r="G75" s="16" t="s">
        <v>72</v>
      </c>
      <c r="H75" s="16" t="s">
        <v>72</v>
      </c>
      <c r="I75" s="8">
        <v>12</v>
      </c>
      <c r="J75" s="8"/>
    </row>
    <row r="76" spans="3:10" x14ac:dyDescent="0.3">
      <c r="F76" s="16" t="s">
        <v>78</v>
      </c>
      <c r="G76" s="16" t="s">
        <v>12</v>
      </c>
      <c r="H76" s="16" t="s">
        <v>12</v>
      </c>
      <c r="I76" s="8">
        <v>20</v>
      </c>
      <c r="J76" s="8"/>
    </row>
    <row r="77" spans="3:10" x14ac:dyDescent="0.3">
      <c r="F77" s="32"/>
      <c r="G77" s="33" t="s">
        <v>77</v>
      </c>
      <c r="H77" s="34"/>
      <c r="I77" s="60">
        <f>12145*117.4148</f>
        <v>1426002.746</v>
      </c>
      <c r="J77" s="60"/>
    </row>
    <row r="79" spans="3:10" x14ac:dyDescent="0.3">
      <c r="C79" t="s">
        <v>80</v>
      </c>
    </row>
  </sheetData>
  <mergeCells count="37">
    <mergeCell ref="A3:B3"/>
    <mergeCell ref="F4:G4"/>
    <mergeCell ref="H4:I4"/>
    <mergeCell ref="J4:K4"/>
    <mergeCell ref="L4:M4"/>
    <mergeCell ref="D33:E33"/>
    <mergeCell ref="I77:J77"/>
    <mergeCell ref="AZ4:BA4"/>
    <mergeCell ref="BB4:BC4"/>
    <mergeCell ref="BD4:BE4"/>
    <mergeCell ref="AN4:AO4"/>
    <mergeCell ref="AP4:AQ4"/>
    <mergeCell ref="AR4:AS4"/>
    <mergeCell ref="AT4:AU4"/>
    <mergeCell ref="AV4:AW4"/>
    <mergeCell ref="AX4:AY4"/>
    <mergeCell ref="AB4:AC4"/>
    <mergeCell ref="AD4:AE4"/>
    <mergeCell ref="AF4:AG4"/>
    <mergeCell ref="AH4:AI4"/>
    <mergeCell ref="AJ4:AK4"/>
    <mergeCell ref="BN4:BO4"/>
    <mergeCell ref="BL4:BM4"/>
    <mergeCell ref="D30:E30"/>
    <mergeCell ref="D31:E31"/>
    <mergeCell ref="D32:E32"/>
    <mergeCell ref="BF4:BG4"/>
    <mergeCell ref="BH4:BI4"/>
    <mergeCell ref="BJ4:BK4"/>
    <mergeCell ref="AL4:AM4"/>
    <mergeCell ref="P4:Q4"/>
    <mergeCell ref="R4:S4"/>
    <mergeCell ref="T4:U4"/>
    <mergeCell ref="V4:W4"/>
    <mergeCell ref="X4:Y4"/>
    <mergeCell ref="Z4:AA4"/>
    <mergeCell ref="N4:O4"/>
  </mergeCells>
  <hyperlinks>
    <hyperlink ref="C8" r:id="rId1" xr:uid="{582E3414-1BF2-46A6-B3CB-8D50AF76E415}"/>
    <hyperlink ref="C10" r:id="rId2" xr:uid="{953F9E51-66C7-4D24-A7DC-21DD060FA066}"/>
    <hyperlink ref="C15" r:id="rId3" xr:uid="{7D7B335C-6D1C-4F06-BFE2-9FE99BF23F1C}"/>
    <hyperlink ref="C7" r:id="rId4" xr:uid="{59ECE8B0-6915-4A55-AB3D-ACF295308F75}"/>
    <hyperlink ref="C13" r:id="rId5" xr:uid="{0561E5CD-1410-45A0-941F-EAA9296D9F9A}"/>
    <hyperlink ref="C23" r:id="rId6" display="mailto:bigcacak@madamecoco.com" xr:uid="{BEFBB5CE-F40A-4E3B-A626-6AEAC191D0A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084C4-D0E4-4158-855F-1043B823680D}">
  <dimension ref="A3:BQ79"/>
  <sheetViews>
    <sheetView topLeftCell="B1" workbookViewId="0">
      <selection activeCell="F11" sqref="F11"/>
    </sheetView>
  </sheetViews>
  <sheetFormatPr defaultRowHeight="14.4" x14ac:dyDescent="0.3"/>
  <cols>
    <col min="1" max="1" width="23.109375" customWidth="1"/>
    <col min="2" max="2" width="14.44140625" customWidth="1"/>
    <col min="3" max="3" width="31.6640625" customWidth="1"/>
    <col min="4" max="4" width="19.44140625" customWidth="1"/>
    <col min="5" max="5" width="17.6640625" customWidth="1"/>
    <col min="6" max="6" width="12.88671875" customWidth="1"/>
    <col min="7" max="7" width="17.88671875" customWidth="1"/>
    <col min="8" max="8" width="14.33203125" customWidth="1"/>
    <col min="9" max="9" width="11.33203125" customWidth="1"/>
    <col min="10" max="10" width="12.44140625" customWidth="1"/>
    <col min="12" max="12" width="13.88671875" customWidth="1"/>
    <col min="13" max="13" width="11.21875" customWidth="1"/>
    <col min="14" max="14" width="12.33203125" customWidth="1"/>
    <col min="15" max="15" width="14.44140625" customWidth="1"/>
    <col min="16" max="16" width="13.6640625" customWidth="1"/>
    <col min="17" max="17" width="12" customWidth="1"/>
    <col min="18" max="18" width="12.5546875" customWidth="1"/>
    <col min="20" max="20" width="11.6640625" customWidth="1"/>
    <col min="22" max="22" width="13.77734375" customWidth="1"/>
    <col min="23" max="23" width="12.5546875" customWidth="1"/>
    <col min="24" max="24" width="13.44140625" customWidth="1"/>
    <col min="26" max="26" width="12.33203125" customWidth="1"/>
    <col min="28" max="28" width="11.6640625" customWidth="1"/>
    <col min="30" max="30" width="12.33203125" customWidth="1"/>
    <col min="31" max="31" width="10.44140625" customWidth="1"/>
    <col min="32" max="32" width="13.88671875" customWidth="1"/>
    <col min="33" max="33" width="9.77734375" customWidth="1"/>
    <col min="34" max="34" width="10.33203125" customWidth="1"/>
    <col min="35" max="35" width="10.5546875" customWidth="1"/>
    <col min="36" max="36" width="11.109375" customWidth="1"/>
    <col min="37" max="37" width="10.33203125" customWidth="1"/>
    <col min="38" max="38" width="13.21875" customWidth="1"/>
    <col min="39" max="39" width="11.88671875" customWidth="1"/>
    <col min="40" max="40" width="12.109375" customWidth="1"/>
    <col min="42" max="42" width="13.88671875" customWidth="1"/>
    <col min="43" max="43" width="11.21875" customWidth="1"/>
    <col min="44" max="44" width="12.109375" customWidth="1"/>
    <col min="45" max="45" width="10.88671875" customWidth="1"/>
    <col min="46" max="46" width="12.21875" customWidth="1"/>
    <col min="47" max="47" width="10.5546875" customWidth="1"/>
    <col min="48" max="48" width="11.6640625" customWidth="1"/>
    <col min="49" max="49" width="14.77734375" customWidth="1"/>
    <col min="50" max="50" width="10.44140625" customWidth="1"/>
    <col min="51" max="51" width="11.5546875" customWidth="1"/>
    <col min="52" max="52" width="14.109375" customWidth="1"/>
    <col min="54" max="54" width="12" customWidth="1"/>
    <col min="56" max="56" width="13.6640625" customWidth="1"/>
    <col min="57" max="57" width="9.88671875" customWidth="1"/>
    <col min="58" max="58" width="12" customWidth="1"/>
    <col min="59" max="59" width="10.6640625" customWidth="1"/>
    <col min="60" max="60" width="12.6640625" customWidth="1"/>
    <col min="61" max="61" width="11.77734375" customWidth="1"/>
    <col min="62" max="62" width="12.6640625" customWidth="1"/>
    <col min="64" max="64" width="11.5546875" customWidth="1"/>
    <col min="65" max="65" width="11.44140625" customWidth="1"/>
    <col min="66" max="66" width="14.21875" customWidth="1"/>
    <col min="68" max="68" width="17.21875" customWidth="1"/>
    <col min="69" max="69" width="10.88671875" customWidth="1"/>
  </cols>
  <sheetData>
    <row r="3" spans="1:67" ht="18" x14ac:dyDescent="0.35">
      <c r="A3" s="61"/>
      <c r="B3" s="61"/>
      <c r="C3" s="1" t="s">
        <v>0</v>
      </c>
    </row>
    <row r="4" spans="1:67" x14ac:dyDescent="0.3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57">
        <v>46174</v>
      </c>
      <c r="G4" s="58"/>
      <c r="H4" s="57">
        <v>46175</v>
      </c>
      <c r="I4" s="58"/>
      <c r="J4" s="57">
        <v>46176</v>
      </c>
      <c r="K4" s="58"/>
      <c r="L4" s="57">
        <v>46177</v>
      </c>
      <c r="M4" s="58"/>
      <c r="N4" s="57">
        <v>46178</v>
      </c>
      <c r="O4" s="58"/>
      <c r="P4" s="57">
        <v>46179</v>
      </c>
      <c r="Q4" s="58"/>
      <c r="R4" s="57">
        <v>46180</v>
      </c>
      <c r="S4" s="58"/>
      <c r="T4" s="57">
        <v>46181</v>
      </c>
      <c r="U4" s="58"/>
      <c r="V4" s="57">
        <v>46182</v>
      </c>
      <c r="W4" s="58"/>
      <c r="X4" s="57">
        <v>46183</v>
      </c>
      <c r="Y4" s="58"/>
      <c r="Z4" s="57">
        <v>46184</v>
      </c>
      <c r="AA4" s="58"/>
      <c r="AB4" s="57">
        <v>46185</v>
      </c>
      <c r="AC4" s="58"/>
      <c r="AD4" s="57">
        <v>46186</v>
      </c>
      <c r="AE4" s="58"/>
      <c r="AF4" s="57">
        <v>46187</v>
      </c>
      <c r="AG4" s="58"/>
      <c r="AH4" s="57">
        <v>46188</v>
      </c>
      <c r="AI4" s="58"/>
      <c r="AJ4" s="57">
        <v>46189</v>
      </c>
      <c r="AK4" s="58"/>
      <c r="AL4" s="57">
        <v>46190</v>
      </c>
      <c r="AM4" s="58"/>
      <c r="AN4" s="57">
        <v>46191</v>
      </c>
      <c r="AO4" s="58"/>
      <c r="AP4" s="57">
        <v>46192</v>
      </c>
      <c r="AQ4" s="58"/>
      <c r="AR4" s="57">
        <v>46193</v>
      </c>
      <c r="AS4" s="58"/>
      <c r="AT4" s="57">
        <v>46194</v>
      </c>
      <c r="AU4" s="58"/>
      <c r="AV4" s="57">
        <v>46195</v>
      </c>
      <c r="AW4" s="58"/>
      <c r="AX4" s="57">
        <v>46196</v>
      </c>
      <c r="AY4" s="58"/>
      <c r="AZ4" s="57">
        <v>46197</v>
      </c>
      <c r="BA4" s="58"/>
      <c r="BB4" s="57">
        <v>46198</v>
      </c>
      <c r="BC4" s="58"/>
      <c r="BD4" s="57">
        <v>46199</v>
      </c>
      <c r="BE4" s="58"/>
      <c r="BF4" s="57">
        <v>46200</v>
      </c>
      <c r="BG4" s="58"/>
      <c r="BH4" s="57">
        <v>46201</v>
      </c>
      <c r="BI4" s="58"/>
      <c r="BJ4" s="57">
        <v>46202</v>
      </c>
      <c r="BK4" s="58"/>
      <c r="BL4" s="57">
        <v>46203</v>
      </c>
      <c r="BM4" s="58"/>
      <c r="BN4" s="57">
        <v>46204</v>
      </c>
      <c r="BO4" s="58"/>
    </row>
    <row r="5" spans="1:67" x14ac:dyDescent="0.3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4" t="s">
        <v>6</v>
      </c>
      <c r="K5" s="4" t="s">
        <v>7</v>
      </c>
      <c r="L5" s="47" t="s">
        <v>6</v>
      </c>
      <c r="M5" s="47" t="s">
        <v>7</v>
      </c>
      <c r="N5" s="47" t="s">
        <v>6</v>
      </c>
      <c r="O5" s="47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4" t="s">
        <v>6</v>
      </c>
      <c r="Y5" s="4" t="s">
        <v>7</v>
      </c>
      <c r="Z5" s="47" t="s">
        <v>6</v>
      </c>
      <c r="AA5" s="47" t="s">
        <v>7</v>
      </c>
      <c r="AB5" s="47" t="s">
        <v>6</v>
      </c>
      <c r="AC5" s="47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4" t="s">
        <v>6</v>
      </c>
      <c r="AM5" s="4" t="s">
        <v>7</v>
      </c>
      <c r="AN5" s="47" t="s">
        <v>6</v>
      </c>
      <c r="AO5" s="47" t="s">
        <v>7</v>
      </c>
      <c r="AP5" s="47" t="s">
        <v>6</v>
      </c>
      <c r="AQ5" s="47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4" t="s">
        <v>6</v>
      </c>
      <c r="BA5" s="4" t="s">
        <v>7</v>
      </c>
      <c r="BB5" s="47" t="s">
        <v>6</v>
      </c>
      <c r="BC5" s="47" t="s">
        <v>7</v>
      </c>
      <c r="BD5" s="47" t="s">
        <v>6</v>
      </c>
      <c r="BE5" s="47" t="s">
        <v>7</v>
      </c>
      <c r="BF5" s="5" t="s">
        <v>6</v>
      </c>
      <c r="BG5" s="5" t="s">
        <v>7</v>
      </c>
      <c r="BH5" s="5" t="s">
        <v>6</v>
      </c>
      <c r="BI5" s="5" t="s">
        <v>7</v>
      </c>
      <c r="BJ5" s="5" t="s">
        <v>6</v>
      </c>
      <c r="BK5" s="5" t="s">
        <v>7</v>
      </c>
      <c r="BL5" s="5" t="s">
        <v>7</v>
      </c>
      <c r="BM5" s="5" t="s">
        <v>7</v>
      </c>
      <c r="BN5" s="5" t="s">
        <v>7</v>
      </c>
      <c r="BO5" s="5" t="s">
        <v>7</v>
      </c>
    </row>
    <row r="6" spans="1:67" x14ac:dyDescent="0.3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46"/>
      <c r="BM6" s="46"/>
      <c r="BN6" s="46"/>
      <c r="BO6" s="46"/>
    </row>
    <row r="7" spans="1:67" x14ac:dyDescent="0.3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46"/>
      <c r="BM7" s="46"/>
      <c r="BN7" s="46"/>
      <c r="BO7" s="46"/>
    </row>
    <row r="8" spans="1:67" x14ac:dyDescent="0.3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46"/>
      <c r="BM8" s="46"/>
      <c r="BN8" s="46"/>
      <c r="BO8" s="46"/>
    </row>
    <row r="9" spans="1:67" x14ac:dyDescent="0.3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46"/>
      <c r="BM9" s="46"/>
      <c r="BN9" s="46"/>
      <c r="BO9" s="46"/>
    </row>
    <row r="10" spans="1:67" x14ac:dyDescent="0.3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9"/>
      <c r="G10" s="10"/>
      <c r="H10" s="10"/>
      <c r="I10" s="12"/>
      <c r="J10" s="10"/>
      <c r="K10" s="12"/>
      <c r="L10" s="10"/>
      <c r="M10" s="12"/>
      <c r="N10" s="10"/>
      <c r="O10" s="12"/>
      <c r="P10" s="10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46"/>
      <c r="BM10" s="46"/>
      <c r="BN10" s="46"/>
      <c r="BO10" s="46"/>
    </row>
    <row r="11" spans="1:67" ht="13.8" customHeight="1" x14ac:dyDescent="0.3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13"/>
      <c r="G11" s="10"/>
      <c r="H11" s="10"/>
      <c r="I11" s="12"/>
      <c r="J11" s="10"/>
      <c r="K11" s="12"/>
      <c r="L11" s="10"/>
      <c r="M11" s="12"/>
      <c r="N11" s="10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46"/>
      <c r="BM11" s="46"/>
      <c r="BN11" s="46"/>
      <c r="BO11" s="46"/>
    </row>
    <row r="12" spans="1:67" x14ac:dyDescent="0.3">
      <c r="A12" s="6" t="s">
        <v>33</v>
      </c>
      <c r="C12" s="11"/>
      <c r="D12" s="6" t="s">
        <v>34</v>
      </c>
      <c r="E12" s="8" t="s">
        <v>35</v>
      </c>
      <c r="F12" s="13"/>
      <c r="G12" s="10"/>
      <c r="H12" s="10"/>
      <c r="I12" s="12"/>
      <c r="J12" s="10"/>
      <c r="K12" s="12"/>
      <c r="L12" s="10"/>
      <c r="M12" s="12"/>
      <c r="N12" s="10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46"/>
      <c r="BM12" s="46"/>
      <c r="BN12" s="46"/>
      <c r="BO12" s="46"/>
    </row>
    <row r="13" spans="1:67" ht="15" customHeight="1" x14ac:dyDescent="0.3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9"/>
      <c r="G13" s="10"/>
      <c r="H13" s="10"/>
      <c r="I13" s="12"/>
      <c r="J13" s="10"/>
      <c r="K13" s="12"/>
      <c r="L13" s="10"/>
      <c r="M13" s="12"/>
      <c r="N13" s="10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46"/>
      <c r="BM13" s="46"/>
      <c r="BN13" s="46"/>
      <c r="BO13" s="46"/>
    </row>
    <row r="14" spans="1:67" x14ac:dyDescent="0.3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9"/>
      <c r="G14" s="10"/>
      <c r="H14" s="10"/>
      <c r="I14" s="12"/>
      <c r="J14" s="10"/>
      <c r="K14" s="12"/>
      <c r="L14" s="10"/>
      <c r="M14" s="12"/>
      <c r="N14" s="10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46"/>
      <c r="BM14" s="46"/>
      <c r="BN14" s="46"/>
      <c r="BO14" s="46"/>
    </row>
    <row r="15" spans="1:67" x14ac:dyDescent="0.3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13"/>
      <c r="G15" s="10"/>
      <c r="H15" s="14"/>
      <c r="I15" s="15"/>
      <c r="J15" s="14"/>
      <c r="K15" s="15"/>
      <c r="L15" s="14"/>
      <c r="M15" s="15"/>
      <c r="N15" s="14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46"/>
      <c r="BM15" s="46"/>
      <c r="BN15" s="46"/>
      <c r="BO15" s="46"/>
    </row>
    <row r="16" spans="1:67" x14ac:dyDescent="0.3">
      <c r="A16" s="6" t="s">
        <v>46</v>
      </c>
      <c r="B16" s="6"/>
      <c r="C16" s="11"/>
      <c r="D16" s="6" t="s">
        <v>47</v>
      </c>
      <c r="E16" s="8" t="s">
        <v>48</v>
      </c>
      <c r="F16" s="9"/>
      <c r="G16" s="10"/>
      <c r="H16" s="14"/>
      <c r="I16" s="15"/>
      <c r="J16" s="14"/>
      <c r="K16" s="15"/>
      <c r="L16" s="14"/>
      <c r="M16" s="15"/>
      <c r="N16" s="14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46"/>
      <c r="BM16" s="46"/>
      <c r="BN16" s="46"/>
      <c r="BO16" s="46"/>
    </row>
    <row r="17" spans="1:67" x14ac:dyDescent="0.3">
      <c r="A17" s="6" t="s">
        <v>49</v>
      </c>
      <c r="B17" s="6"/>
      <c r="C17" s="11"/>
      <c r="D17" s="6" t="s">
        <v>50</v>
      </c>
      <c r="E17" s="8" t="s">
        <v>50</v>
      </c>
      <c r="F17" s="9"/>
      <c r="G17" s="10"/>
      <c r="H17" s="14"/>
      <c r="I17" s="15"/>
      <c r="J17" s="14"/>
      <c r="K17" s="15"/>
      <c r="L17" s="14"/>
      <c r="M17" s="15"/>
      <c r="N17" s="14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46"/>
      <c r="BM17" s="46"/>
      <c r="BN17" s="46"/>
      <c r="BO17" s="46"/>
    </row>
    <row r="18" spans="1:67" x14ac:dyDescent="0.3">
      <c r="A18" s="6" t="s">
        <v>51</v>
      </c>
      <c r="B18" s="6"/>
      <c r="C18" s="11"/>
      <c r="D18" s="6" t="s">
        <v>52</v>
      </c>
      <c r="E18" s="16" t="s">
        <v>52</v>
      </c>
      <c r="F18" s="9"/>
      <c r="G18" s="10"/>
      <c r="H18" s="14"/>
      <c r="I18" s="15"/>
      <c r="J18" s="14"/>
      <c r="K18" s="15"/>
      <c r="L18" s="14"/>
      <c r="M18" s="15"/>
      <c r="N18" s="14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46"/>
      <c r="BM18" s="46"/>
      <c r="BN18" s="46"/>
      <c r="BO18" s="46"/>
    </row>
    <row r="19" spans="1:67" x14ac:dyDescent="0.3">
      <c r="A19" s="6" t="s">
        <v>53</v>
      </c>
      <c r="B19" s="6"/>
      <c r="C19" s="11"/>
      <c r="D19" s="6" t="s">
        <v>54</v>
      </c>
      <c r="E19" s="16" t="s">
        <v>54</v>
      </c>
      <c r="F19" s="9"/>
      <c r="G19" s="10"/>
      <c r="H19" s="14"/>
      <c r="I19" s="15"/>
      <c r="J19" s="14"/>
      <c r="K19" s="15"/>
      <c r="L19" s="14"/>
      <c r="M19" s="15"/>
      <c r="N19" s="14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46"/>
      <c r="BM19" s="46"/>
      <c r="BN19" s="46"/>
      <c r="BO19" s="46"/>
    </row>
    <row r="20" spans="1:67" x14ac:dyDescent="0.3">
      <c r="A20" s="6" t="s">
        <v>55</v>
      </c>
      <c r="B20" s="6"/>
      <c r="C20" s="11"/>
      <c r="D20" s="6" t="s">
        <v>56</v>
      </c>
      <c r="E20" s="16" t="s">
        <v>56</v>
      </c>
      <c r="F20" s="9"/>
      <c r="G20" s="10"/>
      <c r="H20" s="14"/>
      <c r="I20" s="15"/>
      <c r="J20" s="14"/>
      <c r="K20" s="15"/>
      <c r="L20" s="14"/>
      <c r="M20" s="15"/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46"/>
      <c r="BM20" s="46"/>
      <c r="BN20" s="46"/>
      <c r="BO20" s="46"/>
    </row>
    <row r="21" spans="1:67" x14ac:dyDescent="0.3">
      <c r="A21" s="6" t="s">
        <v>57</v>
      </c>
      <c r="B21" s="6"/>
      <c r="C21" s="11"/>
      <c r="D21" s="6" t="s">
        <v>58</v>
      </c>
      <c r="E21" s="16" t="s">
        <v>58</v>
      </c>
      <c r="F21" s="9"/>
      <c r="G21" s="10"/>
      <c r="H21" s="14"/>
      <c r="I21" s="15"/>
      <c r="J21" s="14"/>
      <c r="K21" s="15"/>
      <c r="L21" s="14"/>
      <c r="M21" s="15"/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46"/>
      <c r="BM21" s="46"/>
      <c r="BN21" s="46"/>
      <c r="BO21" s="46"/>
    </row>
    <row r="22" spans="1:67" x14ac:dyDescent="0.3">
      <c r="A22" s="17" t="s">
        <v>59</v>
      </c>
      <c r="C22" s="18"/>
      <c r="D22" s="17" t="s">
        <v>60</v>
      </c>
      <c r="E22" s="16" t="s">
        <v>60</v>
      </c>
      <c r="F22" s="9"/>
      <c r="G22" s="10"/>
      <c r="H22" s="14"/>
      <c r="I22" s="15"/>
      <c r="J22" s="14"/>
      <c r="K22" s="15"/>
      <c r="L22" s="14"/>
      <c r="M22" s="15"/>
      <c r="N22" s="14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46"/>
      <c r="BM22" s="46"/>
      <c r="BN22" s="46"/>
      <c r="BO22" s="46"/>
    </row>
    <row r="23" spans="1:67" ht="15.6" x14ac:dyDescent="0.3">
      <c r="A23" s="17" t="s">
        <v>61</v>
      </c>
      <c r="B23" s="19" t="s">
        <v>62</v>
      </c>
      <c r="C23" s="20" t="s">
        <v>63</v>
      </c>
      <c r="D23" s="17" t="s">
        <v>64</v>
      </c>
      <c r="E23" s="16" t="s">
        <v>64</v>
      </c>
      <c r="F23" s="9"/>
      <c r="G23" s="10"/>
      <c r="H23" s="14"/>
      <c r="I23" s="15"/>
      <c r="J23" s="14"/>
      <c r="K23" s="15"/>
      <c r="L23" s="14"/>
      <c r="M23" s="15"/>
      <c r="N23" s="14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46"/>
      <c r="BM23" s="46"/>
      <c r="BN23" s="46"/>
      <c r="BO23" s="46"/>
    </row>
    <row r="24" spans="1:67" ht="15.6" x14ac:dyDescent="0.3">
      <c r="A24" s="6" t="s">
        <v>65</v>
      </c>
      <c r="B24" s="21"/>
      <c r="C24" s="11"/>
      <c r="D24" s="6" t="s">
        <v>66</v>
      </c>
      <c r="E24" s="16" t="s">
        <v>69</v>
      </c>
      <c r="F24" s="9"/>
      <c r="G24" s="10"/>
      <c r="H24" s="14"/>
      <c r="I24" s="15"/>
      <c r="J24" s="14"/>
      <c r="K24" s="15"/>
      <c r="L24" s="14"/>
      <c r="M24" s="15"/>
      <c r="N24" s="14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46"/>
      <c r="BM24" s="46"/>
      <c r="BN24" s="46"/>
      <c r="BO24" s="46"/>
    </row>
    <row r="25" spans="1:67" ht="15.6" x14ac:dyDescent="0.3">
      <c r="A25" s="6" t="s">
        <v>68</v>
      </c>
      <c r="B25" s="21"/>
      <c r="C25" s="11"/>
      <c r="D25" s="6" t="s">
        <v>66</v>
      </c>
      <c r="E25" s="16" t="s">
        <v>67</v>
      </c>
      <c r="F25" s="9"/>
      <c r="G25" s="10"/>
      <c r="H25" s="14"/>
      <c r="I25" s="15"/>
      <c r="J25" s="14"/>
      <c r="K25" s="15"/>
      <c r="L25" s="14"/>
      <c r="M25" s="15"/>
      <c r="N25" s="14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46"/>
      <c r="BM25" s="46"/>
      <c r="BN25" s="46"/>
      <c r="BO25" s="46"/>
    </row>
    <row r="26" spans="1:67" ht="15.6" x14ac:dyDescent="0.3">
      <c r="A26" s="6" t="s">
        <v>70</v>
      </c>
      <c r="B26" s="21"/>
      <c r="C26" s="11"/>
      <c r="D26" s="6" t="s">
        <v>71</v>
      </c>
      <c r="E26" s="16" t="s">
        <v>72</v>
      </c>
      <c r="F26" s="9"/>
      <c r="G26" s="10"/>
      <c r="H26" s="14"/>
      <c r="I26" s="15"/>
      <c r="J26" s="14"/>
      <c r="K26" s="15"/>
      <c r="L26" s="14"/>
      <c r="M26" s="15"/>
      <c r="N26" s="14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46"/>
      <c r="BM26" s="46"/>
      <c r="BN26" s="46"/>
      <c r="BO26" s="46"/>
    </row>
    <row r="27" spans="1:67" ht="15.6" x14ac:dyDescent="0.3">
      <c r="A27" s="6" t="s">
        <v>78</v>
      </c>
      <c r="B27" s="21"/>
      <c r="C27" s="11"/>
      <c r="D27" s="6"/>
      <c r="E27" s="16"/>
      <c r="F27" s="9"/>
      <c r="G27" s="10"/>
      <c r="H27" s="14"/>
      <c r="I27" s="15"/>
      <c r="J27" s="14"/>
      <c r="K27" s="15"/>
      <c r="L27" s="14"/>
      <c r="M27" s="15"/>
      <c r="N27" s="14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46"/>
      <c r="BM27" s="46"/>
      <c r="BN27" s="46"/>
      <c r="BO27" s="46"/>
    </row>
    <row r="28" spans="1:67" ht="18.600000000000001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x14ac:dyDescent="0.3">
      <c r="BB29" s="22"/>
      <c r="BC29" s="22"/>
      <c r="BD29" s="22"/>
      <c r="BE29" s="22"/>
    </row>
    <row r="30" spans="1:67" x14ac:dyDescent="0.3">
      <c r="D30" s="59" t="s">
        <v>11</v>
      </c>
      <c r="E30" s="59"/>
      <c r="F30" s="24">
        <f t="shared" ref="F30:BM34" si="0">F6*15</f>
        <v>0</v>
      </c>
      <c r="G30" s="24">
        <f t="shared" si="0"/>
        <v>0</v>
      </c>
      <c r="H30" s="24">
        <f t="shared" si="0"/>
        <v>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0</v>
      </c>
      <c r="S30" s="24">
        <f t="shared" si="0"/>
        <v>0</v>
      </c>
      <c r="T30" s="24">
        <f t="shared" si="0"/>
        <v>0</v>
      </c>
      <c r="U30" s="24">
        <f t="shared" si="0"/>
        <v>0</v>
      </c>
      <c r="V30" s="24">
        <f t="shared" si="0"/>
        <v>0</v>
      </c>
      <c r="W30" s="24">
        <f t="shared" si="0"/>
        <v>0</v>
      </c>
      <c r="X30" s="24">
        <f t="shared" si="0"/>
        <v>0</v>
      </c>
      <c r="Y30" s="24">
        <f t="shared" si="0"/>
        <v>0</v>
      </c>
      <c r="Z30" s="24">
        <f t="shared" si="0"/>
        <v>0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0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0</v>
      </c>
      <c r="AK30" s="24">
        <f t="shared" si="0"/>
        <v>0</v>
      </c>
      <c r="AL30" s="24">
        <f t="shared" si="0"/>
        <v>0</v>
      </c>
      <c r="AM30" s="24">
        <f t="shared" si="0"/>
        <v>0</v>
      </c>
      <c r="AN30" s="24">
        <f t="shared" si="0"/>
        <v>0</v>
      </c>
      <c r="AO30" s="24">
        <f t="shared" si="0"/>
        <v>0</v>
      </c>
      <c r="AP30" s="24">
        <f t="shared" si="0"/>
        <v>0</v>
      </c>
      <c r="AQ30" s="24">
        <f t="shared" si="0"/>
        <v>0</v>
      </c>
      <c r="AR30" s="24">
        <f t="shared" si="0"/>
        <v>0</v>
      </c>
      <c r="AS30" s="24">
        <f t="shared" si="0"/>
        <v>0</v>
      </c>
      <c r="AT30" s="24">
        <f t="shared" si="0"/>
        <v>0</v>
      </c>
      <c r="AU30" s="24">
        <f t="shared" si="0"/>
        <v>0</v>
      </c>
      <c r="AV30" s="24">
        <f t="shared" si="0"/>
        <v>0</v>
      </c>
      <c r="AW30" s="24">
        <f t="shared" si="0"/>
        <v>0</v>
      </c>
      <c r="AX30" s="24">
        <f t="shared" si="0"/>
        <v>0</v>
      </c>
      <c r="AY30" s="24">
        <f t="shared" si="0"/>
        <v>0</v>
      </c>
      <c r="AZ30" s="24">
        <f t="shared" si="0"/>
        <v>0</v>
      </c>
      <c r="BA30" s="24">
        <f t="shared" si="0"/>
        <v>0</v>
      </c>
      <c r="BB30" s="24">
        <f t="shared" si="0"/>
        <v>0</v>
      </c>
      <c r="BC30" s="24">
        <f t="shared" si="0"/>
        <v>0</v>
      </c>
      <c r="BD30" s="24">
        <f t="shared" si="0"/>
        <v>0</v>
      </c>
      <c r="BE30" s="24">
        <f t="shared" si="0"/>
        <v>0</v>
      </c>
      <c r="BF30" s="24">
        <f t="shared" si="0"/>
        <v>0</v>
      </c>
      <c r="BG30" s="24">
        <f t="shared" si="0"/>
        <v>0</v>
      </c>
      <c r="BH30" s="24">
        <f t="shared" si="0"/>
        <v>0</v>
      </c>
      <c r="BI30" s="24">
        <f t="shared" si="0"/>
        <v>0</v>
      </c>
      <c r="BJ30" s="24">
        <f t="shared" si="0"/>
        <v>0</v>
      </c>
      <c r="BK30" s="24">
        <f t="shared" si="0"/>
        <v>0</v>
      </c>
      <c r="BL30" s="24">
        <f t="shared" si="0"/>
        <v>0</v>
      </c>
      <c r="BM30" s="24">
        <f t="shared" si="0"/>
        <v>0</v>
      </c>
    </row>
    <row r="31" spans="1:67" x14ac:dyDescent="0.3">
      <c r="D31" s="59" t="s">
        <v>16</v>
      </c>
      <c r="E31" s="59"/>
      <c r="F31" s="24">
        <f t="shared" si="0"/>
        <v>0</v>
      </c>
      <c r="G31" s="24">
        <f t="shared" si="0"/>
        <v>0</v>
      </c>
      <c r="H31" s="24">
        <f t="shared" si="0"/>
        <v>0</v>
      </c>
      <c r="I31" s="24">
        <f t="shared" si="0"/>
        <v>0</v>
      </c>
      <c r="J31" s="24">
        <f t="shared" si="0"/>
        <v>0</v>
      </c>
      <c r="K31" s="24">
        <f t="shared" si="0"/>
        <v>0</v>
      </c>
      <c r="L31" s="24">
        <f t="shared" si="0"/>
        <v>0</v>
      </c>
      <c r="M31" s="24">
        <f t="shared" si="0"/>
        <v>0</v>
      </c>
      <c r="N31" s="24">
        <f t="shared" si="0"/>
        <v>0</v>
      </c>
      <c r="O31" s="24">
        <f t="shared" si="0"/>
        <v>0</v>
      </c>
      <c r="P31" s="24">
        <f t="shared" si="0"/>
        <v>0</v>
      </c>
      <c r="Q31" s="24">
        <f t="shared" si="0"/>
        <v>0</v>
      </c>
      <c r="R31" s="24">
        <f t="shared" si="0"/>
        <v>0</v>
      </c>
      <c r="S31" s="24">
        <f t="shared" si="0"/>
        <v>0</v>
      </c>
      <c r="T31" s="24">
        <f t="shared" si="0"/>
        <v>0</v>
      </c>
      <c r="U31" s="24">
        <f t="shared" si="0"/>
        <v>0</v>
      </c>
      <c r="V31" s="24">
        <f t="shared" si="0"/>
        <v>0</v>
      </c>
      <c r="W31" s="24">
        <f t="shared" si="0"/>
        <v>0</v>
      </c>
      <c r="X31" s="24">
        <f t="shared" si="0"/>
        <v>0</v>
      </c>
      <c r="Y31" s="24">
        <f t="shared" si="0"/>
        <v>0</v>
      </c>
      <c r="Z31" s="24">
        <f t="shared" si="0"/>
        <v>0</v>
      </c>
      <c r="AA31" s="24">
        <f t="shared" si="0"/>
        <v>0</v>
      </c>
      <c r="AB31" s="24">
        <f t="shared" si="0"/>
        <v>0</v>
      </c>
      <c r="AC31" s="24">
        <f t="shared" si="0"/>
        <v>0</v>
      </c>
      <c r="AD31" s="24">
        <f t="shared" si="0"/>
        <v>0</v>
      </c>
      <c r="AE31" s="24">
        <f t="shared" si="0"/>
        <v>0</v>
      </c>
      <c r="AF31" s="24">
        <f t="shared" si="0"/>
        <v>0</v>
      </c>
      <c r="AG31" s="24">
        <f t="shared" si="0"/>
        <v>0</v>
      </c>
      <c r="AH31" s="24">
        <f t="shared" si="0"/>
        <v>0</v>
      </c>
      <c r="AI31" s="24">
        <f t="shared" si="0"/>
        <v>0</v>
      </c>
      <c r="AJ31" s="24">
        <f t="shared" si="0"/>
        <v>0</v>
      </c>
      <c r="AK31" s="24">
        <f t="shared" si="0"/>
        <v>0</v>
      </c>
      <c r="AL31" s="24">
        <f t="shared" si="0"/>
        <v>0</v>
      </c>
      <c r="AM31" s="24">
        <f t="shared" si="0"/>
        <v>0</v>
      </c>
      <c r="AN31" s="24">
        <f t="shared" si="0"/>
        <v>0</v>
      </c>
      <c r="AO31" s="24">
        <f t="shared" si="0"/>
        <v>0</v>
      </c>
      <c r="AP31" s="24">
        <f t="shared" si="0"/>
        <v>0</v>
      </c>
      <c r="AQ31" s="24">
        <f t="shared" si="0"/>
        <v>0</v>
      </c>
      <c r="AR31" s="24">
        <f t="shared" si="0"/>
        <v>0</v>
      </c>
      <c r="AS31" s="24">
        <f t="shared" si="0"/>
        <v>0</v>
      </c>
      <c r="AT31" s="24">
        <f t="shared" si="0"/>
        <v>0</v>
      </c>
      <c r="AU31" s="24">
        <f t="shared" si="0"/>
        <v>0</v>
      </c>
      <c r="AV31" s="24">
        <f t="shared" si="0"/>
        <v>0</v>
      </c>
      <c r="AW31" s="24">
        <f t="shared" si="0"/>
        <v>0</v>
      </c>
      <c r="AX31" s="24">
        <f t="shared" si="0"/>
        <v>0</v>
      </c>
      <c r="AY31" s="24">
        <f t="shared" si="0"/>
        <v>0</v>
      </c>
      <c r="AZ31" s="24">
        <f t="shared" si="0"/>
        <v>0</v>
      </c>
      <c r="BA31" s="24">
        <f t="shared" si="0"/>
        <v>0</v>
      </c>
      <c r="BB31" s="24">
        <f t="shared" si="0"/>
        <v>0</v>
      </c>
      <c r="BC31" s="24">
        <f t="shared" si="0"/>
        <v>0</v>
      </c>
      <c r="BD31" s="24">
        <f t="shared" si="0"/>
        <v>0</v>
      </c>
      <c r="BE31" s="24">
        <f t="shared" si="0"/>
        <v>0</v>
      </c>
      <c r="BF31" s="24">
        <f t="shared" si="0"/>
        <v>0</v>
      </c>
      <c r="BG31" s="24">
        <f t="shared" si="0"/>
        <v>0</v>
      </c>
      <c r="BH31" s="24">
        <f t="shared" si="0"/>
        <v>0</v>
      </c>
      <c r="BI31" s="24">
        <f t="shared" si="0"/>
        <v>0</v>
      </c>
      <c r="BJ31" s="24">
        <f t="shared" si="0"/>
        <v>0</v>
      </c>
      <c r="BK31" s="24">
        <f t="shared" si="0"/>
        <v>0</v>
      </c>
      <c r="BL31" s="24">
        <f t="shared" si="0"/>
        <v>0</v>
      </c>
      <c r="BM31" s="24">
        <f t="shared" si="0"/>
        <v>0</v>
      </c>
    </row>
    <row r="32" spans="1:67" x14ac:dyDescent="0.3">
      <c r="D32" s="59" t="s">
        <v>20</v>
      </c>
      <c r="E32" s="59"/>
      <c r="F32" s="24">
        <f t="shared" si="0"/>
        <v>0</v>
      </c>
      <c r="G32" s="24">
        <f t="shared" si="0"/>
        <v>0</v>
      </c>
      <c r="H32" s="24">
        <f t="shared" si="0"/>
        <v>0</v>
      </c>
      <c r="I32" s="24">
        <f t="shared" si="0"/>
        <v>0</v>
      </c>
      <c r="J32" s="24">
        <f t="shared" si="0"/>
        <v>0</v>
      </c>
      <c r="K32" s="24">
        <f t="shared" si="0"/>
        <v>0</v>
      </c>
      <c r="L32" s="24">
        <f t="shared" si="0"/>
        <v>0</v>
      </c>
      <c r="M32" s="24">
        <f t="shared" si="0"/>
        <v>0</v>
      </c>
      <c r="N32" s="24">
        <f t="shared" si="0"/>
        <v>0</v>
      </c>
      <c r="O32" s="24">
        <f t="shared" si="0"/>
        <v>0</v>
      </c>
      <c r="P32" s="24">
        <f t="shared" si="0"/>
        <v>0</v>
      </c>
      <c r="Q32" s="24">
        <f t="shared" si="0"/>
        <v>0</v>
      </c>
      <c r="R32" s="24">
        <f t="shared" si="0"/>
        <v>0</v>
      </c>
      <c r="S32" s="24">
        <f t="shared" si="0"/>
        <v>0</v>
      </c>
      <c r="T32" s="24">
        <f t="shared" si="0"/>
        <v>0</v>
      </c>
      <c r="U32" s="24">
        <f t="shared" si="0"/>
        <v>0</v>
      </c>
      <c r="V32" s="24">
        <f t="shared" si="0"/>
        <v>0</v>
      </c>
      <c r="W32" s="24">
        <f t="shared" si="0"/>
        <v>0</v>
      </c>
      <c r="X32" s="24">
        <f t="shared" si="0"/>
        <v>0</v>
      </c>
      <c r="Y32" s="24">
        <f t="shared" si="0"/>
        <v>0</v>
      </c>
      <c r="Z32" s="24">
        <f t="shared" si="0"/>
        <v>0</v>
      </c>
      <c r="AA32" s="24">
        <f t="shared" si="0"/>
        <v>0</v>
      </c>
      <c r="AB32" s="24">
        <f t="shared" si="0"/>
        <v>0</v>
      </c>
      <c r="AC32" s="24">
        <f t="shared" si="0"/>
        <v>0</v>
      </c>
      <c r="AD32" s="24">
        <f t="shared" si="0"/>
        <v>0</v>
      </c>
      <c r="AE32" s="24">
        <f t="shared" si="0"/>
        <v>0</v>
      </c>
      <c r="AF32" s="24">
        <f t="shared" si="0"/>
        <v>0</v>
      </c>
      <c r="AG32" s="24">
        <f t="shared" si="0"/>
        <v>0</v>
      </c>
      <c r="AH32" s="24">
        <f t="shared" si="0"/>
        <v>0</v>
      </c>
      <c r="AI32" s="24">
        <f t="shared" si="0"/>
        <v>0</v>
      </c>
      <c r="AJ32" s="24">
        <f t="shared" si="0"/>
        <v>0</v>
      </c>
      <c r="AK32" s="24">
        <f t="shared" si="0"/>
        <v>0</v>
      </c>
      <c r="AL32" s="24">
        <f t="shared" si="0"/>
        <v>0</v>
      </c>
      <c r="AM32" s="24">
        <f t="shared" si="0"/>
        <v>0</v>
      </c>
      <c r="AN32" s="24">
        <f t="shared" si="0"/>
        <v>0</v>
      </c>
      <c r="AO32" s="24">
        <f t="shared" si="0"/>
        <v>0</v>
      </c>
      <c r="AP32" s="24">
        <f t="shared" si="0"/>
        <v>0</v>
      </c>
      <c r="AQ32" s="24">
        <f t="shared" si="0"/>
        <v>0</v>
      </c>
      <c r="AR32" s="24">
        <f t="shared" si="0"/>
        <v>0</v>
      </c>
      <c r="AS32" s="24">
        <f t="shared" si="0"/>
        <v>0</v>
      </c>
      <c r="AT32" s="24">
        <f t="shared" si="0"/>
        <v>0</v>
      </c>
      <c r="AU32" s="24">
        <f t="shared" si="0"/>
        <v>0</v>
      </c>
      <c r="AV32" s="24">
        <f t="shared" si="0"/>
        <v>0</v>
      </c>
      <c r="AW32" s="24">
        <f t="shared" si="0"/>
        <v>0</v>
      </c>
      <c r="AX32" s="24">
        <f t="shared" si="0"/>
        <v>0</v>
      </c>
      <c r="AY32" s="24">
        <f t="shared" si="0"/>
        <v>0</v>
      </c>
      <c r="AZ32" s="24">
        <f t="shared" si="0"/>
        <v>0</v>
      </c>
      <c r="BA32" s="24">
        <f t="shared" si="0"/>
        <v>0</v>
      </c>
      <c r="BB32" s="24">
        <f t="shared" si="0"/>
        <v>0</v>
      </c>
      <c r="BC32" s="24">
        <f t="shared" si="0"/>
        <v>0</v>
      </c>
      <c r="BD32" s="24">
        <f t="shared" si="0"/>
        <v>0</v>
      </c>
      <c r="BE32" s="24">
        <f t="shared" si="0"/>
        <v>0</v>
      </c>
      <c r="BF32" s="24">
        <f t="shared" si="0"/>
        <v>0</v>
      </c>
      <c r="BG32" s="24">
        <f t="shared" si="0"/>
        <v>0</v>
      </c>
      <c r="BH32" s="24">
        <f t="shared" si="0"/>
        <v>0</v>
      </c>
      <c r="BI32" s="24">
        <f t="shared" si="0"/>
        <v>0</v>
      </c>
      <c r="BJ32" s="24">
        <f t="shared" si="0"/>
        <v>0</v>
      </c>
      <c r="BK32" s="24">
        <f t="shared" si="0"/>
        <v>0</v>
      </c>
      <c r="BL32" s="24">
        <f t="shared" si="0"/>
        <v>0</v>
      </c>
      <c r="BM32" s="24">
        <f t="shared" si="0"/>
        <v>0</v>
      </c>
    </row>
    <row r="33" spans="4:65" x14ac:dyDescent="0.3">
      <c r="D33" s="59" t="s">
        <v>24</v>
      </c>
      <c r="E33" s="59"/>
      <c r="F33" s="24">
        <f t="shared" si="0"/>
        <v>0</v>
      </c>
      <c r="G33" s="24">
        <f t="shared" si="0"/>
        <v>0</v>
      </c>
      <c r="H33" s="24">
        <f t="shared" si="0"/>
        <v>0</v>
      </c>
      <c r="I33" s="24">
        <f t="shared" si="0"/>
        <v>0</v>
      </c>
      <c r="J33" s="24">
        <f t="shared" si="0"/>
        <v>0</v>
      </c>
      <c r="K33" s="24">
        <f t="shared" si="0"/>
        <v>0</v>
      </c>
      <c r="L33" s="24">
        <f t="shared" si="0"/>
        <v>0</v>
      </c>
      <c r="M33" s="24">
        <f t="shared" si="0"/>
        <v>0</v>
      </c>
      <c r="N33" s="24">
        <f t="shared" si="0"/>
        <v>0</v>
      </c>
      <c r="O33" s="24">
        <f t="shared" si="0"/>
        <v>0</v>
      </c>
      <c r="P33" s="24">
        <f t="shared" si="0"/>
        <v>0</v>
      </c>
      <c r="Q33" s="24">
        <f t="shared" si="0"/>
        <v>0</v>
      </c>
      <c r="R33" s="24">
        <f t="shared" si="0"/>
        <v>0</v>
      </c>
      <c r="S33" s="24">
        <f t="shared" si="0"/>
        <v>0</v>
      </c>
      <c r="T33" s="24">
        <f t="shared" si="0"/>
        <v>0</v>
      </c>
      <c r="U33" s="24">
        <f t="shared" si="0"/>
        <v>0</v>
      </c>
      <c r="V33" s="24">
        <f t="shared" si="0"/>
        <v>0</v>
      </c>
      <c r="W33" s="24">
        <f t="shared" si="0"/>
        <v>0</v>
      </c>
      <c r="X33" s="24">
        <f t="shared" si="0"/>
        <v>0</v>
      </c>
      <c r="Y33" s="24">
        <f t="shared" si="0"/>
        <v>0</v>
      </c>
      <c r="Z33" s="24">
        <f t="shared" si="0"/>
        <v>0</v>
      </c>
      <c r="AA33" s="24">
        <f t="shared" si="0"/>
        <v>0</v>
      </c>
      <c r="AB33" s="24">
        <f t="shared" si="0"/>
        <v>0</v>
      </c>
      <c r="AC33" s="24">
        <f t="shared" si="0"/>
        <v>0</v>
      </c>
      <c r="AD33" s="24">
        <f t="shared" si="0"/>
        <v>0</v>
      </c>
      <c r="AE33" s="24">
        <f t="shared" si="0"/>
        <v>0</v>
      </c>
      <c r="AF33" s="24">
        <f t="shared" si="0"/>
        <v>0</v>
      </c>
      <c r="AG33" s="24">
        <f t="shared" si="0"/>
        <v>0</v>
      </c>
      <c r="AH33" s="24">
        <f t="shared" si="0"/>
        <v>0</v>
      </c>
      <c r="AI33" s="24">
        <f t="shared" si="0"/>
        <v>0</v>
      </c>
      <c r="AJ33" s="24">
        <f t="shared" si="0"/>
        <v>0</v>
      </c>
      <c r="AK33" s="24">
        <f t="shared" si="0"/>
        <v>0</v>
      </c>
      <c r="AL33" s="24">
        <f t="shared" si="0"/>
        <v>0</v>
      </c>
      <c r="AM33" s="24">
        <f t="shared" si="0"/>
        <v>0</v>
      </c>
      <c r="AN33" s="24">
        <f t="shared" si="0"/>
        <v>0</v>
      </c>
      <c r="AO33" s="24">
        <f t="shared" si="0"/>
        <v>0</v>
      </c>
      <c r="AP33" s="24">
        <f t="shared" si="0"/>
        <v>0</v>
      </c>
      <c r="AQ33" s="24">
        <f t="shared" si="0"/>
        <v>0</v>
      </c>
      <c r="AR33" s="24">
        <f t="shared" si="0"/>
        <v>0</v>
      </c>
      <c r="AS33" s="24">
        <f t="shared" si="0"/>
        <v>0</v>
      </c>
      <c r="AT33" s="24">
        <f t="shared" si="0"/>
        <v>0</v>
      </c>
      <c r="AU33" s="24">
        <f t="shared" si="0"/>
        <v>0</v>
      </c>
      <c r="AV33" s="24">
        <f t="shared" si="0"/>
        <v>0</v>
      </c>
      <c r="AW33" s="24">
        <f t="shared" si="0"/>
        <v>0</v>
      </c>
      <c r="AX33" s="24">
        <f t="shared" si="0"/>
        <v>0</v>
      </c>
      <c r="AY33" s="24">
        <f t="shared" si="0"/>
        <v>0</v>
      </c>
      <c r="AZ33" s="24">
        <f t="shared" si="0"/>
        <v>0</v>
      </c>
      <c r="BA33" s="24">
        <f t="shared" si="0"/>
        <v>0</v>
      </c>
      <c r="BB33" s="24">
        <f t="shared" si="0"/>
        <v>0</v>
      </c>
      <c r="BC33" s="24">
        <f t="shared" si="0"/>
        <v>0</v>
      </c>
      <c r="BD33" s="24">
        <f t="shared" si="0"/>
        <v>0</v>
      </c>
      <c r="BE33" s="24">
        <f t="shared" si="0"/>
        <v>0</v>
      </c>
      <c r="BF33" s="24">
        <f t="shared" si="0"/>
        <v>0</v>
      </c>
      <c r="BG33" s="24">
        <f t="shared" si="0"/>
        <v>0</v>
      </c>
      <c r="BH33" s="24">
        <f t="shared" si="0"/>
        <v>0</v>
      </c>
      <c r="BI33" s="24">
        <f t="shared" si="0"/>
        <v>0</v>
      </c>
      <c r="BJ33" s="24">
        <f t="shared" si="0"/>
        <v>0</v>
      </c>
      <c r="BK33" s="24">
        <f t="shared" si="0"/>
        <v>0</v>
      </c>
      <c r="BL33" s="24">
        <f t="shared" si="0"/>
        <v>0</v>
      </c>
      <c r="BM33" s="24">
        <f t="shared" si="0"/>
        <v>0</v>
      </c>
    </row>
    <row r="34" spans="4:65" x14ac:dyDescent="0.3">
      <c r="D34" t="s">
        <v>29</v>
      </c>
      <c r="E34" s="25"/>
      <c r="F34" s="24">
        <f t="shared" si="0"/>
        <v>0</v>
      </c>
      <c r="G34" s="24">
        <f t="shared" si="0"/>
        <v>0</v>
      </c>
      <c r="H34" s="24">
        <f t="shared" si="0"/>
        <v>0</v>
      </c>
      <c r="I34" s="24">
        <f t="shared" si="0"/>
        <v>0</v>
      </c>
      <c r="J34" s="24">
        <f t="shared" si="0"/>
        <v>0</v>
      </c>
      <c r="K34" s="24">
        <f t="shared" si="0"/>
        <v>0</v>
      </c>
      <c r="L34" s="24">
        <f t="shared" si="0"/>
        <v>0</v>
      </c>
      <c r="M34" s="24">
        <f t="shared" si="0"/>
        <v>0</v>
      </c>
      <c r="N34" s="24">
        <f t="shared" si="0"/>
        <v>0</v>
      </c>
      <c r="O34" s="24">
        <f t="shared" si="0"/>
        <v>0</v>
      </c>
      <c r="P34" s="24">
        <f t="shared" si="0"/>
        <v>0</v>
      </c>
      <c r="Q34" s="24">
        <f t="shared" si="0"/>
        <v>0</v>
      </c>
      <c r="R34" s="24">
        <f t="shared" si="0"/>
        <v>0</v>
      </c>
      <c r="S34" s="24">
        <f t="shared" si="0"/>
        <v>0</v>
      </c>
      <c r="T34" s="24">
        <f t="shared" si="0"/>
        <v>0</v>
      </c>
      <c r="U34" s="24">
        <f t="shared" ref="U34:BM35" si="1">U10*15</f>
        <v>0</v>
      </c>
      <c r="V34" s="24">
        <f t="shared" si="1"/>
        <v>0</v>
      </c>
      <c r="W34" s="24">
        <f t="shared" si="1"/>
        <v>0</v>
      </c>
      <c r="X34" s="24">
        <f t="shared" si="1"/>
        <v>0</v>
      </c>
      <c r="Y34" s="24">
        <f t="shared" si="1"/>
        <v>0</v>
      </c>
      <c r="Z34" s="24">
        <f t="shared" si="1"/>
        <v>0</v>
      </c>
      <c r="AA34" s="24">
        <f t="shared" si="1"/>
        <v>0</v>
      </c>
      <c r="AB34" s="24">
        <f t="shared" si="1"/>
        <v>0</v>
      </c>
      <c r="AC34" s="24">
        <f t="shared" si="1"/>
        <v>0</v>
      </c>
      <c r="AD34" s="24">
        <f t="shared" si="1"/>
        <v>0</v>
      </c>
      <c r="AE34" s="24">
        <f t="shared" si="1"/>
        <v>0</v>
      </c>
      <c r="AF34" s="24">
        <f t="shared" si="1"/>
        <v>0</v>
      </c>
      <c r="AG34" s="24">
        <f t="shared" si="1"/>
        <v>0</v>
      </c>
      <c r="AH34" s="24">
        <f t="shared" si="1"/>
        <v>0</v>
      </c>
      <c r="AI34" s="24">
        <f t="shared" si="1"/>
        <v>0</v>
      </c>
      <c r="AJ34" s="24">
        <f t="shared" si="1"/>
        <v>0</v>
      </c>
      <c r="AK34" s="24">
        <f t="shared" si="1"/>
        <v>0</v>
      </c>
      <c r="AL34" s="24">
        <f t="shared" si="1"/>
        <v>0</v>
      </c>
      <c r="AM34" s="24">
        <f t="shared" si="1"/>
        <v>0</v>
      </c>
      <c r="AN34" s="24">
        <f t="shared" si="1"/>
        <v>0</v>
      </c>
      <c r="AO34" s="24">
        <f t="shared" si="1"/>
        <v>0</v>
      </c>
      <c r="AP34" s="24">
        <f t="shared" si="1"/>
        <v>0</v>
      </c>
      <c r="AQ34" s="24">
        <f t="shared" si="1"/>
        <v>0</v>
      </c>
      <c r="AR34" s="24">
        <f t="shared" si="1"/>
        <v>0</v>
      </c>
      <c r="AS34" s="24">
        <f t="shared" si="1"/>
        <v>0</v>
      </c>
      <c r="AT34" s="24">
        <f t="shared" si="1"/>
        <v>0</v>
      </c>
      <c r="AU34" s="24">
        <f t="shared" si="1"/>
        <v>0</v>
      </c>
      <c r="AV34" s="24">
        <f t="shared" si="1"/>
        <v>0</v>
      </c>
      <c r="AW34" s="24">
        <f t="shared" si="1"/>
        <v>0</v>
      </c>
      <c r="AX34" s="24">
        <f t="shared" si="1"/>
        <v>0</v>
      </c>
      <c r="AY34" s="24">
        <f t="shared" si="1"/>
        <v>0</v>
      </c>
      <c r="AZ34" s="24">
        <f t="shared" si="1"/>
        <v>0</v>
      </c>
      <c r="BA34" s="24">
        <f t="shared" si="1"/>
        <v>0</v>
      </c>
      <c r="BB34" s="24">
        <f t="shared" si="1"/>
        <v>0</v>
      </c>
      <c r="BC34" s="24">
        <f t="shared" si="1"/>
        <v>0</v>
      </c>
      <c r="BD34" s="24">
        <f t="shared" si="1"/>
        <v>0</v>
      </c>
      <c r="BE34" s="24">
        <f t="shared" si="1"/>
        <v>0</v>
      </c>
      <c r="BF34" s="24">
        <f t="shared" si="1"/>
        <v>0</v>
      </c>
      <c r="BG34" s="24">
        <f t="shared" si="1"/>
        <v>0</v>
      </c>
      <c r="BH34" s="24">
        <f t="shared" si="1"/>
        <v>0</v>
      </c>
      <c r="BI34" s="24">
        <f t="shared" si="1"/>
        <v>0</v>
      </c>
      <c r="BJ34" s="24">
        <f t="shared" si="1"/>
        <v>0</v>
      </c>
      <c r="BK34" s="24">
        <f t="shared" si="1"/>
        <v>0</v>
      </c>
      <c r="BL34" s="24">
        <f t="shared" si="1"/>
        <v>0</v>
      </c>
      <c r="BM34" s="24">
        <f t="shared" si="1"/>
        <v>0</v>
      </c>
    </row>
    <row r="35" spans="4:65" x14ac:dyDescent="0.3">
      <c r="D35" t="s">
        <v>32</v>
      </c>
      <c r="E35" s="25"/>
      <c r="F35" s="24">
        <f t="shared" ref="F35:AK35" si="2">F11*15</f>
        <v>0</v>
      </c>
      <c r="G35" s="24">
        <f t="shared" si="2"/>
        <v>0</v>
      </c>
      <c r="H35" s="24">
        <f t="shared" si="2"/>
        <v>0</v>
      </c>
      <c r="I35" s="24">
        <f t="shared" si="2"/>
        <v>0</v>
      </c>
      <c r="J35" s="24">
        <f t="shared" si="2"/>
        <v>0</v>
      </c>
      <c r="K35" s="24">
        <f t="shared" si="2"/>
        <v>0</v>
      </c>
      <c r="L35" s="24">
        <f t="shared" si="2"/>
        <v>0</v>
      </c>
      <c r="M35" s="24">
        <f t="shared" si="2"/>
        <v>0</v>
      </c>
      <c r="N35" s="24">
        <f t="shared" si="2"/>
        <v>0</v>
      </c>
      <c r="O35" s="24">
        <f t="shared" si="2"/>
        <v>0</v>
      </c>
      <c r="P35" s="24">
        <f t="shared" si="2"/>
        <v>0</v>
      </c>
      <c r="Q35" s="24">
        <f t="shared" si="2"/>
        <v>0</v>
      </c>
      <c r="R35" s="24">
        <f t="shared" si="2"/>
        <v>0</v>
      </c>
      <c r="S35" s="24">
        <f t="shared" si="2"/>
        <v>0</v>
      </c>
      <c r="T35" s="24">
        <f t="shared" si="2"/>
        <v>0</v>
      </c>
      <c r="U35" s="24">
        <f t="shared" si="2"/>
        <v>0</v>
      </c>
      <c r="V35" s="24">
        <f t="shared" si="2"/>
        <v>0</v>
      </c>
      <c r="W35" s="24">
        <f t="shared" si="2"/>
        <v>0</v>
      </c>
      <c r="X35" s="24">
        <f t="shared" si="2"/>
        <v>0</v>
      </c>
      <c r="Y35" s="24">
        <f t="shared" si="2"/>
        <v>0</v>
      </c>
      <c r="Z35" s="24">
        <f t="shared" si="2"/>
        <v>0</v>
      </c>
      <c r="AA35" s="24">
        <f t="shared" si="2"/>
        <v>0</v>
      </c>
      <c r="AB35" s="24">
        <f t="shared" si="2"/>
        <v>0</v>
      </c>
      <c r="AC35" s="24">
        <f t="shared" si="2"/>
        <v>0</v>
      </c>
      <c r="AD35" s="24">
        <f t="shared" si="2"/>
        <v>0</v>
      </c>
      <c r="AE35" s="24">
        <f t="shared" si="2"/>
        <v>0</v>
      </c>
      <c r="AF35" s="24">
        <f t="shared" si="2"/>
        <v>0</v>
      </c>
      <c r="AG35" s="24">
        <f t="shared" si="2"/>
        <v>0</v>
      </c>
      <c r="AH35" s="24">
        <f t="shared" si="2"/>
        <v>0</v>
      </c>
      <c r="AI35" s="24">
        <f t="shared" si="2"/>
        <v>0</v>
      </c>
      <c r="AJ35" s="24">
        <f t="shared" si="2"/>
        <v>0</v>
      </c>
      <c r="AK35" s="24">
        <f t="shared" si="2"/>
        <v>0</v>
      </c>
      <c r="AL35" s="24">
        <f t="shared" si="1"/>
        <v>0</v>
      </c>
      <c r="AM35" s="24">
        <f t="shared" si="1"/>
        <v>0</v>
      </c>
      <c r="AN35" s="24">
        <f t="shared" si="1"/>
        <v>0</v>
      </c>
      <c r="AO35" s="24">
        <f t="shared" si="1"/>
        <v>0</v>
      </c>
      <c r="AP35" s="24">
        <f t="shared" si="1"/>
        <v>0</v>
      </c>
      <c r="AQ35" s="24">
        <f t="shared" si="1"/>
        <v>0</v>
      </c>
      <c r="AR35" s="24">
        <f t="shared" si="1"/>
        <v>0</v>
      </c>
      <c r="AS35" s="24">
        <f t="shared" si="1"/>
        <v>0</v>
      </c>
      <c r="AT35" s="24">
        <f t="shared" si="1"/>
        <v>0</v>
      </c>
      <c r="AU35" s="24">
        <f t="shared" si="1"/>
        <v>0</v>
      </c>
      <c r="AV35" s="24">
        <f t="shared" si="1"/>
        <v>0</v>
      </c>
      <c r="AW35" s="24">
        <f t="shared" si="1"/>
        <v>0</v>
      </c>
      <c r="AX35" s="24">
        <f t="shared" si="1"/>
        <v>0</v>
      </c>
      <c r="AY35" s="24">
        <f t="shared" si="1"/>
        <v>0</v>
      </c>
      <c r="AZ35" s="24">
        <f t="shared" si="1"/>
        <v>0</v>
      </c>
      <c r="BA35" s="24">
        <f t="shared" si="1"/>
        <v>0</v>
      </c>
      <c r="BB35" s="24">
        <f t="shared" si="1"/>
        <v>0</v>
      </c>
      <c r="BC35" s="24">
        <f t="shared" si="1"/>
        <v>0</v>
      </c>
      <c r="BD35" s="24">
        <f t="shared" si="1"/>
        <v>0</v>
      </c>
      <c r="BE35" s="24">
        <f t="shared" si="1"/>
        <v>0</v>
      </c>
      <c r="BF35" s="24">
        <f t="shared" si="1"/>
        <v>0</v>
      </c>
      <c r="BG35" s="24">
        <f t="shared" si="1"/>
        <v>0</v>
      </c>
      <c r="BH35" s="24">
        <f t="shared" si="1"/>
        <v>0</v>
      </c>
      <c r="BI35" s="24">
        <f t="shared" si="1"/>
        <v>0</v>
      </c>
      <c r="BJ35" s="24">
        <f t="shared" si="1"/>
        <v>0</v>
      </c>
      <c r="BK35" s="24">
        <f t="shared" si="1"/>
        <v>0</v>
      </c>
      <c r="BL35" s="24">
        <f t="shared" si="1"/>
        <v>0</v>
      </c>
      <c r="BM35" s="24">
        <f t="shared" si="1"/>
        <v>0</v>
      </c>
    </row>
    <row r="36" spans="4:65" x14ac:dyDescent="0.3">
      <c r="D36" s="23" t="s">
        <v>35</v>
      </c>
      <c r="E36" s="25"/>
      <c r="F36" s="24">
        <f t="shared" ref="F36:BM36" si="3">F13*40</f>
        <v>0</v>
      </c>
      <c r="G36" s="24">
        <f t="shared" si="3"/>
        <v>0</v>
      </c>
      <c r="H36" s="24">
        <f t="shared" si="3"/>
        <v>0</v>
      </c>
      <c r="I36" s="24">
        <f t="shared" si="3"/>
        <v>0</v>
      </c>
      <c r="J36" s="24">
        <f t="shared" si="3"/>
        <v>0</v>
      </c>
      <c r="K36" s="24">
        <f t="shared" si="3"/>
        <v>0</v>
      </c>
      <c r="L36" s="24">
        <f t="shared" si="3"/>
        <v>0</v>
      </c>
      <c r="M36" s="24">
        <f t="shared" si="3"/>
        <v>0</v>
      </c>
      <c r="N36" s="24">
        <f t="shared" si="3"/>
        <v>0</v>
      </c>
      <c r="O36" s="24">
        <f t="shared" si="3"/>
        <v>0</v>
      </c>
      <c r="P36" s="24">
        <f t="shared" si="3"/>
        <v>0</v>
      </c>
      <c r="Q36" s="24">
        <f t="shared" si="3"/>
        <v>0</v>
      </c>
      <c r="R36" s="24">
        <f t="shared" si="3"/>
        <v>0</v>
      </c>
      <c r="S36" s="24">
        <f t="shared" si="3"/>
        <v>0</v>
      </c>
      <c r="T36" s="24">
        <f t="shared" si="3"/>
        <v>0</v>
      </c>
      <c r="U36" s="24">
        <f t="shared" si="3"/>
        <v>0</v>
      </c>
      <c r="V36" s="24">
        <f t="shared" si="3"/>
        <v>0</v>
      </c>
      <c r="W36" s="24">
        <f t="shared" si="3"/>
        <v>0</v>
      </c>
      <c r="X36" s="24">
        <f t="shared" si="3"/>
        <v>0</v>
      </c>
      <c r="Y36" s="24">
        <f t="shared" si="3"/>
        <v>0</v>
      </c>
      <c r="Z36" s="24">
        <f t="shared" si="3"/>
        <v>0</v>
      </c>
      <c r="AA36" s="24">
        <f t="shared" si="3"/>
        <v>0</v>
      </c>
      <c r="AB36" s="24">
        <f t="shared" si="3"/>
        <v>0</v>
      </c>
      <c r="AC36" s="24">
        <f t="shared" si="3"/>
        <v>0</v>
      </c>
      <c r="AD36" s="24">
        <f t="shared" si="3"/>
        <v>0</v>
      </c>
      <c r="AE36" s="24">
        <f t="shared" si="3"/>
        <v>0</v>
      </c>
      <c r="AF36" s="24">
        <f t="shared" si="3"/>
        <v>0</v>
      </c>
      <c r="AG36" s="24">
        <f t="shared" si="3"/>
        <v>0</v>
      </c>
      <c r="AH36" s="24">
        <f t="shared" si="3"/>
        <v>0</v>
      </c>
      <c r="AI36" s="24">
        <f t="shared" si="3"/>
        <v>0</v>
      </c>
      <c r="AJ36" s="24">
        <f t="shared" si="3"/>
        <v>0</v>
      </c>
      <c r="AK36" s="24">
        <f t="shared" si="3"/>
        <v>0</v>
      </c>
      <c r="AL36" s="24">
        <f t="shared" si="3"/>
        <v>0</v>
      </c>
      <c r="AM36" s="24">
        <f t="shared" si="3"/>
        <v>0</v>
      </c>
      <c r="AN36" s="24">
        <f t="shared" si="3"/>
        <v>0</v>
      </c>
      <c r="AO36" s="24">
        <f t="shared" si="3"/>
        <v>0</v>
      </c>
      <c r="AP36" s="24">
        <f t="shared" si="3"/>
        <v>0</v>
      </c>
      <c r="AQ36" s="24">
        <f t="shared" si="3"/>
        <v>0</v>
      </c>
      <c r="AR36" s="24">
        <f t="shared" si="3"/>
        <v>0</v>
      </c>
      <c r="AS36" s="24">
        <f t="shared" si="3"/>
        <v>0</v>
      </c>
      <c r="AT36" s="24">
        <f t="shared" si="3"/>
        <v>0</v>
      </c>
      <c r="AU36" s="24">
        <f t="shared" si="3"/>
        <v>0</v>
      </c>
      <c r="AV36" s="24">
        <f t="shared" si="3"/>
        <v>0</v>
      </c>
      <c r="AW36" s="24">
        <f t="shared" si="3"/>
        <v>0</v>
      </c>
      <c r="AX36" s="24">
        <f t="shared" si="3"/>
        <v>0</v>
      </c>
      <c r="AY36" s="24">
        <f t="shared" si="3"/>
        <v>0</v>
      </c>
      <c r="AZ36" s="24">
        <f t="shared" si="3"/>
        <v>0</v>
      </c>
      <c r="BA36" s="24">
        <f t="shared" si="3"/>
        <v>0</v>
      </c>
      <c r="BB36" s="24">
        <f t="shared" si="3"/>
        <v>0</v>
      </c>
      <c r="BC36" s="24">
        <f t="shared" si="3"/>
        <v>0</v>
      </c>
      <c r="BD36" s="24">
        <f t="shared" si="3"/>
        <v>0</v>
      </c>
      <c r="BE36" s="24">
        <f t="shared" si="3"/>
        <v>0</v>
      </c>
      <c r="BF36" s="24">
        <f t="shared" si="3"/>
        <v>0</v>
      </c>
      <c r="BG36" s="24">
        <f t="shared" si="3"/>
        <v>0</v>
      </c>
      <c r="BH36" s="24">
        <f t="shared" si="3"/>
        <v>0</v>
      </c>
      <c r="BI36" s="24">
        <f t="shared" si="3"/>
        <v>0</v>
      </c>
      <c r="BJ36" s="24">
        <f t="shared" si="3"/>
        <v>0</v>
      </c>
      <c r="BK36" s="24">
        <f t="shared" si="3"/>
        <v>0</v>
      </c>
      <c r="BL36" s="24">
        <f t="shared" si="3"/>
        <v>0</v>
      </c>
      <c r="BM36" s="24">
        <f t="shared" si="3"/>
        <v>0</v>
      </c>
    </row>
    <row r="37" spans="4:65" x14ac:dyDescent="0.3">
      <c r="D37" s="23" t="s">
        <v>35</v>
      </c>
      <c r="E37" s="25"/>
      <c r="F37" s="24">
        <f t="shared" ref="F37:BM37" si="4">F12*40</f>
        <v>0</v>
      </c>
      <c r="G37" s="24">
        <f t="shared" si="4"/>
        <v>0</v>
      </c>
      <c r="H37" s="24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4"/>
        <v>0</v>
      </c>
      <c r="N37" s="24">
        <f t="shared" si="4"/>
        <v>0</v>
      </c>
      <c r="O37" s="24">
        <f t="shared" si="4"/>
        <v>0</v>
      </c>
      <c r="P37" s="24">
        <f t="shared" si="4"/>
        <v>0</v>
      </c>
      <c r="Q37" s="24">
        <f t="shared" si="4"/>
        <v>0</v>
      </c>
      <c r="R37" s="24">
        <f t="shared" si="4"/>
        <v>0</v>
      </c>
      <c r="S37" s="24">
        <f t="shared" si="4"/>
        <v>0</v>
      </c>
      <c r="T37" s="24">
        <f t="shared" si="4"/>
        <v>0</v>
      </c>
      <c r="U37" s="24">
        <f t="shared" si="4"/>
        <v>0</v>
      </c>
      <c r="V37" s="24">
        <f t="shared" si="4"/>
        <v>0</v>
      </c>
      <c r="W37" s="24">
        <f t="shared" si="4"/>
        <v>0</v>
      </c>
      <c r="X37" s="24">
        <f t="shared" si="4"/>
        <v>0</v>
      </c>
      <c r="Y37" s="24">
        <f t="shared" si="4"/>
        <v>0</v>
      </c>
      <c r="Z37" s="24">
        <f t="shared" si="4"/>
        <v>0</v>
      </c>
      <c r="AA37" s="24">
        <f t="shared" si="4"/>
        <v>0</v>
      </c>
      <c r="AB37" s="24">
        <f t="shared" si="4"/>
        <v>0</v>
      </c>
      <c r="AC37" s="24">
        <f t="shared" si="4"/>
        <v>0</v>
      </c>
      <c r="AD37" s="24">
        <f t="shared" si="4"/>
        <v>0</v>
      </c>
      <c r="AE37" s="24">
        <f t="shared" si="4"/>
        <v>0</v>
      </c>
      <c r="AF37" s="24">
        <f t="shared" si="4"/>
        <v>0</v>
      </c>
      <c r="AG37" s="24">
        <f t="shared" si="4"/>
        <v>0</v>
      </c>
      <c r="AH37" s="24">
        <f t="shared" si="4"/>
        <v>0</v>
      </c>
      <c r="AI37" s="24">
        <f t="shared" si="4"/>
        <v>0</v>
      </c>
      <c r="AJ37" s="24">
        <f t="shared" si="4"/>
        <v>0</v>
      </c>
      <c r="AK37" s="24">
        <f t="shared" si="4"/>
        <v>0</v>
      </c>
      <c r="AL37" s="24">
        <f t="shared" si="4"/>
        <v>0</v>
      </c>
      <c r="AM37" s="24">
        <f t="shared" si="4"/>
        <v>0</v>
      </c>
      <c r="AN37" s="24">
        <f t="shared" si="4"/>
        <v>0</v>
      </c>
      <c r="AO37" s="24">
        <f t="shared" si="4"/>
        <v>0</v>
      </c>
      <c r="AP37" s="24">
        <f t="shared" si="4"/>
        <v>0</v>
      </c>
      <c r="AQ37" s="24">
        <f t="shared" si="4"/>
        <v>0</v>
      </c>
      <c r="AR37" s="24">
        <f t="shared" si="4"/>
        <v>0</v>
      </c>
      <c r="AS37" s="24">
        <f t="shared" si="4"/>
        <v>0</v>
      </c>
      <c r="AT37" s="24">
        <f t="shared" si="4"/>
        <v>0</v>
      </c>
      <c r="AU37" s="24">
        <f t="shared" si="4"/>
        <v>0</v>
      </c>
      <c r="AV37" s="24">
        <f t="shared" si="4"/>
        <v>0</v>
      </c>
      <c r="AW37" s="24">
        <f t="shared" si="4"/>
        <v>0</v>
      </c>
      <c r="AX37" s="24">
        <f t="shared" si="4"/>
        <v>0</v>
      </c>
      <c r="AY37" s="24">
        <f t="shared" si="4"/>
        <v>0</v>
      </c>
      <c r="AZ37" s="24">
        <f t="shared" si="4"/>
        <v>0</v>
      </c>
      <c r="BA37" s="24">
        <f t="shared" si="4"/>
        <v>0</v>
      </c>
      <c r="BB37" s="24">
        <f t="shared" si="4"/>
        <v>0</v>
      </c>
      <c r="BC37" s="24">
        <f t="shared" si="4"/>
        <v>0</v>
      </c>
      <c r="BD37" s="24">
        <f t="shared" si="4"/>
        <v>0</v>
      </c>
      <c r="BE37" s="24">
        <f t="shared" si="4"/>
        <v>0</v>
      </c>
      <c r="BF37" s="24">
        <f t="shared" si="4"/>
        <v>0</v>
      </c>
      <c r="BG37" s="24">
        <f t="shared" si="4"/>
        <v>0</v>
      </c>
      <c r="BH37" s="24">
        <f t="shared" si="4"/>
        <v>0</v>
      </c>
      <c r="BI37" s="24">
        <f t="shared" si="4"/>
        <v>0</v>
      </c>
      <c r="BJ37" s="24">
        <f t="shared" si="4"/>
        <v>0</v>
      </c>
      <c r="BK37" s="24">
        <f t="shared" si="4"/>
        <v>0</v>
      </c>
      <c r="BL37" s="24">
        <f t="shared" si="4"/>
        <v>0</v>
      </c>
      <c r="BM37" s="24">
        <f t="shared" si="4"/>
        <v>0</v>
      </c>
    </row>
    <row r="38" spans="4:65" x14ac:dyDescent="0.3">
      <c r="D38" s="23" t="s">
        <v>42</v>
      </c>
      <c r="E38" s="25"/>
      <c r="F38" s="24">
        <f t="shared" ref="F38:BM40" si="5">F14*30</f>
        <v>0</v>
      </c>
      <c r="G38" s="24">
        <f t="shared" si="5"/>
        <v>0</v>
      </c>
      <c r="H38" s="24">
        <f t="shared" si="5"/>
        <v>0</v>
      </c>
      <c r="I38" s="24">
        <f t="shared" si="5"/>
        <v>0</v>
      </c>
      <c r="J38" s="24">
        <f t="shared" si="5"/>
        <v>0</v>
      </c>
      <c r="K38" s="24">
        <f t="shared" si="5"/>
        <v>0</v>
      </c>
      <c r="L38" s="24">
        <f t="shared" si="5"/>
        <v>0</v>
      </c>
      <c r="M38" s="24">
        <f t="shared" si="5"/>
        <v>0</v>
      </c>
      <c r="N38" s="24">
        <f t="shared" si="5"/>
        <v>0</v>
      </c>
      <c r="O38" s="24">
        <f t="shared" si="5"/>
        <v>0</v>
      </c>
      <c r="P38" s="24">
        <f t="shared" si="5"/>
        <v>0</v>
      </c>
      <c r="Q38" s="24">
        <f t="shared" si="5"/>
        <v>0</v>
      </c>
      <c r="R38" s="24">
        <f t="shared" si="5"/>
        <v>0</v>
      </c>
      <c r="S38" s="24">
        <f t="shared" si="5"/>
        <v>0</v>
      </c>
      <c r="T38" s="24">
        <f t="shared" si="5"/>
        <v>0</v>
      </c>
      <c r="U38" s="24">
        <f t="shared" si="5"/>
        <v>0</v>
      </c>
      <c r="V38" s="24">
        <f t="shared" si="5"/>
        <v>0</v>
      </c>
      <c r="W38" s="24">
        <f t="shared" si="5"/>
        <v>0</v>
      </c>
      <c r="X38" s="24">
        <f t="shared" si="5"/>
        <v>0</v>
      </c>
      <c r="Y38" s="24">
        <f t="shared" si="5"/>
        <v>0</v>
      </c>
      <c r="Z38" s="24">
        <f t="shared" si="5"/>
        <v>0</v>
      </c>
      <c r="AA38" s="24">
        <f t="shared" si="5"/>
        <v>0</v>
      </c>
      <c r="AB38" s="24">
        <f t="shared" si="5"/>
        <v>0</v>
      </c>
      <c r="AC38" s="24">
        <f t="shared" si="5"/>
        <v>0</v>
      </c>
      <c r="AD38" s="24">
        <f t="shared" si="5"/>
        <v>0</v>
      </c>
      <c r="AE38" s="24">
        <f t="shared" si="5"/>
        <v>0</v>
      </c>
      <c r="AF38" s="24">
        <f t="shared" si="5"/>
        <v>0</v>
      </c>
      <c r="AG38" s="24">
        <f t="shared" si="5"/>
        <v>0</v>
      </c>
      <c r="AH38" s="24">
        <f t="shared" si="5"/>
        <v>0</v>
      </c>
      <c r="AI38" s="24">
        <f t="shared" si="5"/>
        <v>0</v>
      </c>
      <c r="AJ38" s="24">
        <f t="shared" si="5"/>
        <v>0</v>
      </c>
      <c r="AK38" s="24">
        <f t="shared" si="5"/>
        <v>0</v>
      </c>
      <c r="AL38" s="24">
        <f t="shared" si="5"/>
        <v>0</v>
      </c>
      <c r="AM38" s="24">
        <f t="shared" si="5"/>
        <v>0</v>
      </c>
      <c r="AN38" s="24">
        <f t="shared" si="5"/>
        <v>0</v>
      </c>
      <c r="AO38" s="24">
        <f t="shared" si="5"/>
        <v>0</v>
      </c>
      <c r="AP38" s="24">
        <f t="shared" si="5"/>
        <v>0</v>
      </c>
      <c r="AQ38" s="24">
        <f t="shared" si="5"/>
        <v>0</v>
      </c>
      <c r="AR38" s="24">
        <f t="shared" si="5"/>
        <v>0</v>
      </c>
      <c r="AS38" s="24">
        <f t="shared" si="5"/>
        <v>0</v>
      </c>
      <c r="AT38" s="24">
        <f t="shared" si="5"/>
        <v>0</v>
      </c>
      <c r="AU38" s="24">
        <f t="shared" si="5"/>
        <v>0</v>
      </c>
      <c r="AV38" s="24">
        <f t="shared" si="5"/>
        <v>0</v>
      </c>
      <c r="AW38" s="24">
        <f t="shared" si="5"/>
        <v>0</v>
      </c>
      <c r="AX38" s="24">
        <f t="shared" si="5"/>
        <v>0</v>
      </c>
      <c r="AY38" s="24">
        <f t="shared" si="5"/>
        <v>0</v>
      </c>
      <c r="AZ38" s="24">
        <f t="shared" si="5"/>
        <v>0</v>
      </c>
      <c r="BA38" s="24">
        <f t="shared" si="5"/>
        <v>0</v>
      </c>
      <c r="BB38" s="24">
        <f t="shared" si="5"/>
        <v>0</v>
      </c>
      <c r="BC38" s="24">
        <f t="shared" si="5"/>
        <v>0</v>
      </c>
      <c r="BD38" s="24">
        <f t="shared" si="5"/>
        <v>0</v>
      </c>
      <c r="BE38" s="24">
        <f t="shared" si="5"/>
        <v>0</v>
      </c>
      <c r="BF38" s="24">
        <f t="shared" si="5"/>
        <v>0</v>
      </c>
      <c r="BG38" s="24">
        <f t="shared" si="5"/>
        <v>0</v>
      </c>
      <c r="BH38" s="24">
        <f t="shared" si="5"/>
        <v>0</v>
      </c>
      <c r="BI38" s="24">
        <f t="shared" si="5"/>
        <v>0</v>
      </c>
      <c r="BJ38" s="24">
        <f t="shared" si="5"/>
        <v>0</v>
      </c>
      <c r="BK38" s="24">
        <f t="shared" si="5"/>
        <v>0</v>
      </c>
      <c r="BL38" s="24">
        <f t="shared" si="5"/>
        <v>0</v>
      </c>
      <c r="BM38" s="24">
        <f t="shared" si="5"/>
        <v>0</v>
      </c>
    </row>
    <row r="39" spans="4:65" x14ac:dyDescent="0.3">
      <c r="D39" s="23" t="s">
        <v>45</v>
      </c>
      <c r="E39" s="25"/>
      <c r="F39" s="24">
        <f t="shared" si="5"/>
        <v>0</v>
      </c>
      <c r="G39" s="24">
        <f t="shared" si="5"/>
        <v>0</v>
      </c>
      <c r="H39" s="24">
        <f t="shared" si="5"/>
        <v>0</v>
      </c>
      <c r="I39" s="24">
        <f t="shared" si="5"/>
        <v>0</v>
      </c>
      <c r="J39" s="24">
        <f t="shared" si="5"/>
        <v>0</v>
      </c>
      <c r="K39" s="24">
        <f t="shared" si="5"/>
        <v>0</v>
      </c>
      <c r="L39" s="24">
        <f t="shared" si="5"/>
        <v>0</v>
      </c>
      <c r="M39" s="24">
        <f t="shared" si="5"/>
        <v>0</v>
      </c>
      <c r="N39" s="24">
        <f t="shared" si="5"/>
        <v>0</v>
      </c>
      <c r="O39" s="24">
        <f t="shared" si="5"/>
        <v>0</v>
      </c>
      <c r="P39" s="24">
        <f t="shared" si="5"/>
        <v>0</v>
      </c>
      <c r="Q39" s="24">
        <f t="shared" si="5"/>
        <v>0</v>
      </c>
      <c r="R39" s="24">
        <f t="shared" si="5"/>
        <v>0</v>
      </c>
      <c r="S39" s="24">
        <f t="shared" si="5"/>
        <v>0</v>
      </c>
      <c r="T39" s="24">
        <f t="shared" si="5"/>
        <v>0</v>
      </c>
      <c r="U39" s="24">
        <f t="shared" si="5"/>
        <v>0</v>
      </c>
      <c r="V39" s="24">
        <f t="shared" si="5"/>
        <v>0</v>
      </c>
      <c r="W39" s="24">
        <f t="shared" si="5"/>
        <v>0</v>
      </c>
      <c r="X39" s="24">
        <f t="shared" si="5"/>
        <v>0</v>
      </c>
      <c r="Y39" s="24">
        <f t="shared" si="5"/>
        <v>0</v>
      </c>
      <c r="Z39" s="24">
        <f t="shared" si="5"/>
        <v>0</v>
      </c>
      <c r="AA39" s="24">
        <f t="shared" si="5"/>
        <v>0</v>
      </c>
      <c r="AB39" s="24">
        <f t="shared" si="5"/>
        <v>0</v>
      </c>
      <c r="AC39" s="24">
        <f t="shared" si="5"/>
        <v>0</v>
      </c>
      <c r="AD39" s="24">
        <f t="shared" si="5"/>
        <v>0</v>
      </c>
      <c r="AE39" s="24">
        <f t="shared" si="5"/>
        <v>0</v>
      </c>
      <c r="AF39" s="24">
        <f t="shared" si="5"/>
        <v>0</v>
      </c>
      <c r="AG39" s="24">
        <f t="shared" si="5"/>
        <v>0</v>
      </c>
      <c r="AH39" s="24">
        <f t="shared" si="5"/>
        <v>0</v>
      </c>
      <c r="AI39" s="24">
        <f t="shared" si="5"/>
        <v>0</v>
      </c>
      <c r="AJ39" s="24">
        <f t="shared" si="5"/>
        <v>0</v>
      </c>
      <c r="AK39" s="24">
        <f t="shared" si="5"/>
        <v>0</v>
      </c>
      <c r="AL39" s="24">
        <f t="shared" si="5"/>
        <v>0</v>
      </c>
      <c r="AM39" s="24">
        <f t="shared" si="5"/>
        <v>0</v>
      </c>
      <c r="AN39" s="24">
        <f t="shared" si="5"/>
        <v>0</v>
      </c>
      <c r="AO39" s="24">
        <f t="shared" si="5"/>
        <v>0</v>
      </c>
      <c r="AP39" s="24">
        <f t="shared" si="5"/>
        <v>0</v>
      </c>
      <c r="AQ39" s="24">
        <f t="shared" si="5"/>
        <v>0</v>
      </c>
      <c r="AR39" s="24">
        <f t="shared" si="5"/>
        <v>0</v>
      </c>
      <c r="AS39" s="24">
        <f t="shared" si="5"/>
        <v>0</v>
      </c>
      <c r="AT39" s="24">
        <f t="shared" si="5"/>
        <v>0</v>
      </c>
      <c r="AU39" s="24">
        <f t="shared" si="5"/>
        <v>0</v>
      </c>
      <c r="AV39" s="24">
        <f t="shared" si="5"/>
        <v>0</v>
      </c>
      <c r="AW39" s="24">
        <f t="shared" si="5"/>
        <v>0</v>
      </c>
      <c r="AX39" s="24">
        <f t="shared" si="5"/>
        <v>0</v>
      </c>
      <c r="AY39" s="24">
        <f t="shared" si="5"/>
        <v>0</v>
      </c>
      <c r="AZ39" s="24">
        <f t="shared" si="5"/>
        <v>0</v>
      </c>
      <c r="BA39" s="24">
        <f t="shared" si="5"/>
        <v>0</v>
      </c>
      <c r="BB39" s="24">
        <f t="shared" si="5"/>
        <v>0</v>
      </c>
      <c r="BC39" s="24">
        <f t="shared" si="5"/>
        <v>0</v>
      </c>
      <c r="BD39" s="24">
        <f t="shared" si="5"/>
        <v>0</v>
      </c>
      <c r="BE39" s="24">
        <f t="shared" si="5"/>
        <v>0</v>
      </c>
      <c r="BF39" s="24">
        <f t="shared" si="5"/>
        <v>0</v>
      </c>
      <c r="BG39" s="24">
        <f t="shared" si="5"/>
        <v>0</v>
      </c>
      <c r="BH39" s="24">
        <f t="shared" si="5"/>
        <v>0</v>
      </c>
      <c r="BI39" s="24">
        <f t="shared" si="5"/>
        <v>0</v>
      </c>
      <c r="BJ39" s="24">
        <f t="shared" si="5"/>
        <v>0</v>
      </c>
      <c r="BK39" s="24">
        <f t="shared" si="5"/>
        <v>0</v>
      </c>
      <c r="BL39" s="24">
        <f t="shared" si="5"/>
        <v>0</v>
      </c>
      <c r="BM39" s="24">
        <f t="shared" si="5"/>
        <v>0</v>
      </c>
    </row>
    <row r="40" spans="4:65" x14ac:dyDescent="0.3">
      <c r="D40" s="23" t="s">
        <v>47</v>
      </c>
      <c r="E40" s="25"/>
      <c r="F40" s="24">
        <f t="shared" si="5"/>
        <v>0</v>
      </c>
      <c r="G40" s="24">
        <f t="shared" si="5"/>
        <v>0</v>
      </c>
      <c r="H40" s="24">
        <f t="shared" si="5"/>
        <v>0</v>
      </c>
      <c r="I40" s="24">
        <f t="shared" si="5"/>
        <v>0</v>
      </c>
      <c r="J40" s="24">
        <f t="shared" si="5"/>
        <v>0</v>
      </c>
      <c r="K40" s="24">
        <f t="shared" si="5"/>
        <v>0</v>
      </c>
      <c r="L40" s="24">
        <f t="shared" si="5"/>
        <v>0</v>
      </c>
      <c r="M40" s="24">
        <f t="shared" si="5"/>
        <v>0</v>
      </c>
      <c r="N40" s="24">
        <f t="shared" si="5"/>
        <v>0</v>
      </c>
      <c r="O40" s="24">
        <f t="shared" si="5"/>
        <v>0</v>
      </c>
      <c r="P40" s="24">
        <f t="shared" si="5"/>
        <v>0</v>
      </c>
      <c r="Q40" s="24">
        <f t="shared" si="5"/>
        <v>0</v>
      </c>
      <c r="R40" s="24">
        <f t="shared" si="5"/>
        <v>0</v>
      </c>
      <c r="S40" s="24">
        <f t="shared" si="5"/>
        <v>0</v>
      </c>
      <c r="T40" s="24">
        <f t="shared" si="5"/>
        <v>0</v>
      </c>
      <c r="U40" s="24">
        <f t="shared" si="5"/>
        <v>0</v>
      </c>
      <c r="V40" s="24">
        <f t="shared" si="5"/>
        <v>0</v>
      </c>
      <c r="W40" s="24">
        <f t="shared" si="5"/>
        <v>0</v>
      </c>
      <c r="X40" s="24">
        <f t="shared" si="5"/>
        <v>0</v>
      </c>
      <c r="Y40" s="24">
        <f t="shared" si="5"/>
        <v>0</v>
      </c>
      <c r="Z40" s="24">
        <f t="shared" si="5"/>
        <v>0</v>
      </c>
      <c r="AA40" s="24">
        <f t="shared" si="5"/>
        <v>0</v>
      </c>
      <c r="AB40" s="24">
        <f t="shared" si="5"/>
        <v>0</v>
      </c>
      <c r="AC40" s="24">
        <f t="shared" si="5"/>
        <v>0</v>
      </c>
      <c r="AD40" s="24">
        <f t="shared" si="5"/>
        <v>0</v>
      </c>
      <c r="AE40" s="24">
        <f t="shared" si="5"/>
        <v>0</v>
      </c>
      <c r="AF40" s="24">
        <f t="shared" si="5"/>
        <v>0</v>
      </c>
      <c r="AG40" s="24">
        <f t="shared" si="5"/>
        <v>0</v>
      </c>
      <c r="AH40" s="24">
        <f t="shared" si="5"/>
        <v>0</v>
      </c>
      <c r="AI40" s="24">
        <f t="shared" si="5"/>
        <v>0</v>
      </c>
      <c r="AJ40" s="24">
        <f t="shared" si="5"/>
        <v>0</v>
      </c>
      <c r="AK40" s="24">
        <f t="shared" si="5"/>
        <v>0</v>
      </c>
      <c r="AL40" s="24">
        <f t="shared" si="5"/>
        <v>0</v>
      </c>
      <c r="AM40" s="24">
        <f t="shared" si="5"/>
        <v>0</v>
      </c>
      <c r="AN40" s="24">
        <f t="shared" si="5"/>
        <v>0</v>
      </c>
      <c r="AO40" s="24">
        <f t="shared" si="5"/>
        <v>0</v>
      </c>
      <c r="AP40" s="24">
        <f t="shared" si="5"/>
        <v>0</v>
      </c>
      <c r="AQ40" s="24">
        <f t="shared" si="5"/>
        <v>0</v>
      </c>
      <c r="AR40" s="24">
        <f t="shared" si="5"/>
        <v>0</v>
      </c>
      <c r="AS40" s="24">
        <f t="shared" si="5"/>
        <v>0</v>
      </c>
      <c r="AT40" s="24">
        <f t="shared" si="5"/>
        <v>0</v>
      </c>
      <c r="AU40" s="24">
        <f t="shared" si="5"/>
        <v>0</v>
      </c>
      <c r="AV40" s="24">
        <f t="shared" si="5"/>
        <v>0</v>
      </c>
      <c r="AW40" s="24">
        <f t="shared" si="5"/>
        <v>0</v>
      </c>
      <c r="AX40" s="24">
        <f t="shared" si="5"/>
        <v>0</v>
      </c>
      <c r="AY40" s="24">
        <f t="shared" si="5"/>
        <v>0</v>
      </c>
      <c r="AZ40" s="24">
        <f t="shared" si="5"/>
        <v>0</v>
      </c>
      <c r="BA40" s="24">
        <f t="shared" si="5"/>
        <v>0</v>
      </c>
      <c r="BB40" s="24">
        <f t="shared" si="5"/>
        <v>0</v>
      </c>
      <c r="BC40" s="24">
        <f t="shared" si="5"/>
        <v>0</v>
      </c>
      <c r="BD40" s="24">
        <f t="shared" si="5"/>
        <v>0</v>
      </c>
      <c r="BE40" s="24">
        <f t="shared" si="5"/>
        <v>0</v>
      </c>
      <c r="BF40" s="24">
        <f t="shared" si="5"/>
        <v>0</v>
      </c>
      <c r="BG40" s="24">
        <f t="shared" si="5"/>
        <v>0</v>
      </c>
      <c r="BH40" s="24">
        <f t="shared" si="5"/>
        <v>0</v>
      </c>
      <c r="BI40" s="24">
        <f t="shared" si="5"/>
        <v>0</v>
      </c>
      <c r="BJ40" s="24">
        <f t="shared" si="5"/>
        <v>0</v>
      </c>
      <c r="BK40" s="24">
        <f t="shared" si="5"/>
        <v>0</v>
      </c>
      <c r="BL40" s="24">
        <f t="shared" si="5"/>
        <v>0</v>
      </c>
      <c r="BM40" s="24">
        <f t="shared" si="5"/>
        <v>0</v>
      </c>
    </row>
    <row r="41" spans="4:65" x14ac:dyDescent="0.3">
      <c r="D41" s="23" t="s">
        <v>50</v>
      </c>
      <c r="E41" s="25"/>
      <c r="F41" s="24">
        <f t="shared" ref="F41:BM41" si="6">F17*40</f>
        <v>0</v>
      </c>
      <c r="G41" s="24">
        <f t="shared" si="6"/>
        <v>0</v>
      </c>
      <c r="H41" s="24">
        <f t="shared" si="6"/>
        <v>0</v>
      </c>
      <c r="I41" s="24">
        <f t="shared" si="6"/>
        <v>0</v>
      </c>
      <c r="J41" s="24">
        <f t="shared" si="6"/>
        <v>0</v>
      </c>
      <c r="K41" s="24">
        <f t="shared" si="6"/>
        <v>0</v>
      </c>
      <c r="L41" s="24">
        <f t="shared" si="6"/>
        <v>0</v>
      </c>
      <c r="M41" s="24">
        <f t="shared" si="6"/>
        <v>0</v>
      </c>
      <c r="N41" s="24">
        <f t="shared" si="6"/>
        <v>0</v>
      </c>
      <c r="O41" s="24">
        <f t="shared" si="6"/>
        <v>0</v>
      </c>
      <c r="P41" s="24">
        <f t="shared" si="6"/>
        <v>0</v>
      </c>
      <c r="Q41" s="24">
        <f t="shared" si="6"/>
        <v>0</v>
      </c>
      <c r="R41" s="24">
        <f t="shared" si="6"/>
        <v>0</v>
      </c>
      <c r="S41" s="24">
        <f t="shared" si="6"/>
        <v>0</v>
      </c>
      <c r="T41" s="24">
        <f t="shared" si="6"/>
        <v>0</v>
      </c>
      <c r="U41" s="24">
        <f t="shared" si="6"/>
        <v>0</v>
      </c>
      <c r="V41" s="24">
        <f t="shared" si="6"/>
        <v>0</v>
      </c>
      <c r="W41" s="24">
        <f t="shared" si="6"/>
        <v>0</v>
      </c>
      <c r="X41" s="24">
        <f t="shared" si="6"/>
        <v>0</v>
      </c>
      <c r="Y41" s="24">
        <f t="shared" si="6"/>
        <v>0</v>
      </c>
      <c r="Z41" s="24">
        <f t="shared" si="6"/>
        <v>0</v>
      </c>
      <c r="AA41" s="24">
        <f t="shared" si="6"/>
        <v>0</v>
      </c>
      <c r="AB41" s="24">
        <f t="shared" si="6"/>
        <v>0</v>
      </c>
      <c r="AC41" s="24">
        <f t="shared" si="6"/>
        <v>0</v>
      </c>
      <c r="AD41" s="24">
        <f t="shared" si="6"/>
        <v>0</v>
      </c>
      <c r="AE41" s="24">
        <f t="shared" si="6"/>
        <v>0</v>
      </c>
      <c r="AF41" s="24">
        <f t="shared" si="6"/>
        <v>0</v>
      </c>
      <c r="AG41" s="24">
        <f t="shared" si="6"/>
        <v>0</v>
      </c>
      <c r="AH41" s="24">
        <f t="shared" si="6"/>
        <v>0</v>
      </c>
      <c r="AI41" s="24">
        <f t="shared" si="6"/>
        <v>0</v>
      </c>
      <c r="AJ41" s="24">
        <f t="shared" si="6"/>
        <v>0</v>
      </c>
      <c r="AK41" s="24">
        <f t="shared" si="6"/>
        <v>0</v>
      </c>
      <c r="AL41" s="24">
        <f t="shared" si="6"/>
        <v>0</v>
      </c>
      <c r="AM41" s="24">
        <f t="shared" si="6"/>
        <v>0</v>
      </c>
      <c r="AN41" s="24">
        <f t="shared" si="6"/>
        <v>0</v>
      </c>
      <c r="AO41" s="24">
        <f t="shared" si="6"/>
        <v>0</v>
      </c>
      <c r="AP41" s="24">
        <f t="shared" si="6"/>
        <v>0</v>
      </c>
      <c r="AQ41" s="24">
        <f t="shared" si="6"/>
        <v>0</v>
      </c>
      <c r="AR41" s="24">
        <f t="shared" si="6"/>
        <v>0</v>
      </c>
      <c r="AS41" s="24">
        <f t="shared" si="6"/>
        <v>0</v>
      </c>
      <c r="AT41" s="24">
        <f t="shared" si="6"/>
        <v>0</v>
      </c>
      <c r="AU41" s="24">
        <f t="shared" si="6"/>
        <v>0</v>
      </c>
      <c r="AV41" s="24">
        <f t="shared" si="6"/>
        <v>0</v>
      </c>
      <c r="AW41" s="24">
        <f t="shared" si="6"/>
        <v>0</v>
      </c>
      <c r="AX41" s="24">
        <f t="shared" si="6"/>
        <v>0</v>
      </c>
      <c r="AY41" s="24">
        <f t="shared" si="6"/>
        <v>0</v>
      </c>
      <c r="AZ41" s="24">
        <f t="shared" si="6"/>
        <v>0</v>
      </c>
      <c r="BA41" s="24">
        <f t="shared" si="6"/>
        <v>0</v>
      </c>
      <c r="BB41" s="24">
        <f t="shared" si="6"/>
        <v>0</v>
      </c>
      <c r="BC41" s="24">
        <f t="shared" si="6"/>
        <v>0</v>
      </c>
      <c r="BD41" s="24">
        <f t="shared" si="6"/>
        <v>0</v>
      </c>
      <c r="BE41" s="24">
        <f t="shared" si="6"/>
        <v>0</v>
      </c>
      <c r="BF41" s="24">
        <f t="shared" si="6"/>
        <v>0</v>
      </c>
      <c r="BG41" s="24">
        <f t="shared" si="6"/>
        <v>0</v>
      </c>
      <c r="BH41" s="24">
        <f t="shared" si="6"/>
        <v>0</v>
      </c>
      <c r="BI41" s="24">
        <f t="shared" si="6"/>
        <v>0</v>
      </c>
      <c r="BJ41" s="24">
        <f t="shared" si="6"/>
        <v>0</v>
      </c>
      <c r="BK41" s="24">
        <f t="shared" si="6"/>
        <v>0</v>
      </c>
      <c r="BL41" s="24">
        <f t="shared" si="6"/>
        <v>0</v>
      </c>
      <c r="BM41" s="24">
        <f t="shared" si="6"/>
        <v>0</v>
      </c>
    </row>
    <row r="42" spans="4:65" x14ac:dyDescent="0.3">
      <c r="D42" s="23" t="s">
        <v>52</v>
      </c>
      <c r="E42" s="25"/>
      <c r="F42" s="24">
        <f t="shared" ref="F42:BM46" si="7">F18*35</f>
        <v>0</v>
      </c>
      <c r="G42" s="24">
        <f t="shared" si="7"/>
        <v>0</v>
      </c>
      <c r="H42" s="24">
        <f t="shared" si="7"/>
        <v>0</v>
      </c>
      <c r="I42" s="24">
        <f t="shared" si="7"/>
        <v>0</v>
      </c>
      <c r="J42" s="24">
        <f t="shared" si="7"/>
        <v>0</v>
      </c>
      <c r="K42" s="24">
        <f t="shared" si="7"/>
        <v>0</v>
      </c>
      <c r="L42" s="24">
        <f t="shared" si="7"/>
        <v>0</v>
      </c>
      <c r="M42" s="24">
        <f t="shared" si="7"/>
        <v>0</v>
      </c>
      <c r="N42" s="24">
        <f t="shared" si="7"/>
        <v>0</v>
      </c>
      <c r="O42" s="24">
        <f t="shared" si="7"/>
        <v>0</v>
      </c>
      <c r="P42" s="24">
        <f t="shared" si="7"/>
        <v>0</v>
      </c>
      <c r="Q42" s="24">
        <f t="shared" si="7"/>
        <v>0</v>
      </c>
      <c r="R42" s="24">
        <f t="shared" si="7"/>
        <v>0</v>
      </c>
      <c r="S42" s="24">
        <f t="shared" si="7"/>
        <v>0</v>
      </c>
      <c r="T42" s="24">
        <f t="shared" si="7"/>
        <v>0</v>
      </c>
      <c r="U42" s="24">
        <f t="shared" si="7"/>
        <v>0</v>
      </c>
      <c r="V42" s="24">
        <f t="shared" si="7"/>
        <v>0</v>
      </c>
      <c r="W42" s="24">
        <f t="shared" si="7"/>
        <v>0</v>
      </c>
      <c r="X42" s="24">
        <f t="shared" si="7"/>
        <v>0</v>
      </c>
      <c r="Y42" s="24">
        <f t="shared" si="7"/>
        <v>0</v>
      </c>
      <c r="Z42" s="24">
        <f t="shared" si="7"/>
        <v>0</v>
      </c>
      <c r="AA42" s="24">
        <f t="shared" si="7"/>
        <v>0</v>
      </c>
      <c r="AB42" s="24">
        <f t="shared" si="7"/>
        <v>0</v>
      </c>
      <c r="AC42" s="24">
        <f t="shared" si="7"/>
        <v>0</v>
      </c>
      <c r="AD42" s="24">
        <f t="shared" si="7"/>
        <v>0</v>
      </c>
      <c r="AE42" s="24">
        <f t="shared" si="7"/>
        <v>0</v>
      </c>
      <c r="AF42" s="24">
        <f t="shared" si="7"/>
        <v>0</v>
      </c>
      <c r="AG42" s="24">
        <f t="shared" si="7"/>
        <v>0</v>
      </c>
      <c r="AH42" s="24">
        <f t="shared" si="7"/>
        <v>0</v>
      </c>
      <c r="AI42" s="24">
        <f t="shared" si="7"/>
        <v>0</v>
      </c>
      <c r="AJ42" s="24">
        <f t="shared" si="7"/>
        <v>0</v>
      </c>
      <c r="AK42" s="24">
        <f t="shared" si="7"/>
        <v>0</v>
      </c>
      <c r="AL42" s="24">
        <f t="shared" si="7"/>
        <v>0</v>
      </c>
      <c r="AM42" s="24">
        <f t="shared" si="7"/>
        <v>0</v>
      </c>
      <c r="AN42" s="24">
        <f t="shared" si="7"/>
        <v>0</v>
      </c>
      <c r="AO42" s="24">
        <f t="shared" si="7"/>
        <v>0</v>
      </c>
      <c r="AP42" s="24">
        <f t="shared" si="7"/>
        <v>0</v>
      </c>
      <c r="AQ42" s="24">
        <f t="shared" si="7"/>
        <v>0</v>
      </c>
      <c r="AR42" s="24">
        <f t="shared" si="7"/>
        <v>0</v>
      </c>
      <c r="AS42" s="24">
        <f t="shared" si="7"/>
        <v>0</v>
      </c>
      <c r="AT42" s="24">
        <f t="shared" si="7"/>
        <v>0</v>
      </c>
      <c r="AU42" s="24">
        <f t="shared" si="7"/>
        <v>0</v>
      </c>
      <c r="AV42" s="24">
        <f t="shared" si="7"/>
        <v>0</v>
      </c>
      <c r="AW42" s="24">
        <f t="shared" si="7"/>
        <v>0</v>
      </c>
      <c r="AX42" s="24">
        <f t="shared" si="7"/>
        <v>0</v>
      </c>
      <c r="AY42" s="24">
        <f t="shared" si="7"/>
        <v>0</v>
      </c>
      <c r="AZ42" s="24">
        <f t="shared" si="7"/>
        <v>0</v>
      </c>
      <c r="BA42" s="24">
        <f t="shared" si="7"/>
        <v>0</v>
      </c>
      <c r="BB42" s="24">
        <f t="shared" si="7"/>
        <v>0</v>
      </c>
      <c r="BC42" s="24">
        <f t="shared" si="7"/>
        <v>0</v>
      </c>
      <c r="BD42" s="24">
        <f t="shared" si="7"/>
        <v>0</v>
      </c>
      <c r="BE42" s="24">
        <f t="shared" si="7"/>
        <v>0</v>
      </c>
      <c r="BF42" s="24">
        <f t="shared" si="7"/>
        <v>0</v>
      </c>
      <c r="BG42" s="24">
        <f t="shared" si="7"/>
        <v>0</v>
      </c>
      <c r="BH42" s="24">
        <f t="shared" si="7"/>
        <v>0</v>
      </c>
      <c r="BI42" s="24">
        <f t="shared" si="7"/>
        <v>0</v>
      </c>
      <c r="BJ42" s="24">
        <f t="shared" si="7"/>
        <v>0</v>
      </c>
      <c r="BK42" s="24">
        <f t="shared" si="7"/>
        <v>0</v>
      </c>
      <c r="BL42" s="24">
        <f t="shared" si="7"/>
        <v>0</v>
      </c>
      <c r="BM42" s="24">
        <f t="shared" si="7"/>
        <v>0</v>
      </c>
    </row>
    <row r="43" spans="4:65" x14ac:dyDescent="0.3">
      <c r="D43" s="23" t="s">
        <v>54</v>
      </c>
      <c r="E43" s="25"/>
      <c r="F43" s="24">
        <f t="shared" si="7"/>
        <v>0</v>
      </c>
      <c r="G43" s="24">
        <f t="shared" si="7"/>
        <v>0</v>
      </c>
      <c r="H43" s="24">
        <f t="shared" si="7"/>
        <v>0</v>
      </c>
      <c r="I43" s="24">
        <f t="shared" si="7"/>
        <v>0</v>
      </c>
      <c r="J43" s="24">
        <f t="shared" si="7"/>
        <v>0</v>
      </c>
      <c r="K43" s="24">
        <f t="shared" si="7"/>
        <v>0</v>
      </c>
      <c r="L43" s="24">
        <f t="shared" si="7"/>
        <v>0</v>
      </c>
      <c r="M43" s="24">
        <f t="shared" si="7"/>
        <v>0</v>
      </c>
      <c r="N43" s="24">
        <f t="shared" si="7"/>
        <v>0</v>
      </c>
      <c r="O43" s="24">
        <f t="shared" si="7"/>
        <v>0</v>
      </c>
      <c r="P43" s="24">
        <f t="shared" si="7"/>
        <v>0</v>
      </c>
      <c r="Q43" s="24">
        <f t="shared" si="7"/>
        <v>0</v>
      </c>
      <c r="R43" s="24">
        <f t="shared" si="7"/>
        <v>0</v>
      </c>
      <c r="S43" s="24">
        <f t="shared" si="7"/>
        <v>0</v>
      </c>
      <c r="T43" s="24">
        <f t="shared" si="7"/>
        <v>0</v>
      </c>
      <c r="U43" s="24">
        <f t="shared" si="7"/>
        <v>0</v>
      </c>
      <c r="V43" s="24">
        <f t="shared" si="7"/>
        <v>0</v>
      </c>
      <c r="W43" s="24">
        <f t="shared" si="7"/>
        <v>0</v>
      </c>
      <c r="X43" s="24">
        <f t="shared" si="7"/>
        <v>0</v>
      </c>
      <c r="Y43" s="24">
        <f t="shared" si="7"/>
        <v>0</v>
      </c>
      <c r="Z43" s="24">
        <f t="shared" si="7"/>
        <v>0</v>
      </c>
      <c r="AA43" s="24">
        <f t="shared" si="7"/>
        <v>0</v>
      </c>
      <c r="AB43" s="24">
        <f t="shared" si="7"/>
        <v>0</v>
      </c>
      <c r="AC43" s="24">
        <f t="shared" si="7"/>
        <v>0</v>
      </c>
      <c r="AD43" s="24">
        <f t="shared" si="7"/>
        <v>0</v>
      </c>
      <c r="AE43" s="24">
        <f t="shared" si="7"/>
        <v>0</v>
      </c>
      <c r="AF43" s="24">
        <f t="shared" si="7"/>
        <v>0</v>
      </c>
      <c r="AG43" s="24">
        <f t="shared" si="7"/>
        <v>0</v>
      </c>
      <c r="AH43" s="24">
        <f t="shared" si="7"/>
        <v>0</v>
      </c>
      <c r="AI43" s="24">
        <f t="shared" si="7"/>
        <v>0</v>
      </c>
      <c r="AJ43" s="24">
        <f t="shared" si="7"/>
        <v>0</v>
      </c>
      <c r="AK43" s="24">
        <f t="shared" si="7"/>
        <v>0</v>
      </c>
      <c r="AL43" s="24">
        <f t="shared" si="7"/>
        <v>0</v>
      </c>
      <c r="AM43" s="24">
        <f t="shared" si="7"/>
        <v>0</v>
      </c>
      <c r="AN43" s="24">
        <f t="shared" si="7"/>
        <v>0</v>
      </c>
      <c r="AO43" s="24">
        <f t="shared" si="7"/>
        <v>0</v>
      </c>
      <c r="AP43" s="24">
        <f t="shared" si="7"/>
        <v>0</v>
      </c>
      <c r="AQ43" s="24">
        <f t="shared" si="7"/>
        <v>0</v>
      </c>
      <c r="AR43" s="24">
        <f t="shared" si="7"/>
        <v>0</v>
      </c>
      <c r="AS43" s="24">
        <f t="shared" si="7"/>
        <v>0</v>
      </c>
      <c r="AT43" s="24">
        <f t="shared" si="7"/>
        <v>0</v>
      </c>
      <c r="AU43" s="24">
        <f t="shared" si="7"/>
        <v>0</v>
      </c>
      <c r="AV43" s="24">
        <f t="shared" si="7"/>
        <v>0</v>
      </c>
      <c r="AW43" s="24">
        <f t="shared" si="7"/>
        <v>0</v>
      </c>
      <c r="AX43" s="24">
        <f t="shared" si="7"/>
        <v>0</v>
      </c>
      <c r="AY43" s="24">
        <f t="shared" si="7"/>
        <v>0</v>
      </c>
      <c r="AZ43" s="24">
        <f t="shared" si="7"/>
        <v>0</v>
      </c>
      <c r="BA43" s="24">
        <f t="shared" si="7"/>
        <v>0</v>
      </c>
      <c r="BB43" s="24">
        <f t="shared" si="7"/>
        <v>0</v>
      </c>
      <c r="BC43" s="24">
        <f t="shared" si="7"/>
        <v>0</v>
      </c>
      <c r="BD43" s="24">
        <f t="shared" si="7"/>
        <v>0</v>
      </c>
      <c r="BE43" s="24">
        <f t="shared" si="7"/>
        <v>0</v>
      </c>
      <c r="BF43" s="24">
        <f t="shared" si="7"/>
        <v>0</v>
      </c>
      <c r="BG43" s="24">
        <f t="shared" si="7"/>
        <v>0</v>
      </c>
      <c r="BH43" s="24">
        <f t="shared" si="7"/>
        <v>0</v>
      </c>
      <c r="BI43" s="24">
        <f t="shared" si="7"/>
        <v>0</v>
      </c>
      <c r="BJ43" s="24">
        <f t="shared" si="7"/>
        <v>0</v>
      </c>
      <c r="BK43" s="24">
        <f t="shared" si="7"/>
        <v>0</v>
      </c>
      <c r="BL43" s="24">
        <f t="shared" si="7"/>
        <v>0</v>
      </c>
      <c r="BM43" s="24">
        <f t="shared" si="7"/>
        <v>0</v>
      </c>
    </row>
    <row r="44" spans="4:65" x14ac:dyDescent="0.3">
      <c r="D44" s="6" t="s">
        <v>56</v>
      </c>
      <c r="E44" s="25"/>
      <c r="F44" s="24">
        <f t="shared" si="7"/>
        <v>0</v>
      </c>
      <c r="G44" s="24">
        <f t="shared" si="7"/>
        <v>0</v>
      </c>
      <c r="H44" s="24">
        <f t="shared" si="7"/>
        <v>0</v>
      </c>
      <c r="I44" s="24">
        <f t="shared" si="7"/>
        <v>0</v>
      </c>
      <c r="J44" s="24">
        <f t="shared" si="7"/>
        <v>0</v>
      </c>
      <c r="K44" s="24">
        <f t="shared" si="7"/>
        <v>0</v>
      </c>
      <c r="L44" s="24">
        <f t="shared" si="7"/>
        <v>0</v>
      </c>
      <c r="M44" s="24">
        <f t="shared" si="7"/>
        <v>0</v>
      </c>
      <c r="N44" s="24">
        <f t="shared" si="7"/>
        <v>0</v>
      </c>
      <c r="O44" s="24">
        <f t="shared" si="7"/>
        <v>0</v>
      </c>
      <c r="P44" s="24">
        <f t="shared" si="7"/>
        <v>0</v>
      </c>
      <c r="Q44" s="24">
        <f t="shared" si="7"/>
        <v>0</v>
      </c>
      <c r="R44" s="24">
        <f t="shared" si="7"/>
        <v>0</v>
      </c>
      <c r="S44" s="24">
        <f t="shared" si="7"/>
        <v>0</v>
      </c>
      <c r="T44" s="24">
        <f t="shared" si="7"/>
        <v>0</v>
      </c>
      <c r="U44" s="24">
        <f t="shared" si="7"/>
        <v>0</v>
      </c>
      <c r="V44" s="24">
        <f t="shared" si="7"/>
        <v>0</v>
      </c>
      <c r="W44" s="24">
        <f t="shared" si="7"/>
        <v>0</v>
      </c>
      <c r="X44" s="24">
        <f t="shared" si="7"/>
        <v>0</v>
      </c>
      <c r="Y44" s="24">
        <f t="shared" si="7"/>
        <v>0</v>
      </c>
      <c r="Z44" s="24">
        <f t="shared" si="7"/>
        <v>0</v>
      </c>
      <c r="AA44" s="24">
        <f t="shared" si="7"/>
        <v>0</v>
      </c>
      <c r="AB44" s="24">
        <f t="shared" si="7"/>
        <v>0</v>
      </c>
      <c r="AC44" s="24">
        <f t="shared" si="7"/>
        <v>0</v>
      </c>
      <c r="AD44" s="24">
        <f t="shared" si="7"/>
        <v>0</v>
      </c>
      <c r="AE44" s="24">
        <f t="shared" si="7"/>
        <v>0</v>
      </c>
      <c r="AF44" s="24">
        <f t="shared" si="7"/>
        <v>0</v>
      </c>
      <c r="AG44" s="24">
        <f t="shared" si="7"/>
        <v>0</v>
      </c>
      <c r="AH44" s="24">
        <f t="shared" si="7"/>
        <v>0</v>
      </c>
      <c r="AI44" s="24">
        <f t="shared" si="7"/>
        <v>0</v>
      </c>
      <c r="AJ44" s="24">
        <f t="shared" si="7"/>
        <v>0</v>
      </c>
      <c r="AK44" s="24">
        <f t="shared" si="7"/>
        <v>0</v>
      </c>
      <c r="AL44" s="24">
        <f t="shared" si="7"/>
        <v>0</v>
      </c>
      <c r="AM44" s="24">
        <f t="shared" si="7"/>
        <v>0</v>
      </c>
      <c r="AN44" s="24">
        <f t="shared" si="7"/>
        <v>0</v>
      </c>
      <c r="AO44" s="24">
        <f t="shared" si="7"/>
        <v>0</v>
      </c>
      <c r="AP44" s="24">
        <f t="shared" si="7"/>
        <v>0</v>
      </c>
      <c r="AQ44" s="24">
        <f t="shared" si="7"/>
        <v>0</v>
      </c>
      <c r="AR44" s="24">
        <f t="shared" si="7"/>
        <v>0</v>
      </c>
      <c r="AS44" s="24">
        <f t="shared" si="7"/>
        <v>0</v>
      </c>
      <c r="AT44" s="24">
        <f t="shared" si="7"/>
        <v>0</v>
      </c>
      <c r="AU44" s="24">
        <f t="shared" si="7"/>
        <v>0</v>
      </c>
      <c r="AV44" s="24">
        <f t="shared" si="7"/>
        <v>0</v>
      </c>
      <c r="AW44" s="24">
        <f t="shared" si="7"/>
        <v>0</v>
      </c>
      <c r="AX44" s="24">
        <f t="shared" si="7"/>
        <v>0</v>
      </c>
      <c r="AY44" s="24">
        <f t="shared" si="7"/>
        <v>0</v>
      </c>
      <c r="AZ44" s="24">
        <f t="shared" si="7"/>
        <v>0</v>
      </c>
      <c r="BA44" s="24">
        <f t="shared" si="7"/>
        <v>0</v>
      </c>
      <c r="BB44" s="24">
        <f t="shared" si="7"/>
        <v>0</v>
      </c>
      <c r="BC44" s="24">
        <f t="shared" si="7"/>
        <v>0</v>
      </c>
      <c r="BD44" s="24">
        <f t="shared" si="7"/>
        <v>0</v>
      </c>
      <c r="BE44" s="24">
        <f t="shared" si="7"/>
        <v>0</v>
      </c>
      <c r="BF44" s="24">
        <f t="shared" si="7"/>
        <v>0</v>
      </c>
      <c r="BG44" s="24">
        <f t="shared" si="7"/>
        <v>0</v>
      </c>
      <c r="BH44" s="24">
        <f t="shared" si="7"/>
        <v>0</v>
      </c>
      <c r="BI44" s="24">
        <f t="shared" si="7"/>
        <v>0</v>
      </c>
      <c r="BJ44" s="24">
        <f t="shared" si="7"/>
        <v>0</v>
      </c>
      <c r="BK44" s="24">
        <f t="shared" si="7"/>
        <v>0</v>
      </c>
      <c r="BL44" s="24">
        <f t="shared" si="7"/>
        <v>0</v>
      </c>
      <c r="BM44" s="24">
        <f t="shared" si="7"/>
        <v>0</v>
      </c>
    </row>
    <row r="45" spans="4:65" x14ac:dyDescent="0.3">
      <c r="D45" s="6" t="s">
        <v>58</v>
      </c>
      <c r="E45" s="25"/>
      <c r="F45" s="24">
        <f t="shared" si="7"/>
        <v>0</v>
      </c>
      <c r="G45" s="24">
        <f t="shared" si="7"/>
        <v>0</v>
      </c>
      <c r="H45" s="24">
        <f t="shared" si="7"/>
        <v>0</v>
      </c>
      <c r="I45" s="24">
        <f t="shared" si="7"/>
        <v>0</v>
      </c>
      <c r="J45" s="24">
        <f t="shared" si="7"/>
        <v>0</v>
      </c>
      <c r="K45" s="24">
        <f t="shared" si="7"/>
        <v>0</v>
      </c>
      <c r="L45" s="24">
        <f t="shared" si="7"/>
        <v>0</v>
      </c>
      <c r="M45" s="24">
        <f t="shared" si="7"/>
        <v>0</v>
      </c>
      <c r="N45" s="24">
        <f t="shared" si="7"/>
        <v>0</v>
      </c>
      <c r="O45" s="24">
        <f t="shared" si="7"/>
        <v>0</v>
      </c>
      <c r="P45" s="24">
        <f t="shared" si="7"/>
        <v>0</v>
      </c>
      <c r="Q45" s="24">
        <f t="shared" si="7"/>
        <v>0</v>
      </c>
      <c r="R45" s="24">
        <f t="shared" si="7"/>
        <v>0</v>
      </c>
      <c r="S45" s="24">
        <f t="shared" si="7"/>
        <v>0</v>
      </c>
      <c r="T45" s="24">
        <f t="shared" si="7"/>
        <v>0</v>
      </c>
      <c r="U45" s="24">
        <f t="shared" si="7"/>
        <v>0</v>
      </c>
      <c r="V45" s="24">
        <f t="shared" si="7"/>
        <v>0</v>
      </c>
      <c r="W45" s="24">
        <f t="shared" si="7"/>
        <v>0</v>
      </c>
      <c r="X45" s="24">
        <f t="shared" si="7"/>
        <v>0</v>
      </c>
      <c r="Y45" s="24">
        <f t="shared" si="7"/>
        <v>0</v>
      </c>
      <c r="Z45" s="24">
        <f t="shared" si="7"/>
        <v>0</v>
      </c>
      <c r="AA45" s="24">
        <f t="shared" si="7"/>
        <v>0</v>
      </c>
      <c r="AB45" s="24">
        <f t="shared" si="7"/>
        <v>0</v>
      </c>
      <c r="AC45" s="24">
        <f t="shared" si="7"/>
        <v>0</v>
      </c>
      <c r="AD45" s="24">
        <f t="shared" si="7"/>
        <v>0</v>
      </c>
      <c r="AE45" s="24">
        <f t="shared" si="7"/>
        <v>0</v>
      </c>
      <c r="AF45" s="24">
        <f t="shared" si="7"/>
        <v>0</v>
      </c>
      <c r="AG45" s="24">
        <f t="shared" si="7"/>
        <v>0</v>
      </c>
      <c r="AH45" s="24">
        <f t="shared" si="7"/>
        <v>0</v>
      </c>
      <c r="AI45" s="24">
        <f t="shared" si="7"/>
        <v>0</v>
      </c>
      <c r="AJ45" s="24">
        <f t="shared" si="7"/>
        <v>0</v>
      </c>
      <c r="AK45" s="24">
        <f t="shared" si="7"/>
        <v>0</v>
      </c>
      <c r="AL45" s="24">
        <f t="shared" si="7"/>
        <v>0</v>
      </c>
      <c r="AM45" s="24">
        <f t="shared" si="7"/>
        <v>0</v>
      </c>
      <c r="AN45" s="24">
        <f t="shared" si="7"/>
        <v>0</v>
      </c>
      <c r="AO45" s="24">
        <f t="shared" si="7"/>
        <v>0</v>
      </c>
      <c r="AP45" s="24">
        <f t="shared" si="7"/>
        <v>0</v>
      </c>
      <c r="AQ45" s="24">
        <f t="shared" si="7"/>
        <v>0</v>
      </c>
      <c r="AR45" s="24">
        <f t="shared" si="7"/>
        <v>0</v>
      </c>
      <c r="AS45" s="24">
        <f t="shared" si="7"/>
        <v>0</v>
      </c>
      <c r="AT45" s="24">
        <f t="shared" si="7"/>
        <v>0</v>
      </c>
      <c r="AU45" s="24">
        <f t="shared" si="7"/>
        <v>0</v>
      </c>
      <c r="AV45" s="24">
        <f t="shared" si="7"/>
        <v>0</v>
      </c>
      <c r="AW45" s="24">
        <f t="shared" si="7"/>
        <v>0</v>
      </c>
      <c r="AX45" s="24">
        <f t="shared" si="7"/>
        <v>0</v>
      </c>
      <c r="AY45" s="24">
        <f t="shared" si="7"/>
        <v>0</v>
      </c>
      <c r="AZ45" s="24">
        <f t="shared" si="7"/>
        <v>0</v>
      </c>
      <c r="BA45" s="24">
        <f t="shared" si="7"/>
        <v>0</v>
      </c>
      <c r="BB45" s="24">
        <f t="shared" si="7"/>
        <v>0</v>
      </c>
      <c r="BC45" s="24">
        <f t="shared" si="7"/>
        <v>0</v>
      </c>
      <c r="BD45" s="24">
        <f t="shared" si="7"/>
        <v>0</v>
      </c>
      <c r="BE45" s="24">
        <f t="shared" si="7"/>
        <v>0</v>
      </c>
      <c r="BF45" s="24">
        <f t="shared" si="7"/>
        <v>0</v>
      </c>
      <c r="BG45" s="24">
        <f t="shared" si="7"/>
        <v>0</v>
      </c>
      <c r="BH45" s="24">
        <f t="shared" si="7"/>
        <v>0</v>
      </c>
      <c r="BI45" s="24">
        <f t="shared" si="7"/>
        <v>0</v>
      </c>
      <c r="BJ45" s="24">
        <f t="shared" si="7"/>
        <v>0</v>
      </c>
      <c r="BK45" s="24">
        <f t="shared" si="7"/>
        <v>0</v>
      </c>
      <c r="BL45" s="24">
        <f t="shared" si="7"/>
        <v>0</v>
      </c>
      <c r="BM45" s="24">
        <f t="shared" si="7"/>
        <v>0</v>
      </c>
    </row>
    <row r="46" spans="4:65" x14ac:dyDescent="0.3">
      <c r="D46" s="23" t="s">
        <v>60</v>
      </c>
      <c r="E46" s="25"/>
      <c r="F46" s="24">
        <f t="shared" si="7"/>
        <v>0</v>
      </c>
      <c r="G46" s="24">
        <f t="shared" si="7"/>
        <v>0</v>
      </c>
      <c r="H46" s="24">
        <f t="shared" si="7"/>
        <v>0</v>
      </c>
      <c r="I46" s="24">
        <f t="shared" si="7"/>
        <v>0</v>
      </c>
      <c r="J46" s="24">
        <f t="shared" si="7"/>
        <v>0</v>
      </c>
      <c r="K46" s="24">
        <f t="shared" si="7"/>
        <v>0</v>
      </c>
      <c r="L46" s="24">
        <f t="shared" si="7"/>
        <v>0</v>
      </c>
      <c r="M46" s="24">
        <f t="shared" si="7"/>
        <v>0</v>
      </c>
      <c r="N46" s="24">
        <f t="shared" si="7"/>
        <v>0</v>
      </c>
      <c r="O46" s="24">
        <f t="shared" si="7"/>
        <v>0</v>
      </c>
      <c r="P46" s="24">
        <f t="shared" si="7"/>
        <v>0</v>
      </c>
      <c r="Q46" s="24">
        <f t="shared" si="7"/>
        <v>0</v>
      </c>
      <c r="R46" s="24">
        <f t="shared" si="7"/>
        <v>0</v>
      </c>
      <c r="S46" s="24">
        <f t="shared" si="7"/>
        <v>0</v>
      </c>
      <c r="T46" s="24">
        <f t="shared" si="7"/>
        <v>0</v>
      </c>
      <c r="U46" s="24">
        <f t="shared" ref="U46:BM47" si="8">U22*35</f>
        <v>0</v>
      </c>
      <c r="V46" s="24">
        <f t="shared" si="8"/>
        <v>0</v>
      </c>
      <c r="W46" s="24">
        <f t="shared" si="8"/>
        <v>0</v>
      </c>
      <c r="X46" s="24">
        <f t="shared" si="8"/>
        <v>0</v>
      </c>
      <c r="Y46" s="24">
        <f t="shared" si="8"/>
        <v>0</v>
      </c>
      <c r="Z46" s="24">
        <f t="shared" si="8"/>
        <v>0</v>
      </c>
      <c r="AA46" s="24">
        <f t="shared" si="8"/>
        <v>0</v>
      </c>
      <c r="AB46" s="24">
        <f t="shared" si="8"/>
        <v>0</v>
      </c>
      <c r="AC46" s="24">
        <f t="shared" si="8"/>
        <v>0</v>
      </c>
      <c r="AD46" s="24">
        <f t="shared" si="8"/>
        <v>0</v>
      </c>
      <c r="AE46" s="24">
        <f t="shared" si="8"/>
        <v>0</v>
      </c>
      <c r="AF46" s="24">
        <f t="shared" si="8"/>
        <v>0</v>
      </c>
      <c r="AG46" s="24">
        <f t="shared" si="8"/>
        <v>0</v>
      </c>
      <c r="AH46" s="24">
        <f t="shared" si="8"/>
        <v>0</v>
      </c>
      <c r="AI46" s="24">
        <f t="shared" si="8"/>
        <v>0</v>
      </c>
      <c r="AJ46" s="24">
        <f t="shared" si="8"/>
        <v>0</v>
      </c>
      <c r="AK46" s="24">
        <f t="shared" si="8"/>
        <v>0</v>
      </c>
      <c r="AL46" s="24">
        <f t="shared" si="8"/>
        <v>0</v>
      </c>
      <c r="AM46" s="24">
        <f t="shared" si="8"/>
        <v>0</v>
      </c>
      <c r="AN46" s="24">
        <f t="shared" si="8"/>
        <v>0</v>
      </c>
      <c r="AO46" s="24">
        <f t="shared" si="8"/>
        <v>0</v>
      </c>
      <c r="AP46" s="24">
        <f t="shared" si="8"/>
        <v>0</v>
      </c>
      <c r="AQ46" s="24">
        <f t="shared" si="8"/>
        <v>0</v>
      </c>
      <c r="AR46" s="24">
        <f t="shared" si="8"/>
        <v>0</v>
      </c>
      <c r="AS46" s="24">
        <f t="shared" si="8"/>
        <v>0</v>
      </c>
      <c r="AT46" s="24">
        <f t="shared" si="8"/>
        <v>0</v>
      </c>
      <c r="AU46" s="24">
        <f t="shared" si="8"/>
        <v>0</v>
      </c>
      <c r="AV46" s="24">
        <f t="shared" si="8"/>
        <v>0</v>
      </c>
      <c r="AW46" s="24">
        <f t="shared" si="8"/>
        <v>0</v>
      </c>
      <c r="AX46" s="24">
        <f t="shared" si="8"/>
        <v>0</v>
      </c>
      <c r="AY46" s="24">
        <f t="shared" si="8"/>
        <v>0</v>
      </c>
      <c r="AZ46" s="24">
        <f t="shared" si="8"/>
        <v>0</v>
      </c>
      <c r="BA46" s="24">
        <f t="shared" si="8"/>
        <v>0</v>
      </c>
      <c r="BB46" s="24">
        <f t="shared" si="8"/>
        <v>0</v>
      </c>
      <c r="BC46" s="24">
        <f t="shared" si="8"/>
        <v>0</v>
      </c>
      <c r="BD46" s="24">
        <f t="shared" si="8"/>
        <v>0</v>
      </c>
      <c r="BE46" s="24">
        <f t="shared" si="8"/>
        <v>0</v>
      </c>
      <c r="BF46" s="24">
        <f t="shared" si="8"/>
        <v>0</v>
      </c>
      <c r="BG46" s="24">
        <f t="shared" si="8"/>
        <v>0</v>
      </c>
      <c r="BH46" s="24">
        <f t="shared" si="8"/>
        <v>0</v>
      </c>
      <c r="BI46" s="24">
        <f t="shared" si="8"/>
        <v>0</v>
      </c>
      <c r="BJ46" s="24">
        <f t="shared" si="8"/>
        <v>0</v>
      </c>
      <c r="BK46" s="24">
        <f t="shared" si="8"/>
        <v>0</v>
      </c>
      <c r="BL46" s="24">
        <f t="shared" si="8"/>
        <v>0</v>
      </c>
      <c r="BM46" s="24">
        <f t="shared" si="8"/>
        <v>0</v>
      </c>
    </row>
    <row r="47" spans="4:65" x14ac:dyDescent="0.3">
      <c r="D47" s="23" t="s">
        <v>64</v>
      </c>
      <c r="E47" s="25"/>
      <c r="F47" s="24">
        <f t="shared" ref="F47:AK47" si="9">F23*35</f>
        <v>0</v>
      </c>
      <c r="G47" s="24">
        <f t="shared" si="9"/>
        <v>0</v>
      </c>
      <c r="H47" s="24">
        <f t="shared" si="9"/>
        <v>0</v>
      </c>
      <c r="I47" s="24">
        <f t="shared" si="9"/>
        <v>0</v>
      </c>
      <c r="J47" s="24">
        <f t="shared" si="9"/>
        <v>0</v>
      </c>
      <c r="K47" s="24">
        <f t="shared" si="9"/>
        <v>0</v>
      </c>
      <c r="L47" s="24">
        <f t="shared" si="9"/>
        <v>0</v>
      </c>
      <c r="M47" s="24">
        <f t="shared" si="9"/>
        <v>0</v>
      </c>
      <c r="N47" s="24">
        <f t="shared" si="9"/>
        <v>0</v>
      </c>
      <c r="O47" s="24">
        <f t="shared" si="9"/>
        <v>0</v>
      </c>
      <c r="P47" s="24">
        <f t="shared" si="9"/>
        <v>0</v>
      </c>
      <c r="Q47" s="24">
        <f t="shared" si="9"/>
        <v>0</v>
      </c>
      <c r="R47" s="24">
        <f t="shared" si="9"/>
        <v>0</v>
      </c>
      <c r="S47" s="24">
        <f t="shared" si="9"/>
        <v>0</v>
      </c>
      <c r="T47" s="24">
        <f t="shared" si="9"/>
        <v>0</v>
      </c>
      <c r="U47" s="24">
        <f t="shared" si="9"/>
        <v>0</v>
      </c>
      <c r="V47" s="24">
        <f t="shared" si="9"/>
        <v>0</v>
      </c>
      <c r="W47" s="24">
        <f t="shared" si="9"/>
        <v>0</v>
      </c>
      <c r="X47" s="24">
        <f t="shared" si="9"/>
        <v>0</v>
      </c>
      <c r="Y47" s="24">
        <f t="shared" si="9"/>
        <v>0</v>
      </c>
      <c r="Z47" s="24">
        <f t="shared" si="9"/>
        <v>0</v>
      </c>
      <c r="AA47" s="24">
        <f t="shared" si="9"/>
        <v>0</v>
      </c>
      <c r="AB47" s="24">
        <f t="shared" si="9"/>
        <v>0</v>
      </c>
      <c r="AC47" s="24">
        <f t="shared" si="9"/>
        <v>0</v>
      </c>
      <c r="AD47" s="24">
        <f t="shared" si="9"/>
        <v>0</v>
      </c>
      <c r="AE47" s="24">
        <f t="shared" si="9"/>
        <v>0</v>
      </c>
      <c r="AF47" s="24">
        <f t="shared" si="9"/>
        <v>0</v>
      </c>
      <c r="AG47" s="24">
        <f t="shared" si="9"/>
        <v>0</v>
      </c>
      <c r="AH47" s="24">
        <f t="shared" si="9"/>
        <v>0</v>
      </c>
      <c r="AI47" s="24">
        <f t="shared" si="9"/>
        <v>0</v>
      </c>
      <c r="AJ47" s="24">
        <f t="shared" si="9"/>
        <v>0</v>
      </c>
      <c r="AK47" s="24">
        <f t="shared" si="9"/>
        <v>0</v>
      </c>
      <c r="AL47" s="24">
        <f t="shared" si="8"/>
        <v>0</v>
      </c>
      <c r="AM47" s="24">
        <f t="shared" si="8"/>
        <v>0</v>
      </c>
      <c r="AN47" s="24">
        <f t="shared" si="8"/>
        <v>0</v>
      </c>
      <c r="AO47" s="24">
        <f t="shared" si="8"/>
        <v>0</v>
      </c>
      <c r="AP47" s="24">
        <f t="shared" si="8"/>
        <v>0</v>
      </c>
      <c r="AQ47" s="24">
        <f t="shared" si="8"/>
        <v>0</v>
      </c>
      <c r="AR47" s="24">
        <f t="shared" si="8"/>
        <v>0</v>
      </c>
      <c r="AS47" s="24">
        <f t="shared" si="8"/>
        <v>0</v>
      </c>
      <c r="AT47" s="24">
        <f t="shared" si="8"/>
        <v>0</v>
      </c>
      <c r="AU47" s="24">
        <f t="shared" si="8"/>
        <v>0</v>
      </c>
      <c r="AV47" s="24">
        <f t="shared" si="8"/>
        <v>0</v>
      </c>
      <c r="AW47" s="24">
        <f t="shared" si="8"/>
        <v>0</v>
      </c>
      <c r="AX47" s="24">
        <f t="shared" si="8"/>
        <v>0</v>
      </c>
      <c r="AY47" s="24">
        <f t="shared" si="8"/>
        <v>0</v>
      </c>
      <c r="AZ47" s="24">
        <f t="shared" si="8"/>
        <v>0</v>
      </c>
      <c r="BA47" s="24">
        <f t="shared" si="8"/>
        <v>0</v>
      </c>
      <c r="BB47" s="24">
        <f t="shared" si="8"/>
        <v>0</v>
      </c>
      <c r="BC47" s="24">
        <f t="shared" si="8"/>
        <v>0</v>
      </c>
      <c r="BD47" s="24">
        <f t="shared" si="8"/>
        <v>0</v>
      </c>
      <c r="BE47" s="24">
        <f t="shared" si="8"/>
        <v>0</v>
      </c>
      <c r="BF47" s="24">
        <f t="shared" si="8"/>
        <v>0</v>
      </c>
      <c r="BG47" s="24">
        <f t="shared" si="8"/>
        <v>0</v>
      </c>
      <c r="BH47" s="24">
        <f t="shared" si="8"/>
        <v>0</v>
      </c>
      <c r="BI47" s="24">
        <f t="shared" si="8"/>
        <v>0</v>
      </c>
      <c r="BJ47" s="24">
        <f t="shared" si="8"/>
        <v>0</v>
      </c>
      <c r="BK47" s="24">
        <f t="shared" si="8"/>
        <v>0</v>
      </c>
      <c r="BL47" s="24">
        <f t="shared" si="8"/>
        <v>0</v>
      </c>
      <c r="BM47" s="24">
        <f t="shared" si="8"/>
        <v>0</v>
      </c>
    </row>
    <row r="48" spans="4:65" x14ac:dyDescent="0.3">
      <c r="D48" s="23" t="s">
        <v>69</v>
      </c>
      <c r="E48" s="25"/>
      <c r="F48" s="24">
        <f t="shared" ref="F48:BM48" si="10">F24*45</f>
        <v>0</v>
      </c>
      <c r="G48" s="24">
        <f t="shared" si="10"/>
        <v>0</v>
      </c>
      <c r="H48" s="24">
        <f t="shared" si="10"/>
        <v>0</v>
      </c>
      <c r="I48" s="24">
        <f t="shared" si="10"/>
        <v>0</v>
      </c>
      <c r="J48" s="24">
        <f t="shared" si="10"/>
        <v>0</v>
      </c>
      <c r="K48" s="24">
        <f t="shared" si="10"/>
        <v>0</v>
      </c>
      <c r="L48" s="24">
        <f t="shared" si="10"/>
        <v>0</v>
      </c>
      <c r="M48" s="24">
        <f t="shared" si="10"/>
        <v>0</v>
      </c>
      <c r="N48" s="24">
        <f t="shared" si="10"/>
        <v>0</v>
      </c>
      <c r="O48" s="24">
        <f t="shared" si="10"/>
        <v>0</v>
      </c>
      <c r="P48" s="24">
        <f t="shared" si="10"/>
        <v>0</v>
      </c>
      <c r="Q48" s="24">
        <f t="shared" si="10"/>
        <v>0</v>
      </c>
      <c r="R48" s="24">
        <f t="shared" si="10"/>
        <v>0</v>
      </c>
      <c r="S48" s="24">
        <f t="shared" si="10"/>
        <v>0</v>
      </c>
      <c r="T48" s="24">
        <f t="shared" si="10"/>
        <v>0</v>
      </c>
      <c r="U48" s="24">
        <f t="shared" si="10"/>
        <v>0</v>
      </c>
      <c r="V48" s="24">
        <f t="shared" si="10"/>
        <v>0</v>
      </c>
      <c r="W48" s="24">
        <f t="shared" si="10"/>
        <v>0</v>
      </c>
      <c r="X48" s="24">
        <f t="shared" si="10"/>
        <v>0</v>
      </c>
      <c r="Y48" s="24">
        <f t="shared" si="10"/>
        <v>0</v>
      </c>
      <c r="Z48" s="24">
        <f t="shared" si="10"/>
        <v>0</v>
      </c>
      <c r="AA48" s="24">
        <f t="shared" si="10"/>
        <v>0</v>
      </c>
      <c r="AB48" s="24">
        <f t="shared" si="10"/>
        <v>0</v>
      </c>
      <c r="AC48" s="24">
        <f t="shared" si="10"/>
        <v>0</v>
      </c>
      <c r="AD48" s="24">
        <f t="shared" si="10"/>
        <v>0</v>
      </c>
      <c r="AE48" s="24">
        <f t="shared" si="10"/>
        <v>0</v>
      </c>
      <c r="AF48" s="24">
        <f t="shared" si="10"/>
        <v>0</v>
      </c>
      <c r="AG48" s="24">
        <f t="shared" si="10"/>
        <v>0</v>
      </c>
      <c r="AH48" s="24">
        <f t="shared" si="10"/>
        <v>0</v>
      </c>
      <c r="AI48" s="24">
        <f t="shared" si="10"/>
        <v>0</v>
      </c>
      <c r="AJ48" s="24">
        <f t="shared" si="10"/>
        <v>0</v>
      </c>
      <c r="AK48" s="24">
        <f t="shared" si="10"/>
        <v>0</v>
      </c>
      <c r="AL48" s="24">
        <f t="shared" si="10"/>
        <v>0</v>
      </c>
      <c r="AM48" s="24">
        <f t="shared" si="10"/>
        <v>0</v>
      </c>
      <c r="AN48" s="24">
        <f t="shared" si="10"/>
        <v>0</v>
      </c>
      <c r="AO48" s="24">
        <f t="shared" si="10"/>
        <v>0</v>
      </c>
      <c r="AP48" s="24">
        <f t="shared" si="10"/>
        <v>0</v>
      </c>
      <c r="AQ48" s="24">
        <f t="shared" si="10"/>
        <v>0</v>
      </c>
      <c r="AR48" s="24">
        <f t="shared" si="10"/>
        <v>0</v>
      </c>
      <c r="AS48" s="24">
        <f t="shared" si="10"/>
        <v>0</v>
      </c>
      <c r="AT48" s="24">
        <f t="shared" si="10"/>
        <v>0</v>
      </c>
      <c r="AU48" s="24">
        <f t="shared" si="10"/>
        <v>0</v>
      </c>
      <c r="AV48" s="24">
        <f t="shared" si="10"/>
        <v>0</v>
      </c>
      <c r="AW48" s="24">
        <f t="shared" si="10"/>
        <v>0</v>
      </c>
      <c r="AX48" s="24">
        <f t="shared" si="10"/>
        <v>0</v>
      </c>
      <c r="AY48" s="24">
        <f t="shared" si="10"/>
        <v>0</v>
      </c>
      <c r="AZ48" s="24">
        <f t="shared" si="10"/>
        <v>0</v>
      </c>
      <c r="BA48" s="24">
        <f t="shared" si="10"/>
        <v>0</v>
      </c>
      <c r="BB48" s="24">
        <f t="shared" si="10"/>
        <v>0</v>
      </c>
      <c r="BC48" s="24">
        <f t="shared" si="10"/>
        <v>0</v>
      </c>
      <c r="BD48" s="24">
        <f t="shared" si="10"/>
        <v>0</v>
      </c>
      <c r="BE48" s="24">
        <f t="shared" si="10"/>
        <v>0</v>
      </c>
      <c r="BF48" s="24">
        <f t="shared" si="10"/>
        <v>0</v>
      </c>
      <c r="BG48" s="24">
        <f t="shared" si="10"/>
        <v>0</v>
      </c>
      <c r="BH48" s="24">
        <f t="shared" si="10"/>
        <v>0</v>
      </c>
      <c r="BI48" s="24">
        <f t="shared" si="10"/>
        <v>0</v>
      </c>
      <c r="BJ48" s="24">
        <f t="shared" si="10"/>
        <v>0</v>
      </c>
      <c r="BK48" s="24">
        <f t="shared" si="10"/>
        <v>0</v>
      </c>
      <c r="BL48" s="24">
        <f t="shared" si="10"/>
        <v>0</v>
      </c>
      <c r="BM48" s="24">
        <f t="shared" si="10"/>
        <v>0</v>
      </c>
    </row>
    <row r="49" spans="1:69" x14ac:dyDescent="0.3">
      <c r="D49" s="23" t="s">
        <v>67</v>
      </c>
      <c r="E49" s="25"/>
      <c r="F49" s="24">
        <f t="shared" ref="F49:BM50" si="11">F25*35</f>
        <v>0</v>
      </c>
      <c r="G49" s="24">
        <f t="shared" si="11"/>
        <v>0</v>
      </c>
      <c r="H49" s="24">
        <f t="shared" si="11"/>
        <v>0</v>
      </c>
      <c r="I49" s="24">
        <f t="shared" si="11"/>
        <v>0</v>
      </c>
      <c r="J49" s="24">
        <f t="shared" si="11"/>
        <v>0</v>
      </c>
      <c r="K49" s="24">
        <f t="shared" si="11"/>
        <v>0</v>
      </c>
      <c r="L49" s="24">
        <f t="shared" si="11"/>
        <v>0</v>
      </c>
      <c r="M49" s="24">
        <f t="shared" si="11"/>
        <v>0</v>
      </c>
      <c r="N49" s="24">
        <f t="shared" si="11"/>
        <v>0</v>
      </c>
      <c r="O49" s="24">
        <f t="shared" si="11"/>
        <v>0</v>
      </c>
      <c r="P49" s="24">
        <f t="shared" si="11"/>
        <v>0</v>
      </c>
      <c r="Q49" s="24">
        <f t="shared" si="11"/>
        <v>0</v>
      </c>
      <c r="R49" s="24">
        <f t="shared" si="11"/>
        <v>0</v>
      </c>
      <c r="S49" s="24">
        <f t="shared" si="11"/>
        <v>0</v>
      </c>
      <c r="T49" s="24">
        <f t="shared" si="11"/>
        <v>0</v>
      </c>
      <c r="U49" s="24">
        <f t="shared" si="11"/>
        <v>0</v>
      </c>
      <c r="V49" s="24">
        <f t="shared" si="11"/>
        <v>0</v>
      </c>
      <c r="W49" s="24">
        <f t="shared" si="11"/>
        <v>0</v>
      </c>
      <c r="X49" s="24">
        <f t="shared" si="11"/>
        <v>0</v>
      </c>
      <c r="Y49" s="24">
        <f t="shared" si="11"/>
        <v>0</v>
      </c>
      <c r="Z49" s="24">
        <f t="shared" si="11"/>
        <v>0</v>
      </c>
      <c r="AA49" s="24">
        <f t="shared" si="11"/>
        <v>0</v>
      </c>
      <c r="AB49" s="24">
        <f t="shared" si="11"/>
        <v>0</v>
      </c>
      <c r="AC49" s="24">
        <f t="shared" si="11"/>
        <v>0</v>
      </c>
      <c r="AD49" s="24">
        <f t="shared" si="11"/>
        <v>0</v>
      </c>
      <c r="AE49" s="24">
        <f t="shared" si="11"/>
        <v>0</v>
      </c>
      <c r="AF49" s="24">
        <f t="shared" si="11"/>
        <v>0</v>
      </c>
      <c r="AG49" s="24">
        <f t="shared" si="11"/>
        <v>0</v>
      </c>
      <c r="AH49" s="24">
        <f t="shared" si="11"/>
        <v>0</v>
      </c>
      <c r="AI49" s="24">
        <f t="shared" si="11"/>
        <v>0</v>
      </c>
      <c r="AJ49" s="24">
        <f t="shared" si="11"/>
        <v>0</v>
      </c>
      <c r="AK49" s="24">
        <f t="shared" si="11"/>
        <v>0</v>
      </c>
      <c r="AL49" s="24">
        <f t="shared" si="11"/>
        <v>0</v>
      </c>
      <c r="AM49" s="24">
        <f t="shared" si="11"/>
        <v>0</v>
      </c>
      <c r="AN49" s="24">
        <f t="shared" si="11"/>
        <v>0</v>
      </c>
      <c r="AO49" s="24">
        <f t="shared" si="11"/>
        <v>0</v>
      </c>
      <c r="AP49" s="24">
        <f t="shared" si="11"/>
        <v>0</v>
      </c>
      <c r="AQ49" s="24">
        <f t="shared" si="11"/>
        <v>0</v>
      </c>
      <c r="AR49" s="24">
        <f t="shared" si="11"/>
        <v>0</v>
      </c>
      <c r="AS49" s="24">
        <f t="shared" si="11"/>
        <v>0</v>
      </c>
      <c r="AT49" s="24">
        <f t="shared" si="11"/>
        <v>0</v>
      </c>
      <c r="AU49" s="24">
        <f t="shared" si="11"/>
        <v>0</v>
      </c>
      <c r="AV49" s="24">
        <f t="shared" si="11"/>
        <v>0</v>
      </c>
      <c r="AW49" s="24">
        <f t="shared" si="11"/>
        <v>0</v>
      </c>
      <c r="AX49" s="24">
        <f t="shared" si="11"/>
        <v>0</v>
      </c>
      <c r="AY49" s="24">
        <f t="shared" si="11"/>
        <v>0</v>
      </c>
      <c r="AZ49" s="24">
        <f t="shared" si="11"/>
        <v>0</v>
      </c>
      <c r="BA49" s="24">
        <f t="shared" si="11"/>
        <v>0</v>
      </c>
      <c r="BB49" s="24">
        <f t="shared" si="11"/>
        <v>0</v>
      </c>
      <c r="BC49" s="24">
        <f t="shared" si="11"/>
        <v>0</v>
      </c>
      <c r="BD49" s="24">
        <f t="shared" si="11"/>
        <v>0</v>
      </c>
      <c r="BE49" s="24">
        <f t="shared" si="11"/>
        <v>0</v>
      </c>
      <c r="BF49" s="24">
        <f t="shared" si="11"/>
        <v>0</v>
      </c>
      <c r="BG49" s="24">
        <f t="shared" si="11"/>
        <v>0</v>
      </c>
      <c r="BH49" s="24">
        <f t="shared" si="11"/>
        <v>0</v>
      </c>
      <c r="BI49" s="24">
        <f t="shared" si="11"/>
        <v>0</v>
      </c>
      <c r="BJ49" s="24">
        <f t="shared" si="11"/>
        <v>0</v>
      </c>
      <c r="BK49" s="24">
        <f t="shared" si="11"/>
        <v>0</v>
      </c>
      <c r="BL49" s="24">
        <f t="shared" si="11"/>
        <v>0</v>
      </c>
      <c r="BM49" s="24">
        <f t="shared" si="11"/>
        <v>0</v>
      </c>
    </row>
    <row r="50" spans="1:69" x14ac:dyDescent="0.3">
      <c r="D50" s="23" t="s">
        <v>72</v>
      </c>
      <c r="E50" s="25"/>
      <c r="F50" s="24">
        <f>F26*35</f>
        <v>0</v>
      </c>
      <c r="G50" s="24">
        <f t="shared" si="11"/>
        <v>0</v>
      </c>
      <c r="H50" s="24">
        <f t="shared" si="11"/>
        <v>0</v>
      </c>
      <c r="I50" s="24">
        <f t="shared" si="11"/>
        <v>0</v>
      </c>
      <c r="J50" s="24">
        <f t="shared" si="11"/>
        <v>0</v>
      </c>
      <c r="K50" s="24">
        <f t="shared" si="11"/>
        <v>0</v>
      </c>
      <c r="L50" s="24">
        <f t="shared" si="11"/>
        <v>0</v>
      </c>
      <c r="M50" s="24">
        <f t="shared" si="11"/>
        <v>0</v>
      </c>
      <c r="N50" s="24">
        <f t="shared" si="11"/>
        <v>0</v>
      </c>
      <c r="O50" s="24">
        <f t="shared" si="11"/>
        <v>0</v>
      </c>
      <c r="P50" s="24">
        <f t="shared" si="11"/>
        <v>0</v>
      </c>
      <c r="Q50" s="24">
        <f t="shared" si="11"/>
        <v>0</v>
      </c>
      <c r="R50" s="24">
        <f t="shared" si="11"/>
        <v>0</v>
      </c>
      <c r="S50" s="24">
        <f t="shared" si="11"/>
        <v>0</v>
      </c>
      <c r="T50" s="24">
        <f t="shared" si="11"/>
        <v>0</v>
      </c>
      <c r="U50" s="24">
        <f t="shared" si="11"/>
        <v>0</v>
      </c>
      <c r="V50" s="24">
        <f t="shared" si="11"/>
        <v>0</v>
      </c>
      <c r="W50" s="24">
        <f t="shared" si="11"/>
        <v>0</v>
      </c>
      <c r="X50" s="24">
        <f t="shared" si="11"/>
        <v>0</v>
      </c>
      <c r="Y50" s="24">
        <f t="shared" si="11"/>
        <v>0</v>
      </c>
      <c r="Z50" s="24">
        <f t="shared" si="11"/>
        <v>0</v>
      </c>
      <c r="AA50" s="24">
        <f t="shared" si="11"/>
        <v>0</v>
      </c>
      <c r="AB50" s="24">
        <f t="shared" si="11"/>
        <v>0</v>
      </c>
      <c r="AC50" s="24">
        <f t="shared" si="11"/>
        <v>0</v>
      </c>
      <c r="AD50" s="24">
        <f t="shared" si="11"/>
        <v>0</v>
      </c>
      <c r="AE50" s="24">
        <f t="shared" si="11"/>
        <v>0</v>
      </c>
      <c r="AF50" s="24">
        <f t="shared" si="11"/>
        <v>0</v>
      </c>
      <c r="AG50" s="24">
        <f t="shared" si="11"/>
        <v>0</v>
      </c>
      <c r="AH50" s="24">
        <f t="shared" si="11"/>
        <v>0</v>
      </c>
      <c r="AI50" s="24">
        <f t="shared" si="11"/>
        <v>0</v>
      </c>
      <c r="AJ50" s="24">
        <f t="shared" si="11"/>
        <v>0</v>
      </c>
      <c r="AK50" s="24">
        <f t="shared" si="11"/>
        <v>0</v>
      </c>
      <c r="AL50" s="24">
        <f t="shared" si="11"/>
        <v>0</v>
      </c>
      <c r="AM50" s="24">
        <f t="shared" si="11"/>
        <v>0</v>
      </c>
      <c r="AN50" s="24">
        <f t="shared" si="11"/>
        <v>0</v>
      </c>
      <c r="AO50" s="24">
        <f t="shared" si="11"/>
        <v>0</v>
      </c>
      <c r="AP50" s="24">
        <f t="shared" si="11"/>
        <v>0</v>
      </c>
      <c r="AQ50" s="24">
        <f t="shared" si="11"/>
        <v>0</v>
      </c>
      <c r="AR50" s="24">
        <f t="shared" si="11"/>
        <v>0</v>
      </c>
      <c r="AS50" s="24">
        <f t="shared" si="11"/>
        <v>0</v>
      </c>
      <c r="AT50" s="24">
        <f t="shared" si="11"/>
        <v>0</v>
      </c>
      <c r="AU50" s="24">
        <f t="shared" si="11"/>
        <v>0</v>
      </c>
      <c r="AV50" s="24">
        <f t="shared" si="11"/>
        <v>0</v>
      </c>
      <c r="AW50" s="24">
        <f t="shared" si="11"/>
        <v>0</v>
      </c>
      <c r="AX50" s="24">
        <f t="shared" si="11"/>
        <v>0</v>
      </c>
      <c r="AY50" s="24">
        <f t="shared" si="11"/>
        <v>0</v>
      </c>
      <c r="AZ50" s="24">
        <f t="shared" si="11"/>
        <v>0</v>
      </c>
      <c r="BA50" s="24">
        <f t="shared" si="11"/>
        <v>0</v>
      </c>
      <c r="BB50" s="24">
        <f t="shared" si="11"/>
        <v>0</v>
      </c>
      <c r="BC50" s="24">
        <f t="shared" si="11"/>
        <v>0</v>
      </c>
      <c r="BD50" s="24">
        <f t="shared" si="11"/>
        <v>0</v>
      </c>
      <c r="BE50" s="24">
        <f t="shared" si="11"/>
        <v>0</v>
      </c>
      <c r="BF50" s="24">
        <f t="shared" si="11"/>
        <v>0</v>
      </c>
      <c r="BG50" s="24">
        <f t="shared" si="11"/>
        <v>0</v>
      </c>
      <c r="BH50" s="24">
        <f t="shared" si="11"/>
        <v>0</v>
      </c>
      <c r="BI50" s="24">
        <f t="shared" si="11"/>
        <v>0</v>
      </c>
      <c r="BJ50" s="24">
        <f t="shared" si="11"/>
        <v>0</v>
      </c>
      <c r="BK50" s="24">
        <f t="shared" si="11"/>
        <v>0</v>
      </c>
      <c r="BL50" s="24">
        <f t="shared" si="11"/>
        <v>0</v>
      </c>
      <c r="BM50" s="24">
        <f t="shared" si="11"/>
        <v>0</v>
      </c>
    </row>
    <row r="51" spans="1:69" x14ac:dyDescent="0.3">
      <c r="D51" s="23" t="s">
        <v>78</v>
      </c>
      <c r="E51" s="25"/>
      <c r="F51" s="24">
        <f t="shared" ref="F51:BM51" si="12">F27*15</f>
        <v>0</v>
      </c>
      <c r="G51" s="24">
        <f t="shared" si="12"/>
        <v>0</v>
      </c>
      <c r="H51" s="24">
        <f t="shared" si="12"/>
        <v>0</v>
      </c>
      <c r="I51" s="24">
        <f t="shared" si="12"/>
        <v>0</v>
      </c>
      <c r="J51" s="24">
        <f t="shared" si="12"/>
        <v>0</v>
      </c>
      <c r="K51" s="24">
        <f t="shared" si="12"/>
        <v>0</v>
      </c>
      <c r="L51" s="24">
        <f t="shared" si="12"/>
        <v>0</v>
      </c>
      <c r="M51" s="24">
        <f t="shared" si="12"/>
        <v>0</v>
      </c>
      <c r="N51" s="24">
        <f t="shared" si="12"/>
        <v>0</v>
      </c>
      <c r="O51" s="24">
        <f t="shared" si="12"/>
        <v>0</v>
      </c>
      <c r="P51" s="24">
        <f t="shared" si="12"/>
        <v>0</v>
      </c>
      <c r="Q51" s="24">
        <f t="shared" si="12"/>
        <v>0</v>
      </c>
      <c r="R51" s="24">
        <f t="shared" si="12"/>
        <v>0</v>
      </c>
      <c r="S51" s="24">
        <f t="shared" si="12"/>
        <v>0</v>
      </c>
      <c r="T51" s="24">
        <f t="shared" si="12"/>
        <v>0</v>
      </c>
      <c r="U51" s="24">
        <f t="shared" si="12"/>
        <v>0</v>
      </c>
      <c r="V51" s="24">
        <f t="shared" si="12"/>
        <v>0</v>
      </c>
      <c r="W51" s="24">
        <f t="shared" si="12"/>
        <v>0</v>
      </c>
      <c r="X51" s="24">
        <f t="shared" si="12"/>
        <v>0</v>
      </c>
      <c r="Y51" s="24">
        <f t="shared" si="12"/>
        <v>0</v>
      </c>
      <c r="Z51" s="24">
        <f t="shared" si="12"/>
        <v>0</v>
      </c>
      <c r="AA51" s="24">
        <f t="shared" si="12"/>
        <v>0</v>
      </c>
      <c r="AB51" s="24">
        <f t="shared" si="12"/>
        <v>0</v>
      </c>
      <c r="AC51" s="24">
        <f t="shared" si="12"/>
        <v>0</v>
      </c>
      <c r="AD51" s="24">
        <f t="shared" si="12"/>
        <v>0</v>
      </c>
      <c r="AE51" s="24">
        <f t="shared" si="12"/>
        <v>0</v>
      </c>
      <c r="AF51" s="24">
        <f t="shared" si="12"/>
        <v>0</v>
      </c>
      <c r="AG51" s="24">
        <f t="shared" si="12"/>
        <v>0</v>
      </c>
      <c r="AH51" s="24">
        <f t="shared" si="12"/>
        <v>0</v>
      </c>
      <c r="AI51" s="24">
        <f t="shared" si="12"/>
        <v>0</v>
      </c>
      <c r="AJ51" s="24">
        <f t="shared" si="12"/>
        <v>0</v>
      </c>
      <c r="AK51" s="24">
        <f t="shared" si="12"/>
        <v>0</v>
      </c>
      <c r="AL51" s="24">
        <f t="shared" si="12"/>
        <v>0</v>
      </c>
      <c r="AM51" s="24">
        <f t="shared" si="12"/>
        <v>0</v>
      </c>
      <c r="AN51" s="24">
        <f t="shared" si="12"/>
        <v>0</v>
      </c>
      <c r="AO51" s="24">
        <f t="shared" si="12"/>
        <v>0</v>
      </c>
      <c r="AP51" s="24">
        <f t="shared" si="12"/>
        <v>0</v>
      </c>
      <c r="AQ51" s="24">
        <f t="shared" si="12"/>
        <v>0</v>
      </c>
      <c r="AR51" s="24">
        <f t="shared" si="12"/>
        <v>0</v>
      </c>
      <c r="AS51" s="24">
        <f t="shared" si="12"/>
        <v>0</v>
      </c>
      <c r="AT51" s="24">
        <f t="shared" si="12"/>
        <v>0</v>
      </c>
      <c r="AU51" s="24">
        <f t="shared" si="12"/>
        <v>0</v>
      </c>
      <c r="AV51" s="24">
        <f t="shared" si="12"/>
        <v>0</v>
      </c>
      <c r="AW51" s="24">
        <f t="shared" si="12"/>
        <v>0</v>
      </c>
      <c r="AX51" s="24">
        <f t="shared" si="12"/>
        <v>0</v>
      </c>
      <c r="AY51" s="24">
        <f t="shared" si="12"/>
        <v>0</v>
      </c>
      <c r="AZ51" s="24">
        <f t="shared" si="12"/>
        <v>0</v>
      </c>
      <c r="BA51" s="24">
        <f t="shared" si="12"/>
        <v>0</v>
      </c>
      <c r="BB51" s="24">
        <f t="shared" si="12"/>
        <v>0</v>
      </c>
      <c r="BC51" s="24">
        <f t="shared" si="12"/>
        <v>0</v>
      </c>
      <c r="BD51" s="24">
        <f t="shared" si="12"/>
        <v>0</v>
      </c>
      <c r="BE51" s="24">
        <f t="shared" si="12"/>
        <v>0</v>
      </c>
      <c r="BF51" s="24">
        <f t="shared" si="12"/>
        <v>0</v>
      </c>
      <c r="BG51" s="24">
        <f t="shared" si="12"/>
        <v>0</v>
      </c>
      <c r="BH51" s="24">
        <f t="shared" si="12"/>
        <v>0</v>
      </c>
      <c r="BI51" s="24">
        <f t="shared" si="12"/>
        <v>0</v>
      </c>
      <c r="BJ51" s="24">
        <f t="shared" si="12"/>
        <v>0</v>
      </c>
      <c r="BK51" s="24">
        <f t="shared" si="12"/>
        <v>0</v>
      </c>
      <c r="BL51" s="24">
        <f t="shared" si="12"/>
        <v>0</v>
      </c>
      <c r="BM51" s="24">
        <f t="shared" si="12"/>
        <v>0</v>
      </c>
      <c r="BP51" s="24"/>
      <c r="BQ51" s="24"/>
    </row>
    <row r="52" spans="1:69" x14ac:dyDescent="0.3">
      <c r="D52" s="26"/>
      <c r="E52" s="26" t="s">
        <v>73</v>
      </c>
      <c r="F52" s="27">
        <f>SUM(F30:F51)</f>
        <v>0</v>
      </c>
      <c r="G52" s="27">
        <f>SUM(G30:G51)</f>
        <v>0</v>
      </c>
      <c r="H52" s="27">
        <f>SUM(H30:H51)</f>
        <v>0</v>
      </c>
      <c r="I52" s="27">
        <f t="shared" ref="I52:BM52" si="13">SUM(I30:I51)</f>
        <v>0</v>
      </c>
      <c r="J52" s="27">
        <f t="shared" si="13"/>
        <v>0</v>
      </c>
      <c r="K52" s="27">
        <f t="shared" si="13"/>
        <v>0</v>
      </c>
      <c r="L52" s="27">
        <f t="shared" si="13"/>
        <v>0</v>
      </c>
      <c r="M52" s="27">
        <f t="shared" si="13"/>
        <v>0</v>
      </c>
      <c r="N52" s="27">
        <f t="shared" si="13"/>
        <v>0</v>
      </c>
      <c r="O52" s="27">
        <f t="shared" si="13"/>
        <v>0</v>
      </c>
      <c r="P52" s="27">
        <f t="shared" si="13"/>
        <v>0</v>
      </c>
      <c r="Q52" s="27">
        <f t="shared" si="13"/>
        <v>0</v>
      </c>
      <c r="R52" s="27">
        <f t="shared" si="13"/>
        <v>0</v>
      </c>
      <c r="S52" s="27">
        <f t="shared" si="13"/>
        <v>0</v>
      </c>
      <c r="T52" s="27">
        <f t="shared" si="13"/>
        <v>0</v>
      </c>
      <c r="U52" s="27">
        <f t="shared" si="13"/>
        <v>0</v>
      </c>
      <c r="V52" s="27">
        <f t="shared" si="13"/>
        <v>0</v>
      </c>
      <c r="W52" s="27">
        <f t="shared" si="13"/>
        <v>0</v>
      </c>
      <c r="X52" s="27">
        <f t="shared" si="13"/>
        <v>0</v>
      </c>
      <c r="Y52" s="27">
        <f t="shared" si="13"/>
        <v>0</v>
      </c>
      <c r="Z52" s="27">
        <f t="shared" si="13"/>
        <v>0</v>
      </c>
      <c r="AA52" s="27">
        <f t="shared" si="13"/>
        <v>0</v>
      </c>
      <c r="AB52" s="27">
        <f t="shared" si="13"/>
        <v>0</v>
      </c>
      <c r="AC52" s="27">
        <f t="shared" si="13"/>
        <v>0</v>
      </c>
      <c r="AD52" s="27">
        <f t="shared" si="13"/>
        <v>0</v>
      </c>
      <c r="AE52" s="27">
        <f t="shared" si="13"/>
        <v>0</v>
      </c>
      <c r="AF52" s="27">
        <f t="shared" si="13"/>
        <v>0</v>
      </c>
      <c r="AG52" s="27">
        <f t="shared" si="13"/>
        <v>0</v>
      </c>
      <c r="AH52" s="27">
        <f t="shared" si="13"/>
        <v>0</v>
      </c>
      <c r="AI52" s="27">
        <f t="shared" si="13"/>
        <v>0</v>
      </c>
      <c r="AJ52" s="27">
        <f t="shared" si="13"/>
        <v>0</v>
      </c>
      <c r="AK52" s="27">
        <f t="shared" si="13"/>
        <v>0</v>
      </c>
      <c r="AL52" s="27">
        <f t="shared" si="13"/>
        <v>0</v>
      </c>
      <c r="AM52" s="27">
        <f t="shared" si="13"/>
        <v>0</v>
      </c>
      <c r="AN52" s="27">
        <f t="shared" si="13"/>
        <v>0</v>
      </c>
      <c r="AO52" s="27">
        <f t="shared" si="13"/>
        <v>0</v>
      </c>
      <c r="AP52" s="27">
        <f t="shared" si="13"/>
        <v>0</v>
      </c>
      <c r="AQ52" s="27">
        <f t="shared" si="13"/>
        <v>0</v>
      </c>
      <c r="AR52" s="27">
        <f t="shared" si="13"/>
        <v>0</v>
      </c>
      <c r="AS52" s="27">
        <f t="shared" si="13"/>
        <v>0</v>
      </c>
      <c r="AT52" s="27">
        <f t="shared" si="13"/>
        <v>0</v>
      </c>
      <c r="AU52" s="27">
        <f t="shared" si="13"/>
        <v>0</v>
      </c>
      <c r="AV52" s="27">
        <f t="shared" si="13"/>
        <v>0</v>
      </c>
      <c r="AW52" s="27">
        <f t="shared" si="13"/>
        <v>0</v>
      </c>
      <c r="AX52" s="27">
        <f t="shared" si="13"/>
        <v>0</v>
      </c>
      <c r="AY52" s="27">
        <f t="shared" si="13"/>
        <v>0</v>
      </c>
      <c r="AZ52" s="27">
        <f t="shared" si="13"/>
        <v>0</v>
      </c>
      <c r="BA52" s="27">
        <f t="shared" si="13"/>
        <v>0</v>
      </c>
      <c r="BB52" s="27">
        <f t="shared" si="13"/>
        <v>0</v>
      </c>
      <c r="BC52" s="27">
        <f t="shared" si="13"/>
        <v>0</v>
      </c>
      <c r="BD52" s="27">
        <f t="shared" si="13"/>
        <v>0</v>
      </c>
      <c r="BE52" s="27">
        <f t="shared" si="13"/>
        <v>0</v>
      </c>
      <c r="BF52" s="27">
        <f t="shared" si="13"/>
        <v>0</v>
      </c>
      <c r="BG52" s="27">
        <f t="shared" si="13"/>
        <v>0</v>
      </c>
      <c r="BH52" s="27">
        <f t="shared" si="13"/>
        <v>0</v>
      </c>
      <c r="BI52" s="27">
        <f t="shared" si="13"/>
        <v>0</v>
      </c>
      <c r="BJ52" s="27">
        <f t="shared" si="13"/>
        <v>0</v>
      </c>
      <c r="BK52" s="27">
        <f t="shared" si="13"/>
        <v>0</v>
      </c>
      <c r="BL52" s="27">
        <f t="shared" si="13"/>
        <v>0</v>
      </c>
      <c r="BM52" s="27">
        <f t="shared" si="13"/>
        <v>0</v>
      </c>
    </row>
    <row r="54" spans="1:69" x14ac:dyDescent="0.3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1:69" x14ac:dyDescent="0.3">
      <c r="F55" s="8" t="s">
        <v>8</v>
      </c>
      <c r="G55" s="8" t="s">
        <v>11</v>
      </c>
      <c r="H55" s="8" t="s">
        <v>12</v>
      </c>
      <c r="I55" s="8"/>
      <c r="J55" s="8"/>
      <c r="AR55" s="29"/>
      <c r="AS55" s="29"/>
      <c r="AT55" s="29"/>
    </row>
    <row r="56" spans="1:69" x14ac:dyDescent="0.3">
      <c r="F56" s="8" t="s">
        <v>13</v>
      </c>
      <c r="G56" s="8" t="s">
        <v>16</v>
      </c>
      <c r="H56" s="8" t="s">
        <v>12</v>
      </c>
      <c r="I56" s="8"/>
      <c r="J56" s="8"/>
    </row>
    <row r="57" spans="1:69" x14ac:dyDescent="0.3">
      <c r="F57" s="8" t="s">
        <v>17</v>
      </c>
      <c r="G57" s="8" t="s">
        <v>20</v>
      </c>
      <c r="H57" s="8" t="s">
        <v>12</v>
      </c>
      <c r="I57" s="8"/>
      <c r="J57" s="8"/>
    </row>
    <row r="58" spans="1:69" x14ac:dyDescent="0.3">
      <c r="A58" s="22"/>
      <c r="B58" s="22"/>
      <c r="C58" s="22"/>
      <c r="D58" s="22"/>
      <c r="F58" s="8" t="s">
        <v>21</v>
      </c>
      <c r="G58" s="8" t="s">
        <v>24</v>
      </c>
      <c r="H58" s="8" t="s">
        <v>25</v>
      </c>
      <c r="I58" s="30"/>
      <c r="J58" s="8"/>
    </row>
    <row r="59" spans="1:69" x14ac:dyDescent="0.3">
      <c r="F59" s="8" t="s">
        <v>26</v>
      </c>
      <c r="G59" s="8" t="s">
        <v>29</v>
      </c>
      <c r="H59" s="8" t="s">
        <v>12</v>
      </c>
      <c r="I59" s="8"/>
      <c r="J59" s="8"/>
    </row>
    <row r="60" spans="1:69" x14ac:dyDescent="0.3">
      <c r="F60" s="8" t="s">
        <v>30</v>
      </c>
      <c r="G60" s="8" t="s">
        <v>32</v>
      </c>
      <c r="H60" s="8" t="s">
        <v>25</v>
      </c>
      <c r="I60" s="8"/>
      <c r="J60" s="8"/>
    </row>
    <row r="61" spans="1:69" x14ac:dyDescent="0.3">
      <c r="F61" s="8" t="s">
        <v>33</v>
      </c>
      <c r="G61" s="8" t="s">
        <v>75</v>
      </c>
      <c r="H61" s="8" t="s">
        <v>35</v>
      </c>
      <c r="I61" s="8"/>
      <c r="J61" s="8"/>
    </row>
    <row r="62" spans="1:69" x14ac:dyDescent="0.3">
      <c r="F62" s="8" t="s">
        <v>36</v>
      </c>
      <c r="G62" s="8" t="s">
        <v>38</v>
      </c>
      <c r="H62" s="8" t="s">
        <v>35</v>
      </c>
      <c r="I62" s="8"/>
      <c r="J62" s="8"/>
    </row>
    <row r="63" spans="1:69" x14ac:dyDescent="0.3">
      <c r="F63" s="8" t="s">
        <v>39</v>
      </c>
      <c r="G63" s="8" t="s">
        <v>41</v>
      </c>
      <c r="H63" s="8" t="s">
        <v>42</v>
      </c>
      <c r="I63" s="8"/>
      <c r="J63" s="8"/>
    </row>
    <row r="64" spans="1:69" x14ac:dyDescent="0.3">
      <c r="F64" s="8" t="s">
        <v>43</v>
      </c>
      <c r="G64" s="8" t="s">
        <v>45</v>
      </c>
      <c r="H64" s="8" t="s">
        <v>45</v>
      </c>
      <c r="I64" s="8"/>
      <c r="J64" s="8"/>
    </row>
    <row r="65" spans="1:10" x14ac:dyDescent="0.3">
      <c r="F65" s="8" t="s">
        <v>46</v>
      </c>
      <c r="G65" s="8" t="s">
        <v>47</v>
      </c>
      <c r="H65" s="8" t="s">
        <v>48</v>
      </c>
      <c r="I65" s="8"/>
      <c r="J65" s="8"/>
    </row>
    <row r="66" spans="1:10" x14ac:dyDescent="0.3">
      <c r="F66" s="8" t="s">
        <v>49</v>
      </c>
      <c r="G66" s="8" t="s">
        <v>50</v>
      </c>
      <c r="H66" s="8" t="s">
        <v>50</v>
      </c>
      <c r="I66" s="8"/>
      <c r="J66" s="8"/>
    </row>
    <row r="67" spans="1:10" x14ac:dyDescent="0.3">
      <c r="F67" s="16" t="s">
        <v>51</v>
      </c>
      <c r="G67" s="16" t="s">
        <v>52</v>
      </c>
      <c r="H67" s="16" t="s">
        <v>52</v>
      </c>
      <c r="I67" s="8"/>
      <c r="J67" s="8"/>
    </row>
    <row r="68" spans="1:10" x14ac:dyDescent="0.3">
      <c r="F68" s="16" t="s">
        <v>53</v>
      </c>
      <c r="G68" s="16" t="s">
        <v>54</v>
      </c>
      <c r="H68" s="16" t="s">
        <v>54</v>
      </c>
      <c r="I68" s="8"/>
      <c r="J68" s="8"/>
    </row>
    <row r="69" spans="1:10" x14ac:dyDescent="0.3">
      <c r="F69" s="16" t="s">
        <v>55</v>
      </c>
      <c r="G69" s="16" t="s">
        <v>56</v>
      </c>
      <c r="H69" s="16" t="s">
        <v>56</v>
      </c>
      <c r="I69" s="8"/>
      <c r="J69" s="8"/>
    </row>
    <row r="70" spans="1:10" x14ac:dyDescent="0.3">
      <c r="F70" s="16" t="s">
        <v>57</v>
      </c>
      <c r="G70" s="16" t="s">
        <v>58</v>
      </c>
      <c r="H70" s="16" t="s">
        <v>58</v>
      </c>
      <c r="I70" s="8"/>
      <c r="J70" s="8"/>
    </row>
    <row r="71" spans="1:10" x14ac:dyDescent="0.3">
      <c r="F71" s="16" t="s">
        <v>59</v>
      </c>
      <c r="G71" s="16" t="s">
        <v>60</v>
      </c>
      <c r="H71" s="16" t="s">
        <v>60</v>
      </c>
      <c r="I71" s="31"/>
      <c r="J71" s="8"/>
    </row>
    <row r="72" spans="1:10" x14ac:dyDescent="0.3">
      <c r="F72" s="16" t="s">
        <v>61</v>
      </c>
      <c r="G72" s="16" t="s">
        <v>76</v>
      </c>
      <c r="H72" s="16" t="s">
        <v>64</v>
      </c>
      <c r="I72" s="31"/>
      <c r="J72" s="8"/>
    </row>
    <row r="73" spans="1:10" x14ac:dyDescent="0.3">
      <c r="F73" s="16" t="s">
        <v>65</v>
      </c>
      <c r="G73" s="16" t="s">
        <v>69</v>
      </c>
      <c r="H73" s="16" t="s">
        <v>69</v>
      </c>
      <c r="I73" s="8"/>
      <c r="J73" s="8"/>
    </row>
    <row r="74" spans="1:10" x14ac:dyDescent="0.3">
      <c r="F74" s="16" t="s">
        <v>68</v>
      </c>
      <c r="G74" s="16" t="s">
        <v>67</v>
      </c>
      <c r="H74" s="16" t="s">
        <v>67</v>
      </c>
      <c r="I74" s="8"/>
      <c r="J74" s="8"/>
    </row>
    <row r="75" spans="1:10" x14ac:dyDescent="0.3">
      <c r="F75" s="16" t="s">
        <v>70</v>
      </c>
      <c r="G75" s="16" t="s">
        <v>72</v>
      </c>
      <c r="H75" s="16" t="s">
        <v>72</v>
      </c>
      <c r="I75" s="8"/>
      <c r="J75" s="8"/>
    </row>
    <row r="76" spans="1:10" x14ac:dyDescent="0.3">
      <c r="F76" s="16" t="s">
        <v>78</v>
      </c>
      <c r="G76" s="16" t="s">
        <v>12</v>
      </c>
      <c r="H76" s="16" t="s">
        <v>12</v>
      </c>
      <c r="I76" s="8"/>
      <c r="J76" s="8"/>
    </row>
    <row r="77" spans="1:10" x14ac:dyDescent="0.3">
      <c r="F77" s="32"/>
      <c r="G77" s="33" t="s">
        <v>77</v>
      </c>
      <c r="H77" s="34"/>
      <c r="I77" s="60"/>
      <c r="J77" s="60"/>
    </row>
    <row r="79" spans="1:10" x14ac:dyDescent="0.3">
      <c r="A79" t="s">
        <v>79</v>
      </c>
      <c r="C79" t="s">
        <v>80</v>
      </c>
    </row>
  </sheetData>
  <mergeCells count="37">
    <mergeCell ref="I77:J77"/>
    <mergeCell ref="BL4:BM4"/>
    <mergeCell ref="BN4:BO4"/>
    <mergeCell ref="D30:E30"/>
    <mergeCell ref="D31:E31"/>
    <mergeCell ref="D32:E32"/>
    <mergeCell ref="D33:E33"/>
    <mergeCell ref="AZ4:BA4"/>
    <mergeCell ref="BB4:BC4"/>
    <mergeCell ref="BD4:BE4"/>
    <mergeCell ref="BF4:BG4"/>
    <mergeCell ref="BH4:BI4"/>
    <mergeCell ref="BJ4:BK4"/>
    <mergeCell ref="AN4:AO4"/>
    <mergeCell ref="AP4:AQ4"/>
    <mergeCell ref="AR4:AS4"/>
    <mergeCell ref="AT4:AU4"/>
    <mergeCell ref="AV4:AW4"/>
    <mergeCell ref="AX4:AY4"/>
    <mergeCell ref="AB4:AC4"/>
    <mergeCell ref="AD4:AE4"/>
    <mergeCell ref="AF4:AG4"/>
    <mergeCell ref="AH4:AI4"/>
    <mergeCell ref="AJ4:AK4"/>
    <mergeCell ref="AL4:AM4"/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hyperlinks>
    <hyperlink ref="C8" r:id="rId1" xr:uid="{4945D187-F198-43F6-93BC-34D5411E447D}"/>
    <hyperlink ref="C10" r:id="rId2" xr:uid="{F92A1AC9-8936-41B3-A8E4-9300E4FBEBD3}"/>
    <hyperlink ref="C15" r:id="rId3" xr:uid="{A910004E-7627-4F7A-A7D7-394E928C9EEC}"/>
    <hyperlink ref="C7" r:id="rId4" xr:uid="{CDA6DDBE-09AC-4333-91AE-51B3299F1B2A}"/>
    <hyperlink ref="C13" r:id="rId5" xr:uid="{DAD7DDA9-036C-4C12-935F-67C52C2D2368}"/>
    <hyperlink ref="C23" r:id="rId6" display="mailto:bigcacak@madamecoco.com" xr:uid="{8D5EC830-3016-4B27-AE4E-B636F99E59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</vt:lpstr>
      <vt:lpstr>Februar</vt:lpstr>
      <vt:lpstr>Mart</vt:lpstr>
      <vt:lpstr>April</vt:lpstr>
      <vt:lpstr>Maj</vt:lpstr>
      <vt:lpstr>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Bojana Colic</dc:creator>
  <cp:lastModifiedBy>Dobrina Jovanovic</cp:lastModifiedBy>
  <dcterms:created xsi:type="dcterms:W3CDTF">2026-01-06T07:20:47Z</dcterms:created>
  <dcterms:modified xsi:type="dcterms:W3CDTF">2026-06-02T13:57:38Z</dcterms:modified>
</cp:coreProperties>
</file>