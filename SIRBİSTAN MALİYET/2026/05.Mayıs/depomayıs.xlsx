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adame Coco\"/>
    </mc:Choice>
  </mc:AlternateContent>
  <xr:revisionPtr revIDLastSave="0" documentId="13_ncr:1_{1ADF409C-7317-467C-B7F0-46514E4C53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j 2026  " sheetId="99" r:id="rId1"/>
    <sheet name="APRIL 2026 " sheetId="98" r:id="rId2"/>
    <sheet name="MART 2026" sheetId="97" r:id="rId3"/>
    <sheet name="Februar 2026 " sheetId="96" r:id="rId4"/>
    <sheet name="Januar 2026" sheetId="95" r:id="rId5"/>
    <sheet name="Decembar 2025 " sheetId="94" r:id="rId6"/>
    <sheet name="jul 2025  ispravan" sheetId="93" r:id="rId7"/>
    <sheet name="Jul manipulacija" sheetId="92" r:id="rId8"/>
    <sheet name="maj jun manipulacija" sheetId="91" r:id="rId9"/>
    <sheet name="Novembar 2025" sheetId="90" r:id="rId10"/>
    <sheet name="Oktobar 2025" sheetId="89" r:id="rId11"/>
    <sheet name="Septembar 2025 " sheetId="88" r:id="rId12"/>
    <sheet name="Avgust 2025" sheetId="86" r:id="rId13"/>
    <sheet name="jul 2025 " sheetId="83" r:id="rId14"/>
    <sheet name="jun 2025" sheetId="82" r:id="rId15"/>
    <sheet name="maj 2025" sheetId="81" r:id="rId16"/>
    <sheet name="April 2025" sheetId="79" r:id="rId17"/>
    <sheet name="Mart 2025" sheetId="78" r:id="rId18"/>
    <sheet name="Februar 2025" sheetId="77" r:id="rId19"/>
    <sheet name="Januar 2025" sheetId="75" r:id="rId20"/>
    <sheet name="Sheet7" sheetId="76" r:id="rId21"/>
    <sheet name="Decembar 2024" sheetId="72" r:id="rId22"/>
    <sheet name="Sheet3" sheetId="73" r:id="rId23"/>
    <sheet name="Novembar 2024" sheetId="71" r:id="rId24"/>
    <sheet name="Oktobar 2024" sheetId="70" r:id="rId25"/>
    <sheet name="Septembar 2024" sheetId="69" r:id="rId26"/>
    <sheet name="Avgust 2024" sheetId="68" r:id="rId27"/>
    <sheet name="Jul 2024" sheetId="67" r:id="rId28"/>
    <sheet name="Jun 2024" sheetId="65" r:id="rId29"/>
    <sheet name="Sheet6" sheetId="66" r:id="rId30"/>
    <sheet name="Maj 2024" sheetId="64" r:id="rId31"/>
    <sheet name="April 2024" sheetId="60" r:id="rId32"/>
    <sheet name="Mart 2024" sheetId="58" r:id="rId33"/>
    <sheet name="Sheet5" sheetId="59" r:id="rId34"/>
    <sheet name="Februar 2024" sheetId="56" r:id="rId35"/>
    <sheet name="Sheet4" sheetId="57" r:id="rId36"/>
    <sheet name="Januar 2024" sheetId="55" r:id="rId37"/>
    <sheet name="Decembar 2023" sheetId="54" r:id="rId38"/>
    <sheet name="Novembar 2023" sheetId="53" r:id="rId39"/>
    <sheet name="Oktobar 2023" sheetId="52" r:id="rId40"/>
    <sheet name="SEPTEMBAR 2023." sheetId="49" r:id="rId41"/>
    <sheet name="Sheet1" sheetId="50" r:id="rId42"/>
    <sheet name="Sheet2" sheetId="51" r:id="rId43"/>
    <sheet name="AVGUST 2023" sheetId="48" r:id="rId44"/>
    <sheet name="JUL 2023" sheetId="47" r:id="rId45"/>
    <sheet name="JUN 2023" sheetId="46" r:id="rId46"/>
    <sheet name="Maj 2023" sheetId="44" r:id="rId47"/>
    <sheet name="April 2023" sheetId="38" r:id="rId48"/>
    <sheet name="Mart 2023" sheetId="33" r:id="rId49"/>
    <sheet name="Februar 2023" sheetId="32" r:id="rId50"/>
  </sheets>
  <externalReferences>
    <externalReference r:id="rId51"/>
  </externalReferences>
  <definedNames>
    <definedName name="kurs" localSheetId="47">'April 2023'!$C$6</definedName>
    <definedName name="kurs" localSheetId="31">'April 2024'!$C$6</definedName>
    <definedName name="kurs" localSheetId="16">'April 2025'!$C$6</definedName>
    <definedName name="kurs" localSheetId="1">'APRIL 2026 '!$C$6</definedName>
    <definedName name="kurs" localSheetId="43">'AVGUST 2023'!$C$6</definedName>
    <definedName name="kurs" localSheetId="26">'Avgust 2024'!$C$6</definedName>
    <definedName name="kurs" localSheetId="12">'Avgust 2025'!$C$6</definedName>
    <definedName name="kurs" localSheetId="37">'Decembar 2023'!$C$6</definedName>
    <definedName name="kurs" localSheetId="21">'Decembar 2024'!$C$6</definedName>
    <definedName name="kurs" localSheetId="5">'Decembar 2025 '!$C$6</definedName>
    <definedName name="kurs" localSheetId="49">'Februar 2023'!$C$6</definedName>
    <definedName name="kurs" localSheetId="34">'Februar 2024'!$C$6</definedName>
    <definedName name="kurs" localSheetId="18">'Februar 2025'!$C$6</definedName>
    <definedName name="kurs" localSheetId="3">'Februar 2026 '!$C$6</definedName>
    <definedName name="kurs" localSheetId="36">'Januar 2024'!$C$6</definedName>
    <definedName name="kurs" localSheetId="19">'Januar 2025'!$C$6</definedName>
    <definedName name="kurs" localSheetId="4">'Januar 2026'!$C$6</definedName>
    <definedName name="kurs" localSheetId="44">'JUL 2023'!$C$6</definedName>
    <definedName name="kurs" localSheetId="27">'Jul 2024'!$C$6</definedName>
    <definedName name="kurs" localSheetId="13">'jul 2025 '!$C$6</definedName>
    <definedName name="kurs" localSheetId="6">'jul 2025  ispravan'!$C$6</definedName>
    <definedName name="kurs" localSheetId="7">'Jul manipulacija'!$C$6</definedName>
    <definedName name="kurs" localSheetId="45">'JUN 2023'!$C$6</definedName>
    <definedName name="kurs" localSheetId="28">'Jun 2024'!$C$6</definedName>
    <definedName name="kurs" localSheetId="14">'jun 2025'!$C$6</definedName>
    <definedName name="kurs" localSheetId="46">'Maj 2023'!$C$6</definedName>
    <definedName name="kurs" localSheetId="30">'Maj 2024'!$C$6</definedName>
    <definedName name="kurs" localSheetId="15">'maj 2025'!$C$6</definedName>
    <definedName name="kurs" localSheetId="0">'Maj 2026  '!$C$6</definedName>
    <definedName name="kurs" localSheetId="8">'maj jun manipulacija'!$C$6</definedName>
    <definedName name="kurs" localSheetId="48">'Mart 2023'!$C$6</definedName>
    <definedName name="kurs" localSheetId="32">'Mart 2024'!$C$6</definedName>
    <definedName name="kurs" localSheetId="17">'Mart 2025'!$C$6</definedName>
    <definedName name="kurs" localSheetId="2">'MART 2026'!$C$6</definedName>
    <definedName name="kurs" localSheetId="38">'Novembar 2023'!$C$6</definedName>
    <definedName name="kurs" localSheetId="23">'Novembar 2024'!$C$6</definedName>
    <definedName name="kurs" localSheetId="9">'Novembar 2025'!$C$6</definedName>
    <definedName name="kurs" localSheetId="39">'Oktobar 2023'!$C$6</definedName>
    <definedName name="kurs" localSheetId="24">'Oktobar 2024'!$C$6</definedName>
    <definedName name="kurs" localSheetId="10">'Oktobar 2025'!$C$6</definedName>
    <definedName name="kurs" localSheetId="40">'SEPTEMBAR 2023.'!$C$6</definedName>
    <definedName name="kurs" localSheetId="25">'Septembar 2024'!$C$6</definedName>
    <definedName name="kurs" localSheetId="11">'Septembar 2025 '!$C$6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8" i="99" l="1"/>
  <c r="H47" i="99"/>
  <c r="I12" i="99"/>
  <c r="I11" i="99"/>
  <c r="K11" i="99" s="1"/>
  <c r="G42" i="99"/>
  <c r="J48" i="99" s="1"/>
  <c r="K48" i="99" s="1"/>
  <c r="J12" i="99"/>
  <c r="J13" i="99"/>
  <c r="J14" i="99" s="1"/>
  <c r="J15" i="99" s="1"/>
  <c r="J16" i="99" s="1"/>
  <c r="J17" i="99" s="1"/>
  <c r="J18" i="99" s="1"/>
  <c r="J11" i="99"/>
  <c r="J52" i="99"/>
  <c r="K52" i="99" s="1"/>
  <c r="J51" i="99"/>
  <c r="K51" i="99" s="1"/>
  <c r="J50" i="99"/>
  <c r="K50" i="99" s="1"/>
  <c r="J49" i="99"/>
  <c r="K49" i="99" s="1"/>
  <c r="H42" i="99"/>
  <c r="H46" i="99" s="1"/>
  <c r="J46" i="99" s="1"/>
  <c r="K46" i="99" s="1"/>
  <c r="E42" i="99"/>
  <c r="J47" i="99" s="1"/>
  <c r="K47" i="99" s="1"/>
  <c r="D42" i="99"/>
  <c r="K54" i="98"/>
  <c r="J54" i="98"/>
  <c r="K53" i="98"/>
  <c r="J53" i="98"/>
  <c r="J52" i="98"/>
  <c r="K52" i="98" s="1"/>
  <c r="J51" i="98"/>
  <c r="K51" i="98" s="1"/>
  <c r="J49" i="98"/>
  <c r="K49" i="98" s="1"/>
  <c r="J48" i="98"/>
  <c r="K48" i="98" s="1"/>
  <c r="I42" i="98"/>
  <c r="H50" i="98" s="1"/>
  <c r="J50" i="98" s="1"/>
  <c r="K50" i="98" s="1"/>
  <c r="H42" i="98"/>
  <c r="H46" i="98" s="1"/>
  <c r="J46" i="98" s="1"/>
  <c r="K46" i="98" s="1"/>
  <c r="E42" i="98"/>
  <c r="H47" i="98" s="1"/>
  <c r="J47" i="98" s="1"/>
  <c r="K47" i="98" s="1"/>
  <c r="D42" i="98"/>
  <c r="H45" i="98" s="1"/>
  <c r="J45" i="98" s="1"/>
  <c r="J11" i="98"/>
  <c r="K11" i="98" s="1"/>
  <c r="H50" i="97"/>
  <c r="H46" i="97"/>
  <c r="K54" i="97"/>
  <c r="J54" i="97"/>
  <c r="K53" i="97"/>
  <c r="J53" i="97"/>
  <c r="K52" i="97"/>
  <c r="J52" i="97"/>
  <c r="J51" i="97"/>
  <c r="K51" i="97" s="1"/>
  <c r="J49" i="97"/>
  <c r="K49" i="97" s="1"/>
  <c r="J48" i="97"/>
  <c r="K48" i="97" s="1"/>
  <c r="I42" i="97"/>
  <c r="H42" i="97"/>
  <c r="E42" i="97"/>
  <c r="H47" i="97" s="1"/>
  <c r="J47" i="97" s="1"/>
  <c r="K47" i="97" s="1"/>
  <c r="D42" i="97"/>
  <c r="H45" i="97" s="1"/>
  <c r="J45" i="97" s="1"/>
  <c r="J11" i="97"/>
  <c r="K11" i="97" s="1"/>
  <c r="J54" i="96"/>
  <c r="K54" i="96" s="1"/>
  <c r="J53" i="96"/>
  <c r="K53" i="96" s="1"/>
  <c r="J52" i="96"/>
  <c r="K52" i="96" s="1"/>
  <c r="J51" i="96"/>
  <c r="K51" i="96" s="1"/>
  <c r="J49" i="96"/>
  <c r="K49" i="96" s="1"/>
  <c r="J48" i="96"/>
  <c r="K48" i="96" s="1"/>
  <c r="I42" i="96"/>
  <c r="H50" i="96" s="1"/>
  <c r="J50" i="96" s="1"/>
  <c r="K50" i="96" s="1"/>
  <c r="H42" i="96"/>
  <c r="H46" i="96" s="1"/>
  <c r="J46" i="96" s="1"/>
  <c r="K46" i="96" s="1"/>
  <c r="E42" i="96"/>
  <c r="H47" i="96" s="1"/>
  <c r="J47" i="96" s="1"/>
  <c r="K47" i="96" s="1"/>
  <c r="D42" i="96"/>
  <c r="H45" i="96" s="1"/>
  <c r="J45" i="96" s="1"/>
  <c r="J11" i="96"/>
  <c r="J12" i="96" s="1"/>
  <c r="D42" i="95"/>
  <c r="H42" i="95"/>
  <c r="K54" i="95"/>
  <c r="J54" i="95"/>
  <c r="J53" i="95"/>
  <c r="K53" i="95" s="1"/>
  <c r="J52" i="95"/>
  <c r="K52" i="95" s="1"/>
  <c r="J51" i="95"/>
  <c r="K51" i="95" s="1"/>
  <c r="J49" i="95"/>
  <c r="K49" i="95" s="1"/>
  <c r="K48" i="95"/>
  <c r="J48" i="95"/>
  <c r="J47" i="95"/>
  <c r="K47" i="95" s="1"/>
  <c r="H47" i="95"/>
  <c r="I42" i="95"/>
  <c r="H50" i="95" s="1"/>
  <c r="J50" i="95" s="1"/>
  <c r="K50" i="95" s="1"/>
  <c r="H46" i="95"/>
  <c r="J46" i="95" s="1"/>
  <c r="K46" i="95" s="1"/>
  <c r="E42" i="95"/>
  <c r="H45" i="95"/>
  <c r="J45" i="95" s="1"/>
  <c r="J11" i="95"/>
  <c r="J12" i="95" s="1"/>
  <c r="D42" i="94"/>
  <c r="J54" i="94"/>
  <c r="K54" i="94" s="1"/>
  <c r="K53" i="94"/>
  <c r="J53" i="94"/>
  <c r="J52" i="94"/>
  <c r="K52" i="94" s="1"/>
  <c r="K51" i="94"/>
  <c r="J51" i="94"/>
  <c r="J49" i="94"/>
  <c r="K49" i="94" s="1"/>
  <c r="J48" i="94"/>
  <c r="K48" i="94" s="1"/>
  <c r="I42" i="94"/>
  <c r="H50" i="94" s="1"/>
  <c r="J50" i="94" s="1"/>
  <c r="K50" i="94" s="1"/>
  <c r="E42" i="94"/>
  <c r="H47" i="94" s="1"/>
  <c r="J47" i="94" s="1"/>
  <c r="K47" i="94" s="1"/>
  <c r="H42" i="94"/>
  <c r="H46" i="94" s="1"/>
  <c r="J46" i="94" s="1"/>
  <c r="K46" i="94" s="1"/>
  <c r="J11" i="94"/>
  <c r="J54" i="93"/>
  <c r="K54" i="93" s="1"/>
  <c r="J53" i="93"/>
  <c r="K53" i="93" s="1"/>
  <c r="J52" i="93"/>
  <c r="K52" i="93" s="1"/>
  <c r="J51" i="93"/>
  <c r="K51" i="93" s="1"/>
  <c r="K49" i="93"/>
  <c r="J49" i="93"/>
  <c r="J48" i="93"/>
  <c r="K48" i="93" s="1"/>
  <c r="H45" i="93"/>
  <c r="J45" i="93" s="1"/>
  <c r="I42" i="93"/>
  <c r="H50" i="93" s="1"/>
  <c r="J50" i="93" s="1"/>
  <c r="K50" i="93" s="1"/>
  <c r="H42" i="93"/>
  <c r="H46" i="93" s="1"/>
  <c r="J46" i="93" s="1"/>
  <c r="K46" i="93" s="1"/>
  <c r="E42" i="93"/>
  <c r="H47" i="93" s="1"/>
  <c r="J47" i="93" s="1"/>
  <c r="K47" i="93" s="1"/>
  <c r="D42" i="93"/>
  <c r="J11" i="93"/>
  <c r="J54" i="92"/>
  <c r="K54" i="92" s="1"/>
  <c r="J53" i="92"/>
  <c r="K53" i="92" s="1"/>
  <c r="J52" i="92"/>
  <c r="K52" i="92" s="1"/>
  <c r="J51" i="92"/>
  <c r="K51" i="92" s="1"/>
  <c r="K49" i="92"/>
  <c r="J49" i="92"/>
  <c r="J48" i="92"/>
  <c r="K48" i="92" s="1"/>
  <c r="J46" i="92"/>
  <c r="K46" i="92" s="1"/>
  <c r="J42" i="92"/>
  <c r="I42" i="92"/>
  <c r="H50" i="92" s="1"/>
  <c r="J50" i="92" s="1"/>
  <c r="K50" i="92" s="1"/>
  <c r="H42" i="92"/>
  <c r="E42" i="92"/>
  <c r="H47" i="92" s="1"/>
  <c r="J47" i="92" s="1"/>
  <c r="K47" i="92" s="1"/>
  <c r="D42" i="92"/>
  <c r="H45" i="92" s="1"/>
  <c r="J45" i="92" s="1"/>
  <c r="K41" i="92"/>
  <c r="K40" i="92"/>
  <c r="K39" i="92"/>
  <c r="K38" i="92"/>
  <c r="K37" i="92"/>
  <c r="K36" i="92"/>
  <c r="K35" i="92"/>
  <c r="K34" i="92"/>
  <c r="K33" i="92"/>
  <c r="K32" i="92"/>
  <c r="K31" i="92"/>
  <c r="K30" i="92"/>
  <c r="K29" i="92"/>
  <c r="K28" i="92"/>
  <c r="K27" i="92"/>
  <c r="K26" i="92"/>
  <c r="K25" i="92"/>
  <c r="K24" i="92"/>
  <c r="K23" i="92"/>
  <c r="K22" i="92"/>
  <c r="K21" i="92"/>
  <c r="K20" i="92"/>
  <c r="K19" i="92"/>
  <c r="K18" i="92"/>
  <c r="K17" i="92"/>
  <c r="K16" i="92"/>
  <c r="K15" i="92"/>
  <c r="K14" i="92"/>
  <c r="K13" i="92"/>
  <c r="K12" i="92"/>
  <c r="K11" i="92"/>
  <c r="H45" i="90"/>
  <c r="H32" i="90"/>
  <c r="H22" i="90"/>
  <c r="H23" i="90"/>
  <c r="J57" i="91"/>
  <c r="J47" i="91"/>
  <c r="K47" i="91" s="1"/>
  <c r="J55" i="91"/>
  <c r="K55" i="91" s="1"/>
  <c r="J54" i="91"/>
  <c r="K54" i="91" s="1"/>
  <c r="J53" i="91"/>
  <c r="K53" i="91" s="1"/>
  <c r="J52" i="91"/>
  <c r="K52" i="91" s="1"/>
  <c r="J50" i="91"/>
  <c r="K50" i="91" s="1"/>
  <c r="K49" i="91"/>
  <c r="J49" i="91"/>
  <c r="I42" i="91"/>
  <c r="H51" i="91" s="1"/>
  <c r="J51" i="91" s="1"/>
  <c r="K51" i="91" s="1"/>
  <c r="H42" i="91"/>
  <c r="E42" i="91"/>
  <c r="H48" i="91" s="1"/>
  <c r="J48" i="91" s="1"/>
  <c r="K48" i="91" s="1"/>
  <c r="D42" i="91"/>
  <c r="H45" i="91" s="1"/>
  <c r="J45" i="91" s="1"/>
  <c r="K11" i="91"/>
  <c r="J54" i="90"/>
  <c r="K54" i="90" s="1"/>
  <c r="J53" i="90"/>
  <c r="K53" i="90" s="1"/>
  <c r="K52" i="90"/>
  <c r="J52" i="90"/>
  <c r="J51" i="90"/>
  <c r="K51" i="90" s="1"/>
  <c r="J49" i="90"/>
  <c r="K49" i="90" s="1"/>
  <c r="K48" i="90"/>
  <c r="J48" i="90"/>
  <c r="I42" i="90"/>
  <c r="H50" i="90" s="1"/>
  <c r="J50" i="90" s="1"/>
  <c r="K50" i="90" s="1"/>
  <c r="E42" i="90"/>
  <c r="H47" i="90" s="1"/>
  <c r="J47" i="90" s="1"/>
  <c r="K47" i="90" s="1"/>
  <c r="D42" i="90"/>
  <c r="J45" i="90" s="1"/>
  <c r="J11" i="90"/>
  <c r="K11" i="90" s="1"/>
  <c r="D41" i="89"/>
  <c r="D32" i="89"/>
  <c r="I13" i="99" l="1"/>
  <c r="I14" i="99" s="1"/>
  <c r="K14" i="99" s="1"/>
  <c r="J19" i="99"/>
  <c r="H45" i="99"/>
  <c r="J45" i="99" s="1"/>
  <c r="K45" i="99" s="1"/>
  <c r="J12" i="98"/>
  <c r="J13" i="98" s="1"/>
  <c r="J14" i="98" s="1"/>
  <c r="K45" i="98"/>
  <c r="J50" i="97"/>
  <c r="K50" i="97" s="1"/>
  <c r="J46" i="97"/>
  <c r="K46" i="97" s="1"/>
  <c r="K45" i="97"/>
  <c r="J12" i="97"/>
  <c r="J13" i="96"/>
  <c r="K12" i="96"/>
  <c r="K45" i="96"/>
  <c r="J14" i="96"/>
  <c r="K13" i="96"/>
  <c r="K11" i="96"/>
  <c r="K11" i="95"/>
  <c r="J13" i="95"/>
  <c r="K12" i="95"/>
  <c r="K45" i="95"/>
  <c r="J14" i="95"/>
  <c r="K13" i="95"/>
  <c r="H45" i="94"/>
  <c r="J45" i="94" s="1"/>
  <c r="K11" i="94"/>
  <c r="J12" i="94"/>
  <c r="K45" i="93"/>
  <c r="K11" i="93"/>
  <c r="J12" i="93"/>
  <c r="K42" i="92"/>
  <c r="J55" i="92" s="1"/>
  <c r="K55" i="92" s="1"/>
  <c r="J56" i="92"/>
  <c r="K45" i="92"/>
  <c r="H42" i="90"/>
  <c r="H46" i="90" s="1"/>
  <c r="J46" i="90" s="1"/>
  <c r="K46" i="90" s="1"/>
  <c r="J46" i="91"/>
  <c r="K46" i="91" s="1"/>
  <c r="K12" i="91"/>
  <c r="K45" i="91"/>
  <c r="J12" i="90"/>
  <c r="J13" i="90" s="1"/>
  <c r="J14" i="90" s="1"/>
  <c r="K45" i="90"/>
  <c r="D18" i="89"/>
  <c r="I15" i="99" l="1"/>
  <c r="I16" i="99" s="1"/>
  <c r="K12" i="99"/>
  <c r="K13" i="99"/>
  <c r="J20" i="99"/>
  <c r="K12" i="98"/>
  <c r="K13" i="98"/>
  <c r="K14" i="98"/>
  <c r="J15" i="98"/>
  <c r="J13" i="97"/>
  <c r="K12" i="97"/>
  <c r="K14" i="96"/>
  <c r="J15" i="96"/>
  <c r="K14" i="95"/>
  <c r="J15" i="95"/>
  <c r="K45" i="94"/>
  <c r="J13" i="94"/>
  <c r="K12" i="94"/>
  <c r="K56" i="92"/>
  <c r="K12" i="93"/>
  <c r="J13" i="93"/>
  <c r="K13" i="91"/>
  <c r="K12" i="90"/>
  <c r="K13" i="90"/>
  <c r="K14" i="90"/>
  <c r="J15" i="90"/>
  <c r="D16" i="89"/>
  <c r="J54" i="89"/>
  <c r="K54" i="89" s="1"/>
  <c r="J53" i="89"/>
  <c r="K53" i="89" s="1"/>
  <c r="K52" i="89"/>
  <c r="J52" i="89"/>
  <c r="J51" i="89"/>
  <c r="K51" i="89" s="1"/>
  <c r="J49" i="89"/>
  <c r="K49" i="89" s="1"/>
  <c r="J48" i="89"/>
  <c r="K48" i="89" s="1"/>
  <c r="H47" i="89"/>
  <c r="J47" i="89" s="1"/>
  <c r="K47" i="89" s="1"/>
  <c r="I42" i="89"/>
  <c r="H50" i="89" s="1"/>
  <c r="J50" i="89" s="1"/>
  <c r="K50" i="89" s="1"/>
  <c r="H42" i="89"/>
  <c r="E42" i="89"/>
  <c r="D42" i="89"/>
  <c r="H45" i="89" s="1"/>
  <c r="J45" i="89" s="1"/>
  <c r="J11" i="89"/>
  <c r="K11" i="89" s="1"/>
  <c r="D40" i="88"/>
  <c r="D22" i="88"/>
  <c r="J54" i="88"/>
  <c r="K54" i="88" s="1"/>
  <c r="J53" i="88"/>
  <c r="K53" i="88" s="1"/>
  <c r="J52" i="88"/>
  <c r="K52" i="88" s="1"/>
  <c r="J51" i="88"/>
  <c r="K51" i="88" s="1"/>
  <c r="J49" i="88"/>
  <c r="K49" i="88" s="1"/>
  <c r="J48" i="88"/>
  <c r="K48" i="88" s="1"/>
  <c r="I42" i="88"/>
  <c r="H42" i="88"/>
  <c r="E42" i="88"/>
  <c r="H47" i="88" s="1"/>
  <c r="J47" i="88" s="1"/>
  <c r="K47" i="88" s="1"/>
  <c r="D42" i="88"/>
  <c r="H45" i="88" s="1"/>
  <c r="J45" i="88" s="1"/>
  <c r="J11" i="88"/>
  <c r="D39" i="86"/>
  <c r="K15" i="99" l="1"/>
  <c r="I17" i="99"/>
  <c r="K16" i="99"/>
  <c r="J21" i="99"/>
  <c r="J16" i="98"/>
  <c r="K15" i="98"/>
  <c r="J14" i="97"/>
  <c r="K13" i="97"/>
  <c r="J16" i="96"/>
  <c r="K15" i="96"/>
  <c r="J16" i="95"/>
  <c r="K15" i="95"/>
  <c r="J14" i="94"/>
  <c r="K13" i="94"/>
  <c r="J14" i="93"/>
  <c r="K13" i="93"/>
  <c r="K14" i="91"/>
  <c r="K15" i="90"/>
  <c r="J16" i="90"/>
  <c r="H46" i="89"/>
  <c r="J46" i="89" s="1"/>
  <c r="K46" i="89" s="1"/>
  <c r="J12" i="89"/>
  <c r="J13" i="89" s="1"/>
  <c r="J14" i="89" s="1"/>
  <c r="K45" i="89"/>
  <c r="K12" i="89"/>
  <c r="H46" i="88"/>
  <c r="J46" i="88" s="1"/>
  <c r="K46" i="88" s="1"/>
  <c r="K45" i="88"/>
  <c r="K11" i="88"/>
  <c r="J12" i="88"/>
  <c r="H50" i="88"/>
  <c r="J50" i="88" s="1"/>
  <c r="K50" i="88" s="1"/>
  <c r="H42" i="86"/>
  <c r="H46" i="86" s="1"/>
  <c r="J46" i="86" s="1"/>
  <c r="K46" i="86" s="1"/>
  <c r="K54" i="86"/>
  <c r="J54" i="86"/>
  <c r="J53" i="86"/>
  <c r="K53" i="86" s="1"/>
  <c r="K52" i="86"/>
  <c r="J52" i="86"/>
  <c r="J51" i="86"/>
  <c r="K51" i="86" s="1"/>
  <c r="J49" i="86"/>
  <c r="K49" i="86" s="1"/>
  <c r="J48" i="86"/>
  <c r="K48" i="86" s="1"/>
  <c r="I42" i="86"/>
  <c r="H50" i="86" s="1"/>
  <c r="J50" i="86" s="1"/>
  <c r="K50" i="86" s="1"/>
  <c r="E42" i="86"/>
  <c r="D42" i="86"/>
  <c r="J11" i="86"/>
  <c r="J12" i="86" s="1"/>
  <c r="J54" i="83"/>
  <c r="K54" i="83" s="1"/>
  <c r="J53" i="83"/>
  <c r="K53" i="83" s="1"/>
  <c r="J52" i="83"/>
  <c r="K52" i="83" s="1"/>
  <c r="J51" i="83"/>
  <c r="K51" i="83" s="1"/>
  <c r="J49" i="83"/>
  <c r="K49" i="83" s="1"/>
  <c r="J48" i="83"/>
  <c r="K48" i="83" s="1"/>
  <c r="I42" i="83"/>
  <c r="H50" i="83" s="1"/>
  <c r="J50" i="83" s="1"/>
  <c r="K50" i="83" s="1"/>
  <c r="H42" i="83"/>
  <c r="H46" i="83" s="1"/>
  <c r="J46" i="83" s="1"/>
  <c r="K46" i="83" s="1"/>
  <c r="E42" i="83"/>
  <c r="D42" i="83"/>
  <c r="J11" i="83"/>
  <c r="J12" i="83" s="1"/>
  <c r="J54" i="82"/>
  <c r="K54" i="82" s="1"/>
  <c r="J53" i="82"/>
  <c r="K53" i="82" s="1"/>
  <c r="J52" i="82"/>
  <c r="K52" i="82" s="1"/>
  <c r="J51" i="82"/>
  <c r="K51" i="82" s="1"/>
  <c r="J49" i="82"/>
  <c r="K49" i="82" s="1"/>
  <c r="J48" i="82"/>
  <c r="K48" i="82" s="1"/>
  <c r="I42" i="82"/>
  <c r="H50" i="82" s="1"/>
  <c r="J50" i="82" s="1"/>
  <c r="K50" i="82" s="1"/>
  <c r="H42" i="82"/>
  <c r="H46" i="82" s="1"/>
  <c r="J46" i="82" s="1"/>
  <c r="K46" i="82" s="1"/>
  <c r="E42" i="82"/>
  <c r="H47" i="82" s="1"/>
  <c r="J47" i="82" s="1"/>
  <c r="K47" i="82" s="1"/>
  <c r="D42" i="82"/>
  <c r="J11" i="82"/>
  <c r="K11" i="82" s="1"/>
  <c r="J18" i="81"/>
  <c r="K54" i="81"/>
  <c r="J54" i="81"/>
  <c r="K53" i="81"/>
  <c r="J53" i="81"/>
  <c r="J52" i="81"/>
  <c r="K52" i="81" s="1"/>
  <c r="K51" i="81"/>
  <c r="J51" i="81"/>
  <c r="J49" i="81"/>
  <c r="K49" i="81" s="1"/>
  <c r="J48" i="81"/>
  <c r="K48" i="81" s="1"/>
  <c r="I42" i="81"/>
  <c r="H50" i="81" s="1"/>
  <c r="J50" i="81" s="1"/>
  <c r="K50" i="81" s="1"/>
  <c r="H42" i="81"/>
  <c r="H46" i="81" s="1"/>
  <c r="J46" i="81" s="1"/>
  <c r="K46" i="81" s="1"/>
  <c r="E42" i="81"/>
  <c r="H47" i="81" s="1"/>
  <c r="J47" i="81" s="1"/>
  <c r="K47" i="81" s="1"/>
  <c r="D42" i="81"/>
  <c r="H45" i="81" s="1"/>
  <c r="J45" i="81" s="1"/>
  <c r="J11" i="81"/>
  <c r="J12" i="81" s="1"/>
  <c r="D24" i="79"/>
  <c r="D12" i="79"/>
  <c r="J54" i="79"/>
  <c r="K54" i="79" s="1"/>
  <c r="J53" i="79"/>
  <c r="K53" i="79" s="1"/>
  <c r="J52" i="79"/>
  <c r="K52" i="79" s="1"/>
  <c r="J51" i="79"/>
  <c r="K51" i="79" s="1"/>
  <c r="K49" i="79"/>
  <c r="J49" i="79"/>
  <c r="K48" i="79"/>
  <c r="J48" i="79"/>
  <c r="I42" i="79"/>
  <c r="H50" i="79" s="1"/>
  <c r="J50" i="79" s="1"/>
  <c r="K50" i="79" s="1"/>
  <c r="H42" i="79"/>
  <c r="H46" i="79" s="1"/>
  <c r="J46" i="79" s="1"/>
  <c r="K46" i="79" s="1"/>
  <c r="E42" i="79"/>
  <c r="H47" i="79" s="1"/>
  <c r="J47" i="79" s="1"/>
  <c r="K47" i="79" s="1"/>
  <c r="D42" i="79"/>
  <c r="J11" i="79"/>
  <c r="J12" i="79" s="1"/>
  <c r="D13" i="78"/>
  <c r="D29" i="78"/>
  <c r="D21" i="78"/>
  <c r="D20" i="78"/>
  <c r="D14" i="78"/>
  <c r="D42" i="78"/>
  <c r="J54" i="78"/>
  <c r="K54" i="78" s="1"/>
  <c r="J53" i="78"/>
  <c r="K53" i="78" s="1"/>
  <c r="J52" i="78"/>
  <c r="K52" i="78" s="1"/>
  <c r="J51" i="78"/>
  <c r="K51" i="78" s="1"/>
  <c r="K49" i="78"/>
  <c r="J49" i="78"/>
  <c r="K48" i="78"/>
  <c r="J48" i="78"/>
  <c r="I42" i="78"/>
  <c r="H50" i="78" s="1"/>
  <c r="J50" i="78" s="1"/>
  <c r="K50" i="78" s="1"/>
  <c r="H42" i="78"/>
  <c r="H46" i="78" s="1"/>
  <c r="J46" i="78" s="1"/>
  <c r="K46" i="78" s="1"/>
  <c r="E42" i="78"/>
  <c r="H47" i="78" s="1"/>
  <c r="J47" i="78" s="1"/>
  <c r="K47" i="78" s="1"/>
  <c r="J11" i="78"/>
  <c r="J12" i="78" s="1"/>
  <c r="D16" i="77"/>
  <c r="H16" i="77"/>
  <c r="H35" i="77"/>
  <c r="H28" i="77"/>
  <c r="D34" i="77"/>
  <c r="D28" i="77"/>
  <c r="D42" i="77" s="1"/>
  <c r="H45" i="77" s="1"/>
  <c r="J45" i="77" s="1"/>
  <c r="D22" i="77"/>
  <c r="D20" i="77"/>
  <c r="D13" i="77"/>
  <c r="J54" i="77"/>
  <c r="K54" i="77" s="1"/>
  <c r="J53" i="77"/>
  <c r="K53" i="77" s="1"/>
  <c r="J52" i="77"/>
  <c r="K52" i="77" s="1"/>
  <c r="J51" i="77"/>
  <c r="K51" i="77" s="1"/>
  <c r="J49" i="77"/>
  <c r="K49" i="77" s="1"/>
  <c r="J48" i="77"/>
  <c r="K48" i="77" s="1"/>
  <c r="H47" i="77"/>
  <c r="J47" i="77" s="1"/>
  <c r="K47" i="77" s="1"/>
  <c r="I42" i="77"/>
  <c r="H50" i="77" s="1"/>
  <c r="J50" i="77" s="1"/>
  <c r="K50" i="77" s="1"/>
  <c r="H42" i="77"/>
  <c r="H46" i="77" s="1"/>
  <c r="J46" i="77" s="1"/>
  <c r="K46" i="77" s="1"/>
  <c r="E42" i="77"/>
  <c r="J11" i="77"/>
  <c r="K11" i="77" s="1"/>
  <c r="H27" i="75"/>
  <c r="H24" i="75"/>
  <c r="H20" i="75"/>
  <c r="I18" i="99" l="1"/>
  <c r="K17" i="99"/>
  <c r="J22" i="99"/>
  <c r="J17" i="98"/>
  <c r="K16" i="98"/>
  <c r="K14" i="97"/>
  <c r="J15" i="97"/>
  <c r="J17" i="96"/>
  <c r="K16" i="96"/>
  <c r="K16" i="95"/>
  <c r="J17" i="95"/>
  <c r="J15" i="94"/>
  <c r="K14" i="94"/>
  <c r="K14" i="93"/>
  <c r="J15" i="93"/>
  <c r="K15" i="91"/>
  <c r="J17" i="90"/>
  <c r="K16" i="90"/>
  <c r="K13" i="89"/>
  <c r="K14" i="89"/>
  <c r="J15" i="89"/>
  <c r="K12" i="88"/>
  <c r="J13" i="88"/>
  <c r="H45" i="86"/>
  <c r="J45" i="86" s="1"/>
  <c r="K45" i="86" s="1"/>
  <c r="K12" i="86"/>
  <c r="J13" i="86"/>
  <c r="J14" i="86" s="1"/>
  <c r="K14" i="86" s="1"/>
  <c r="K11" i="86"/>
  <c r="H47" i="86"/>
  <c r="J47" i="86" s="1"/>
  <c r="K47" i="86" s="1"/>
  <c r="H45" i="83"/>
  <c r="J45" i="83" s="1"/>
  <c r="K45" i="83" s="1"/>
  <c r="K12" i="83"/>
  <c r="J13" i="83"/>
  <c r="J14" i="83" s="1"/>
  <c r="J15" i="83" s="1"/>
  <c r="K11" i="83"/>
  <c r="H47" i="83"/>
  <c r="J47" i="83" s="1"/>
  <c r="K47" i="83" s="1"/>
  <c r="H45" i="82"/>
  <c r="J45" i="82" s="1"/>
  <c r="K45" i="82" s="1"/>
  <c r="J12" i="82"/>
  <c r="K45" i="81"/>
  <c r="K12" i="81"/>
  <c r="J13" i="81"/>
  <c r="K11" i="81"/>
  <c r="K11" i="79"/>
  <c r="H45" i="79"/>
  <c r="J45" i="79" s="1"/>
  <c r="K45" i="79" s="1"/>
  <c r="J13" i="79"/>
  <c r="K12" i="79"/>
  <c r="K11" i="78"/>
  <c r="H45" i="78"/>
  <c r="J45" i="78" s="1"/>
  <c r="K45" i="78" s="1"/>
  <c r="K12" i="78"/>
  <c r="J13" i="78"/>
  <c r="J12" i="77"/>
  <c r="J13" i="77" s="1"/>
  <c r="K13" i="77" s="1"/>
  <c r="K45" i="77"/>
  <c r="K12" i="77"/>
  <c r="J54" i="75"/>
  <c r="K54" i="75"/>
  <c r="D26" i="72"/>
  <c r="K18" i="99" l="1"/>
  <c r="I19" i="99"/>
  <c r="J23" i="99"/>
  <c r="K17" i="98"/>
  <c r="J18" i="98"/>
  <c r="J16" i="97"/>
  <c r="K15" i="97"/>
  <c r="J18" i="96"/>
  <c r="K17" i="96"/>
  <c r="J18" i="95"/>
  <c r="K17" i="95"/>
  <c r="J16" i="94"/>
  <c r="K15" i="94"/>
  <c r="J16" i="93"/>
  <c r="K15" i="93"/>
  <c r="K16" i="91"/>
  <c r="J18" i="90"/>
  <c r="K17" i="90"/>
  <c r="J16" i="89"/>
  <c r="K15" i="89"/>
  <c r="J14" i="88"/>
  <c r="K13" i="88"/>
  <c r="K13" i="86"/>
  <c r="J15" i="86"/>
  <c r="J16" i="86" s="1"/>
  <c r="K14" i="83"/>
  <c r="K13" i="83"/>
  <c r="J16" i="83"/>
  <c r="K15" i="83"/>
  <c r="J13" i="82"/>
  <c r="K12" i="82"/>
  <c r="J14" i="81"/>
  <c r="K13" i="81"/>
  <c r="J14" i="79"/>
  <c r="K13" i="79"/>
  <c r="K13" i="78"/>
  <c r="J14" i="78"/>
  <c r="J14" i="77"/>
  <c r="J15" i="77" s="1"/>
  <c r="D40" i="75"/>
  <c r="D39" i="75"/>
  <c r="D38" i="75"/>
  <c r="D37" i="75"/>
  <c r="D30" i="75"/>
  <c r="K19" i="99" l="1"/>
  <c r="I20" i="99"/>
  <c r="J24" i="99"/>
  <c r="K18" i="98"/>
  <c r="J19" i="98"/>
  <c r="J17" i="97"/>
  <c r="K16" i="97"/>
  <c r="K18" i="96"/>
  <c r="J19" i="96"/>
  <c r="K18" i="95"/>
  <c r="J19" i="95"/>
  <c r="K16" i="94"/>
  <c r="J17" i="94"/>
  <c r="K16" i="93"/>
  <c r="J17" i="93"/>
  <c r="K17" i="91"/>
  <c r="J19" i="90"/>
  <c r="K18" i="90"/>
  <c r="J17" i="89"/>
  <c r="K16" i="89"/>
  <c r="K14" i="88"/>
  <c r="J15" i="88"/>
  <c r="K15" i="86"/>
  <c r="K16" i="86"/>
  <c r="J17" i="86"/>
  <c r="J17" i="83"/>
  <c r="K16" i="83"/>
  <c r="J14" i="82"/>
  <c r="K13" i="82"/>
  <c r="J15" i="81"/>
  <c r="K14" i="81"/>
  <c r="J15" i="79"/>
  <c r="K14" i="79"/>
  <c r="J15" i="78"/>
  <c r="K14" i="78"/>
  <c r="K14" i="77"/>
  <c r="K15" i="77"/>
  <c r="J16" i="77"/>
  <c r="D23" i="75"/>
  <c r="D25" i="75"/>
  <c r="D24" i="75"/>
  <c r="K11" i="75"/>
  <c r="D20" i="75"/>
  <c r="D19" i="75"/>
  <c r="D18" i="75"/>
  <c r="J53" i="75"/>
  <c r="K53" i="75" s="1"/>
  <c r="J52" i="75"/>
  <c r="K52" i="75" s="1"/>
  <c r="J51" i="75"/>
  <c r="K51" i="75" s="1"/>
  <c r="J49" i="75"/>
  <c r="K49" i="75" s="1"/>
  <c r="J48" i="75"/>
  <c r="K48" i="75" s="1"/>
  <c r="I42" i="75"/>
  <c r="H50" i="75" s="1"/>
  <c r="J50" i="75" s="1"/>
  <c r="K50" i="75" s="1"/>
  <c r="H42" i="75"/>
  <c r="H46" i="75" s="1"/>
  <c r="J46" i="75" s="1"/>
  <c r="K46" i="75" s="1"/>
  <c r="E42" i="75"/>
  <c r="H47" i="75" s="1"/>
  <c r="J47" i="75" s="1"/>
  <c r="K47" i="75" s="1"/>
  <c r="J11" i="75"/>
  <c r="D40" i="72"/>
  <c r="D36" i="72"/>
  <c r="D33" i="72"/>
  <c r="K20" i="99" l="1"/>
  <c r="I21" i="99"/>
  <c r="J25" i="99"/>
  <c r="J20" i="98"/>
  <c r="K19" i="98"/>
  <c r="J18" i="97"/>
  <c r="K17" i="97"/>
  <c r="J20" i="96"/>
  <c r="K19" i="96"/>
  <c r="J20" i="95"/>
  <c r="K19" i="95"/>
  <c r="K17" i="94"/>
  <c r="J18" i="94"/>
  <c r="J18" i="93"/>
  <c r="K17" i="93"/>
  <c r="K18" i="91"/>
  <c r="J20" i="90"/>
  <c r="K19" i="90"/>
  <c r="J18" i="89"/>
  <c r="K17" i="89"/>
  <c r="J16" i="88"/>
  <c r="K15" i="88"/>
  <c r="J18" i="86"/>
  <c r="K17" i="86"/>
  <c r="J18" i="83"/>
  <c r="K17" i="83"/>
  <c r="K14" i="82"/>
  <c r="J15" i="82"/>
  <c r="J16" i="81"/>
  <c r="K15" i="81"/>
  <c r="J16" i="79"/>
  <c r="K15" i="79"/>
  <c r="K15" i="78"/>
  <c r="J16" i="78"/>
  <c r="J17" i="77"/>
  <c r="K16" i="77"/>
  <c r="D42" i="75"/>
  <c r="H45" i="75" s="1"/>
  <c r="J45" i="75" s="1"/>
  <c r="K45" i="75" s="1"/>
  <c r="J12" i="75"/>
  <c r="D30" i="72"/>
  <c r="D27" i="72"/>
  <c r="K21" i="99" l="1"/>
  <c r="I22" i="99"/>
  <c r="J26" i="99"/>
  <c r="J21" i="98"/>
  <c r="K20" i="98"/>
  <c r="K18" i="97"/>
  <c r="J19" i="97"/>
  <c r="J21" i="96"/>
  <c r="K20" i="96"/>
  <c r="J21" i="95"/>
  <c r="K20" i="95"/>
  <c r="J19" i="94"/>
  <c r="K18" i="94"/>
  <c r="K18" i="93"/>
  <c r="J19" i="93"/>
  <c r="K19" i="91"/>
  <c r="J21" i="90"/>
  <c r="K20" i="90"/>
  <c r="K18" i="89"/>
  <c r="J19" i="89"/>
  <c r="J17" i="88"/>
  <c r="K16" i="88"/>
  <c r="K18" i="86"/>
  <c r="J19" i="86"/>
  <c r="K18" i="83"/>
  <c r="J19" i="83"/>
  <c r="K15" i="82"/>
  <c r="J16" i="82"/>
  <c r="K16" i="81"/>
  <c r="J17" i="81"/>
  <c r="K16" i="79"/>
  <c r="J17" i="79"/>
  <c r="K16" i="78"/>
  <c r="J17" i="78"/>
  <c r="K17" i="77"/>
  <c r="J18" i="77"/>
  <c r="J13" i="75"/>
  <c r="K13" i="75" s="1"/>
  <c r="K12" i="75"/>
  <c r="J14" i="75"/>
  <c r="D42" i="72"/>
  <c r="H45" i="72" s="1"/>
  <c r="J45" i="72" s="1"/>
  <c r="D21" i="72"/>
  <c r="D14" i="72"/>
  <c r="J53" i="72"/>
  <c r="K53" i="72" s="1"/>
  <c r="J52" i="72"/>
  <c r="K52" i="72" s="1"/>
  <c r="K51" i="72"/>
  <c r="J51" i="72"/>
  <c r="J49" i="72"/>
  <c r="K49" i="72" s="1"/>
  <c r="J48" i="72"/>
  <c r="K48" i="72" s="1"/>
  <c r="H47" i="72"/>
  <c r="J47" i="72" s="1"/>
  <c r="K47" i="72" s="1"/>
  <c r="I42" i="72"/>
  <c r="H50" i="72" s="1"/>
  <c r="J50" i="72" s="1"/>
  <c r="K50" i="72" s="1"/>
  <c r="E42" i="72"/>
  <c r="H42" i="72"/>
  <c r="H46" i="72" s="1"/>
  <c r="J46" i="72" s="1"/>
  <c r="K46" i="72" s="1"/>
  <c r="J11" i="72"/>
  <c r="J12" i="72" s="1"/>
  <c r="H15" i="71"/>
  <c r="D37" i="71"/>
  <c r="D32" i="71"/>
  <c r="D23" i="71"/>
  <c r="J53" i="71"/>
  <c r="K53" i="71" s="1"/>
  <c r="J52" i="71"/>
  <c r="K52" i="71" s="1"/>
  <c r="J51" i="71"/>
  <c r="K51" i="71" s="1"/>
  <c r="K49" i="71"/>
  <c r="J49" i="71"/>
  <c r="J48" i="71"/>
  <c r="K48" i="71" s="1"/>
  <c r="I42" i="71"/>
  <c r="H50" i="71" s="1"/>
  <c r="J50" i="71" s="1"/>
  <c r="K50" i="71" s="1"/>
  <c r="H42" i="71"/>
  <c r="H46" i="71" s="1"/>
  <c r="J46" i="71" s="1"/>
  <c r="K46" i="71" s="1"/>
  <c r="E42" i="71"/>
  <c r="H47" i="71" s="1"/>
  <c r="J47" i="71" s="1"/>
  <c r="K47" i="71" s="1"/>
  <c r="J11" i="71"/>
  <c r="K11" i="71" s="1"/>
  <c r="J41" i="70"/>
  <c r="D41" i="70"/>
  <c r="D33" i="70"/>
  <c r="I23" i="99" l="1"/>
  <c r="K22" i="99"/>
  <c r="J27" i="99"/>
  <c r="J22" i="98"/>
  <c r="K21" i="98"/>
  <c r="K19" i="97"/>
  <c r="J20" i="97"/>
  <c r="J22" i="96"/>
  <c r="K21" i="96"/>
  <c r="J22" i="95"/>
  <c r="K21" i="95"/>
  <c r="J20" i="94"/>
  <c r="K19" i="94"/>
  <c r="J20" i="93"/>
  <c r="K19" i="93"/>
  <c r="K20" i="91"/>
  <c r="J22" i="90"/>
  <c r="K21" i="90"/>
  <c r="J20" i="89"/>
  <c r="K19" i="89"/>
  <c r="J18" i="88"/>
  <c r="K17" i="88"/>
  <c r="J20" i="86"/>
  <c r="K19" i="86"/>
  <c r="J20" i="83"/>
  <c r="K19" i="83"/>
  <c r="J17" i="82"/>
  <c r="K16" i="82"/>
  <c r="K17" i="81"/>
  <c r="J18" i="79"/>
  <c r="K17" i="79"/>
  <c r="K17" i="78"/>
  <c r="J18" i="78"/>
  <c r="K18" i="77"/>
  <c r="J19" i="77"/>
  <c r="J15" i="75"/>
  <c r="K15" i="75" s="1"/>
  <c r="K14" i="75"/>
  <c r="J16" i="75"/>
  <c r="K16" i="75" s="1"/>
  <c r="K45" i="72"/>
  <c r="J13" i="72"/>
  <c r="K12" i="72"/>
  <c r="K11" i="72"/>
  <c r="J12" i="71"/>
  <c r="J13" i="71" s="1"/>
  <c r="D42" i="71"/>
  <c r="H45" i="71" s="1"/>
  <c r="J45" i="71" s="1"/>
  <c r="K45" i="71" s="1"/>
  <c r="K13" i="71"/>
  <c r="J14" i="71"/>
  <c r="K12" i="71"/>
  <c r="D39" i="70"/>
  <c r="I24" i="99" l="1"/>
  <c r="K23" i="99"/>
  <c r="J28" i="99"/>
  <c r="K22" i="98"/>
  <c r="J23" i="98"/>
  <c r="J21" i="97"/>
  <c r="K20" i="97"/>
  <c r="K22" i="96"/>
  <c r="J23" i="96"/>
  <c r="K22" i="95"/>
  <c r="J23" i="95"/>
  <c r="J21" i="94"/>
  <c r="K20" i="94"/>
  <c r="K20" i="93"/>
  <c r="J21" i="93"/>
  <c r="K21" i="91"/>
  <c r="J23" i="90"/>
  <c r="K22" i="90"/>
  <c r="J21" i="89"/>
  <c r="K20" i="89"/>
  <c r="K18" i="88"/>
  <c r="J19" i="88"/>
  <c r="J21" i="86"/>
  <c r="K20" i="86"/>
  <c r="J21" i="83"/>
  <c r="K20" i="83"/>
  <c r="J18" i="82"/>
  <c r="K17" i="82"/>
  <c r="J19" i="81"/>
  <c r="K18" i="81"/>
  <c r="J19" i="79"/>
  <c r="K18" i="79"/>
  <c r="K18" i="78"/>
  <c r="J19" i="78"/>
  <c r="J20" i="77"/>
  <c r="K19" i="77"/>
  <c r="J17" i="75"/>
  <c r="K17" i="75" s="1"/>
  <c r="J14" i="72"/>
  <c r="K13" i="72"/>
  <c r="J15" i="71"/>
  <c r="K14" i="71"/>
  <c r="D31" i="70"/>
  <c r="D24" i="70"/>
  <c r="D17" i="70"/>
  <c r="J53" i="70"/>
  <c r="K53" i="70" s="1"/>
  <c r="K52" i="70"/>
  <c r="J52" i="70"/>
  <c r="J51" i="70"/>
  <c r="K51" i="70" s="1"/>
  <c r="K49" i="70"/>
  <c r="J49" i="70"/>
  <c r="J48" i="70"/>
  <c r="K48" i="70" s="1"/>
  <c r="I42" i="70"/>
  <c r="H50" i="70" s="1"/>
  <c r="J50" i="70" s="1"/>
  <c r="K50" i="70" s="1"/>
  <c r="E42" i="70"/>
  <c r="H47" i="70" s="1"/>
  <c r="J47" i="70" s="1"/>
  <c r="K47" i="70" s="1"/>
  <c r="H42" i="70"/>
  <c r="D42" i="70"/>
  <c r="H45" i="70" s="1"/>
  <c r="J45" i="70" s="1"/>
  <c r="J11" i="70"/>
  <c r="J12" i="70" s="1"/>
  <c r="I25" i="99" l="1"/>
  <c r="K24" i="99"/>
  <c r="J29" i="99"/>
  <c r="J24" i="98"/>
  <c r="K23" i="98"/>
  <c r="J22" i="97"/>
  <c r="K21" i="97"/>
  <c r="J24" i="96"/>
  <c r="K23" i="96"/>
  <c r="J24" i="95"/>
  <c r="K23" i="95"/>
  <c r="J22" i="94"/>
  <c r="K21" i="94"/>
  <c r="J22" i="93"/>
  <c r="K21" i="93"/>
  <c r="K22" i="91"/>
  <c r="J24" i="90"/>
  <c r="K23" i="90"/>
  <c r="J22" i="89"/>
  <c r="K21" i="89"/>
  <c r="J20" i="88"/>
  <c r="K19" i="88"/>
  <c r="J22" i="86"/>
  <c r="K21" i="86"/>
  <c r="J22" i="83"/>
  <c r="K21" i="83"/>
  <c r="K18" i="82"/>
  <c r="J19" i="82"/>
  <c r="J20" i="81"/>
  <c r="K19" i="81"/>
  <c r="J20" i="79"/>
  <c r="K19" i="79"/>
  <c r="J20" i="78"/>
  <c r="K19" i="78"/>
  <c r="K20" i="77"/>
  <c r="J21" i="77"/>
  <c r="J18" i="75"/>
  <c r="K18" i="75" s="1"/>
  <c r="J15" i="72"/>
  <c r="K14" i="72"/>
  <c r="K15" i="71"/>
  <c r="J16" i="71"/>
  <c r="H46" i="70"/>
  <c r="J46" i="70" s="1"/>
  <c r="K46" i="70" s="1"/>
  <c r="J13" i="70"/>
  <c r="K12" i="70"/>
  <c r="K45" i="70"/>
  <c r="K11" i="70"/>
  <c r="J55" i="69"/>
  <c r="H30" i="69"/>
  <c r="H29" i="69"/>
  <c r="H21" i="69"/>
  <c r="D40" i="69"/>
  <c r="D34" i="69"/>
  <c r="D27" i="69"/>
  <c r="D26" i="69"/>
  <c r="D12" i="69"/>
  <c r="K53" i="69"/>
  <c r="J53" i="69"/>
  <c r="K52" i="69"/>
  <c r="J52" i="69"/>
  <c r="K51" i="69"/>
  <c r="J51" i="69"/>
  <c r="J49" i="69"/>
  <c r="K49" i="69" s="1"/>
  <c r="J48" i="69"/>
  <c r="K48" i="69" s="1"/>
  <c r="I42" i="69"/>
  <c r="H50" i="69" s="1"/>
  <c r="J50" i="69" s="1"/>
  <c r="K50" i="69" s="1"/>
  <c r="H42" i="69"/>
  <c r="E42" i="69"/>
  <c r="H47" i="69" s="1"/>
  <c r="J47" i="69" s="1"/>
  <c r="K47" i="69" s="1"/>
  <c r="J11" i="69"/>
  <c r="K11" i="69" s="1"/>
  <c r="D37" i="68"/>
  <c r="D36" i="68"/>
  <c r="D22" i="68"/>
  <c r="D15" i="68"/>
  <c r="D42" i="68" s="1"/>
  <c r="H45" i="68" s="1"/>
  <c r="J45" i="68" s="1"/>
  <c r="J53" i="68"/>
  <c r="K53" i="68" s="1"/>
  <c r="J52" i="68"/>
  <c r="K52" i="68" s="1"/>
  <c r="J51" i="68"/>
  <c r="K51" i="68" s="1"/>
  <c r="J49" i="68"/>
  <c r="K49" i="68" s="1"/>
  <c r="J48" i="68"/>
  <c r="K48" i="68" s="1"/>
  <c r="H47" i="68"/>
  <c r="J47" i="68" s="1"/>
  <c r="K47" i="68" s="1"/>
  <c r="I42" i="68"/>
  <c r="H50" i="68" s="1"/>
  <c r="J50" i="68" s="1"/>
  <c r="K50" i="68" s="1"/>
  <c r="E42" i="68"/>
  <c r="H42" i="68"/>
  <c r="J11" i="68"/>
  <c r="J12" i="68" s="1"/>
  <c r="H35" i="67"/>
  <c r="K25" i="99" l="1"/>
  <c r="I26" i="99"/>
  <c r="J30" i="99"/>
  <c r="J25" i="98"/>
  <c r="K24" i="98"/>
  <c r="K22" i="97"/>
  <c r="J23" i="97"/>
  <c r="J25" i="96"/>
  <c r="K24" i="96"/>
  <c r="K24" i="95"/>
  <c r="J25" i="95"/>
  <c r="K22" i="94"/>
  <c r="J23" i="94"/>
  <c r="K22" i="93"/>
  <c r="J23" i="93"/>
  <c r="K23" i="91"/>
  <c r="J25" i="90"/>
  <c r="K24" i="90"/>
  <c r="J23" i="89"/>
  <c r="K22" i="89"/>
  <c r="K20" i="88"/>
  <c r="J21" i="88"/>
  <c r="J23" i="86"/>
  <c r="K22" i="86"/>
  <c r="K22" i="83"/>
  <c r="J23" i="83"/>
  <c r="J20" i="82"/>
  <c r="K19" i="82"/>
  <c r="J21" i="81"/>
  <c r="K20" i="81"/>
  <c r="J21" i="79"/>
  <c r="K20" i="79"/>
  <c r="J21" i="78"/>
  <c r="K20" i="78"/>
  <c r="K21" i="77"/>
  <c r="J22" i="77"/>
  <c r="J19" i="75"/>
  <c r="K19" i="75" s="1"/>
  <c r="K15" i="72"/>
  <c r="J16" i="72"/>
  <c r="J17" i="71"/>
  <c r="K16" i="71"/>
  <c r="J14" i="70"/>
  <c r="K13" i="70"/>
  <c r="D42" i="69"/>
  <c r="H45" i="69" s="1"/>
  <c r="J45" i="69" s="1"/>
  <c r="J12" i="69"/>
  <c r="K45" i="69"/>
  <c r="H46" i="69"/>
  <c r="J46" i="69" s="1"/>
  <c r="K46" i="69" s="1"/>
  <c r="H46" i="68"/>
  <c r="J46" i="68" s="1"/>
  <c r="K46" i="68" s="1"/>
  <c r="K45" i="68"/>
  <c r="J13" i="68"/>
  <c r="K12" i="68"/>
  <c r="K11" i="68"/>
  <c r="D39" i="67"/>
  <c r="D32" i="67"/>
  <c r="D25" i="67"/>
  <c r="D14" i="67"/>
  <c r="D12" i="67"/>
  <c r="D42" i="67" s="1"/>
  <c r="H45" i="67" s="1"/>
  <c r="J45" i="67" s="1"/>
  <c r="J53" i="67"/>
  <c r="K53" i="67" s="1"/>
  <c r="J52" i="67"/>
  <c r="K52" i="67" s="1"/>
  <c r="J51" i="67"/>
  <c r="K51" i="67" s="1"/>
  <c r="J49" i="67"/>
  <c r="K49" i="67" s="1"/>
  <c r="J48" i="67"/>
  <c r="K48" i="67" s="1"/>
  <c r="I42" i="67"/>
  <c r="H50" i="67" s="1"/>
  <c r="J50" i="67" s="1"/>
  <c r="K50" i="67" s="1"/>
  <c r="H42" i="67"/>
  <c r="E42" i="67"/>
  <c r="H47" i="67" s="1"/>
  <c r="J47" i="67" s="1"/>
  <c r="K47" i="67" s="1"/>
  <c r="J11" i="67"/>
  <c r="K11" i="67" s="1"/>
  <c r="D35" i="65"/>
  <c r="D20" i="65"/>
  <c r="D14" i="65"/>
  <c r="D13" i="65"/>
  <c r="I27" i="99" l="1"/>
  <c r="K26" i="99"/>
  <c r="J31" i="99"/>
  <c r="J26" i="98"/>
  <c r="K25" i="98"/>
  <c r="K23" i="97"/>
  <c r="J24" i="97"/>
  <c r="J26" i="96"/>
  <c r="K25" i="96"/>
  <c r="J26" i="95"/>
  <c r="K25" i="95"/>
  <c r="J24" i="94"/>
  <c r="K23" i="94"/>
  <c r="J24" i="93"/>
  <c r="K23" i="93"/>
  <c r="K24" i="91"/>
  <c r="J26" i="90"/>
  <c r="K25" i="90"/>
  <c r="J24" i="89"/>
  <c r="K23" i="89"/>
  <c r="J22" i="88"/>
  <c r="K21" i="88"/>
  <c r="J24" i="86"/>
  <c r="K23" i="86"/>
  <c r="J24" i="83"/>
  <c r="K23" i="83"/>
  <c r="J21" i="82"/>
  <c r="K20" i="82"/>
  <c r="J22" i="81"/>
  <c r="K21" i="81"/>
  <c r="K21" i="79"/>
  <c r="J22" i="79"/>
  <c r="K21" i="78"/>
  <c r="J22" i="78"/>
  <c r="J23" i="77"/>
  <c r="K22" i="77"/>
  <c r="J20" i="75"/>
  <c r="K20" i="75" s="1"/>
  <c r="J17" i="72"/>
  <c r="K16" i="72"/>
  <c r="K17" i="71"/>
  <c r="J18" i="71"/>
  <c r="J15" i="70"/>
  <c r="K14" i="70"/>
  <c r="J13" i="69"/>
  <c r="K12" i="69"/>
  <c r="J14" i="68"/>
  <c r="K13" i="68"/>
  <c r="H46" i="67"/>
  <c r="J46" i="67" s="1"/>
  <c r="K46" i="67" s="1"/>
  <c r="K45" i="67"/>
  <c r="J12" i="67"/>
  <c r="J53" i="65"/>
  <c r="K53" i="65" s="1"/>
  <c r="J52" i="65"/>
  <c r="K52" i="65" s="1"/>
  <c r="J51" i="65"/>
  <c r="K51" i="65" s="1"/>
  <c r="K49" i="65"/>
  <c r="J49" i="65"/>
  <c r="J48" i="65"/>
  <c r="K48" i="65" s="1"/>
  <c r="I42" i="65"/>
  <c r="H50" i="65" s="1"/>
  <c r="J50" i="65" s="1"/>
  <c r="K50" i="65" s="1"/>
  <c r="H42" i="65"/>
  <c r="E42" i="65"/>
  <c r="H47" i="65" s="1"/>
  <c r="J47" i="65" s="1"/>
  <c r="K47" i="65" s="1"/>
  <c r="D42" i="65"/>
  <c r="H45" i="65" s="1"/>
  <c r="J45" i="65" s="1"/>
  <c r="J11" i="65"/>
  <c r="J12" i="65" s="1"/>
  <c r="D35" i="58"/>
  <c r="D39" i="64"/>
  <c r="D37" i="64"/>
  <c r="D33" i="64"/>
  <c r="D23" i="64"/>
  <c r="D17" i="64"/>
  <c r="J53" i="64"/>
  <c r="K53" i="64" s="1"/>
  <c r="J52" i="64"/>
  <c r="K52" i="64" s="1"/>
  <c r="J51" i="64"/>
  <c r="K51" i="64" s="1"/>
  <c r="K49" i="64"/>
  <c r="J49" i="64"/>
  <c r="J48" i="64"/>
  <c r="K48" i="64" s="1"/>
  <c r="H47" i="64"/>
  <c r="J47" i="64" s="1"/>
  <c r="K47" i="64" s="1"/>
  <c r="I42" i="64"/>
  <c r="H50" i="64" s="1"/>
  <c r="J50" i="64" s="1"/>
  <c r="K50" i="64" s="1"/>
  <c r="E42" i="64"/>
  <c r="H42" i="64"/>
  <c r="J11" i="64"/>
  <c r="J12" i="64" s="1"/>
  <c r="D18" i="60"/>
  <c r="D32" i="60"/>
  <c r="I28" i="99" l="1"/>
  <c r="K27" i="99"/>
  <c r="J32" i="99"/>
  <c r="K26" i="98"/>
  <c r="J27" i="98"/>
  <c r="J25" i="97"/>
  <c r="K24" i="97"/>
  <c r="K26" i="96"/>
  <c r="J27" i="96"/>
  <c r="K26" i="95"/>
  <c r="J27" i="95"/>
  <c r="J25" i="94"/>
  <c r="K24" i="94"/>
  <c r="K24" i="93"/>
  <c r="J25" i="93"/>
  <c r="K25" i="91"/>
  <c r="J27" i="90"/>
  <c r="K26" i="90"/>
  <c r="K24" i="89"/>
  <c r="J25" i="89"/>
  <c r="J23" i="88"/>
  <c r="K22" i="88"/>
  <c r="J25" i="86"/>
  <c r="K24" i="86"/>
  <c r="J25" i="83"/>
  <c r="K24" i="83"/>
  <c r="J22" i="82"/>
  <c r="K21" i="82"/>
  <c r="J23" i="81"/>
  <c r="K22" i="81"/>
  <c r="J23" i="79"/>
  <c r="K22" i="79"/>
  <c r="J23" i="78"/>
  <c r="K22" i="78"/>
  <c r="J24" i="77"/>
  <c r="K23" i="77"/>
  <c r="J21" i="75"/>
  <c r="K21" i="75" s="1"/>
  <c r="K17" i="72"/>
  <c r="J18" i="72"/>
  <c r="J19" i="71"/>
  <c r="K18" i="71"/>
  <c r="J16" i="70"/>
  <c r="K15" i="70"/>
  <c r="J14" i="69"/>
  <c r="K13" i="69"/>
  <c r="K14" i="68"/>
  <c r="J15" i="68"/>
  <c r="J13" i="67"/>
  <c r="K12" i="67"/>
  <c r="H46" i="65"/>
  <c r="J46" i="65" s="1"/>
  <c r="K46" i="65" s="1"/>
  <c r="K11" i="65"/>
  <c r="J13" i="65"/>
  <c r="K12" i="65"/>
  <c r="K45" i="65"/>
  <c r="H46" i="64"/>
  <c r="J46" i="64" s="1"/>
  <c r="K46" i="64" s="1"/>
  <c r="D42" i="64"/>
  <c r="H45" i="64" s="1"/>
  <c r="J45" i="64" s="1"/>
  <c r="K45" i="64" s="1"/>
  <c r="K12" i="64"/>
  <c r="J13" i="64"/>
  <c r="K11" i="64"/>
  <c r="H29" i="60"/>
  <c r="D13" i="60"/>
  <c r="D11" i="60"/>
  <c r="I29" i="99" l="1"/>
  <c r="K28" i="99"/>
  <c r="J33" i="99"/>
  <c r="J28" i="98"/>
  <c r="K27" i="98"/>
  <c r="J26" i="97"/>
  <c r="K25" i="97"/>
  <c r="J28" i="96"/>
  <c r="K27" i="96"/>
  <c r="J28" i="95"/>
  <c r="K27" i="95"/>
  <c r="J26" i="94"/>
  <c r="K25" i="94"/>
  <c r="J26" i="93"/>
  <c r="K25" i="93"/>
  <c r="K26" i="91"/>
  <c r="J28" i="90"/>
  <c r="K27" i="90"/>
  <c r="J26" i="89"/>
  <c r="K25" i="89"/>
  <c r="J24" i="88"/>
  <c r="K23" i="88"/>
  <c r="J26" i="86"/>
  <c r="K25" i="86"/>
  <c r="J26" i="83"/>
  <c r="K25" i="83"/>
  <c r="K22" i="82"/>
  <c r="J23" i="82"/>
  <c r="J24" i="81"/>
  <c r="K23" i="81"/>
  <c r="J24" i="79"/>
  <c r="K23" i="79"/>
  <c r="K23" i="78"/>
  <c r="J24" i="78"/>
  <c r="J25" i="77"/>
  <c r="K24" i="77"/>
  <c r="J22" i="75"/>
  <c r="K22" i="75" s="1"/>
  <c r="J19" i="72"/>
  <c r="K18" i="72"/>
  <c r="J20" i="71"/>
  <c r="K19" i="71"/>
  <c r="J17" i="70"/>
  <c r="K16" i="70"/>
  <c r="K14" i="69"/>
  <c r="J15" i="69"/>
  <c r="K15" i="68"/>
  <c r="J16" i="68"/>
  <c r="K13" i="67"/>
  <c r="J14" i="67"/>
  <c r="J14" i="65"/>
  <c r="K13" i="65"/>
  <c r="J14" i="64"/>
  <c r="K13" i="64"/>
  <c r="J53" i="60"/>
  <c r="K53" i="60" s="1"/>
  <c r="J52" i="60"/>
  <c r="K52" i="60" s="1"/>
  <c r="J51" i="60"/>
  <c r="K51" i="60" s="1"/>
  <c r="J49" i="60"/>
  <c r="K49" i="60" s="1"/>
  <c r="J48" i="60"/>
  <c r="K48" i="60" s="1"/>
  <c r="I42" i="60"/>
  <c r="H50" i="60" s="1"/>
  <c r="J50" i="60" s="1"/>
  <c r="K50" i="60" s="1"/>
  <c r="H42" i="60"/>
  <c r="H46" i="60" s="1"/>
  <c r="J46" i="60" s="1"/>
  <c r="K46" i="60" s="1"/>
  <c r="E42" i="60"/>
  <c r="H47" i="60" s="1"/>
  <c r="J47" i="60" s="1"/>
  <c r="K47" i="60" s="1"/>
  <c r="D42" i="60"/>
  <c r="J11" i="60"/>
  <c r="K11" i="60" s="1"/>
  <c r="H45" i="58"/>
  <c r="J48" i="58"/>
  <c r="K48" i="58" s="1"/>
  <c r="J49" i="58"/>
  <c r="K49" i="58"/>
  <c r="D31" i="58"/>
  <c r="D22" i="58"/>
  <c r="D18" i="58"/>
  <c r="D22" i="56"/>
  <c r="I22" i="56"/>
  <c r="D36" i="56"/>
  <c r="K53" i="58"/>
  <c r="J53" i="58"/>
  <c r="J52" i="58"/>
  <c r="K52" i="58" s="1"/>
  <c r="J51" i="58"/>
  <c r="K51" i="58" s="1"/>
  <c r="I42" i="58"/>
  <c r="H50" i="58" s="1"/>
  <c r="J50" i="58" s="1"/>
  <c r="K50" i="58" s="1"/>
  <c r="H42" i="58"/>
  <c r="E42" i="58"/>
  <c r="H47" i="58" s="1"/>
  <c r="J47" i="58" s="1"/>
  <c r="K47" i="58" s="1"/>
  <c r="J11" i="58"/>
  <c r="J12" i="58" s="1"/>
  <c r="K29" i="99" l="1"/>
  <c r="I30" i="99"/>
  <c r="J34" i="99"/>
  <c r="J29" i="98"/>
  <c r="K28" i="98"/>
  <c r="K26" i="97"/>
  <c r="J27" i="97"/>
  <c r="J29" i="96"/>
  <c r="K28" i="96"/>
  <c r="J29" i="95"/>
  <c r="K28" i="95"/>
  <c r="J27" i="94"/>
  <c r="K26" i="94"/>
  <c r="K26" i="93"/>
  <c r="J27" i="93"/>
  <c r="K27" i="91"/>
  <c r="J29" i="90"/>
  <c r="K28" i="90"/>
  <c r="J27" i="89"/>
  <c r="K26" i="89"/>
  <c r="J25" i="88"/>
  <c r="K24" i="88"/>
  <c r="K26" i="86"/>
  <c r="J27" i="86"/>
  <c r="K26" i="83"/>
  <c r="J27" i="83"/>
  <c r="K23" i="82"/>
  <c r="J24" i="82"/>
  <c r="J25" i="81"/>
  <c r="K24" i="81"/>
  <c r="J25" i="79"/>
  <c r="K24" i="79"/>
  <c r="J25" i="78"/>
  <c r="K24" i="78"/>
  <c r="K25" i="77"/>
  <c r="J26" i="77"/>
  <c r="J23" i="75"/>
  <c r="K23" i="75" s="1"/>
  <c r="K19" i="72"/>
  <c r="J20" i="72"/>
  <c r="J21" i="71"/>
  <c r="K20" i="71"/>
  <c r="J18" i="70"/>
  <c r="K17" i="70"/>
  <c r="K15" i="69"/>
  <c r="J16" i="69"/>
  <c r="J17" i="68"/>
  <c r="K16" i="68"/>
  <c r="K14" i="67"/>
  <c r="J15" i="67"/>
  <c r="J15" i="65"/>
  <c r="K14" i="65"/>
  <c r="K14" i="64"/>
  <c r="J15" i="64"/>
  <c r="H45" i="60"/>
  <c r="J45" i="60" s="1"/>
  <c r="K45" i="60" s="1"/>
  <c r="J12" i="60"/>
  <c r="J13" i="60" s="1"/>
  <c r="J14" i="60" s="1"/>
  <c r="H46" i="58"/>
  <c r="J46" i="58"/>
  <c r="K46" i="58" s="1"/>
  <c r="D42" i="58"/>
  <c r="J45" i="58" s="1"/>
  <c r="K45" i="58" s="1"/>
  <c r="K12" i="58"/>
  <c r="J13" i="58"/>
  <c r="K11" i="58"/>
  <c r="K51" i="56"/>
  <c r="J51" i="56"/>
  <c r="J50" i="56"/>
  <c r="K50" i="56" s="1"/>
  <c r="K49" i="56"/>
  <c r="J49" i="56"/>
  <c r="I42" i="56"/>
  <c r="H48" i="56" s="1"/>
  <c r="J48" i="56" s="1"/>
  <c r="K48" i="56" s="1"/>
  <c r="H42" i="56"/>
  <c r="H46" i="56" s="1"/>
  <c r="J46" i="56" s="1"/>
  <c r="K46" i="56" s="1"/>
  <c r="E42" i="56"/>
  <c r="H47" i="56" s="1"/>
  <c r="J47" i="56" s="1"/>
  <c r="K47" i="56" s="1"/>
  <c r="D42" i="56"/>
  <c r="H45" i="56" s="1"/>
  <c r="J45" i="56" s="1"/>
  <c r="J11" i="56"/>
  <c r="K11" i="56" s="1"/>
  <c r="D35" i="55"/>
  <c r="I31" i="99" l="1"/>
  <c r="K30" i="99"/>
  <c r="J35" i="99"/>
  <c r="J30" i="98"/>
  <c r="K29" i="98"/>
  <c r="K27" i="97"/>
  <c r="J28" i="97"/>
  <c r="J30" i="96"/>
  <c r="K29" i="96"/>
  <c r="J30" i="95"/>
  <c r="K29" i="95"/>
  <c r="J28" i="94"/>
  <c r="K27" i="94"/>
  <c r="J28" i="93"/>
  <c r="K27" i="93"/>
  <c r="K28" i="91"/>
  <c r="K29" i="90"/>
  <c r="J30" i="90"/>
  <c r="J28" i="89"/>
  <c r="K27" i="89"/>
  <c r="J26" i="88"/>
  <c r="K25" i="88"/>
  <c r="J28" i="86"/>
  <c r="K27" i="86"/>
  <c r="J28" i="83"/>
  <c r="K27" i="83"/>
  <c r="J25" i="82"/>
  <c r="K24" i="82"/>
  <c r="K25" i="81"/>
  <c r="J26" i="81"/>
  <c r="K25" i="79"/>
  <c r="J26" i="79"/>
  <c r="K25" i="78"/>
  <c r="J26" i="78"/>
  <c r="J27" i="77"/>
  <c r="K26" i="77"/>
  <c r="J24" i="75"/>
  <c r="K24" i="75" s="1"/>
  <c r="J21" i="72"/>
  <c r="K20" i="72"/>
  <c r="K21" i="71"/>
  <c r="J22" i="71"/>
  <c r="J19" i="70"/>
  <c r="K18" i="70"/>
  <c r="K16" i="69"/>
  <c r="J17" i="69"/>
  <c r="K17" i="68"/>
  <c r="J18" i="68"/>
  <c r="K15" i="67"/>
  <c r="J16" i="67"/>
  <c r="J16" i="65"/>
  <c r="K15" i="65"/>
  <c r="J16" i="64"/>
  <c r="K15" i="64"/>
  <c r="K13" i="60"/>
  <c r="K12" i="60"/>
  <c r="J15" i="60"/>
  <c r="K14" i="60"/>
  <c r="J14" i="58"/>
  <c r="K13" i="58"/>
  <c r="J12" i="56"/>
  <c r="K12" i="56" s="1"/>
  <c r="K45" i="56"/>
  <c r="J51" i="55"/>
  <c r="K51" i="55" s="1"/>
  <c r="J50" i="55"/>
  <c r="K50" i="55" s="1"/>
  <c r="J49" i="55"/>
  <c r="K49" i="55" s="1"/>
  <c r="I42" i="55"/>
  <c r="H48" i="55" s="1"/>
  <c r="J48" i="55" s="1"/>
  <c r="K48" i="55" s="1"/>
  <c r="E42" i="55"/>
  <c r="H47" i="55" s="1"/>
  <c r="J47" i="55" s="1"/>
  <c r="K47" i="55" s="1"/>
  <c r="D42" i="55"/>
  <c r="H45" i="55" s="1"/>
  <c r="J45" i="55" s="1"/>
  <c r="H42" i="55"/>
  <c r="H46" i="55" s="1"/>
  <c r="J46" i="55" s="1"/>
  <c r="K46" i="55" s="1"/>
  <c r="J11" i="55"/>
  <c r="K11" i="55" s="1"/>
  <c r="H35" i="54"/>
  <c r="I32" i="99" l="1"/>
  <c r="K31" i="99"/>
  <c r="J36" i="99"/>
  <c r="K30" i="98"/>
  <c r="J31" i="98"/>
  <c r="J29" i="97"/>
  <c r="K28" i="97"/>
  <c r="K30" i="96"/>
  <c r="J31" i="96"/>
  <c r="K30" i="95"/>
  <c r="J31" i="95"/>
  <c r="J29" i="94"/>
  <c r="K28" i="94"/>
  <c r="K28" i="93"/>
  <c r="J29" i="93"/>
  <c r="K29" i="91"/>
  <c r="J31" i="90"/>
  <c r="K30" i="90"/>
  <c r="K28" i="89"/>
  <c r="J29" i="89"/>
  <c r="J27" i="88"/>
  <c r="K26" i="88"/>
  <c r="K28" i="86"/>
  <c r="J29" i="86"/>
  <c r="J29" i="83"/>
  <c r="K28" i="83"/>
  <c r="J26" i="82"/>
  <c r="K25" i="82"/>
  <c r="J27" i="81"/>
  <c r="K26" i="81"/>
  <c r="J27" i="79"/>
  <c r="K26" i="79"/>
  <c r="K26" i="78"/>
  <c r="J27" i="78"/>
  <c r="J28" i="77"/>
  <c r="K27" i="77"/>
  <c r="J25" i="75"/>
  <c r="K25" i="75" s="1"/>
  <c r="K21" i="72"/>
  <c r="J22" i="72"/>
  <c r="J23" i="71"/>
  <c r="K22" i="71"/>
  <c r="J20" i="70"/>
  <c r="K19" i="70"/>
  <c r="K17" i="69"/>
  <c r="J18" i="69"/>
  <c r="J19" i="68"/>
  <c r="K18" i="68"/>
  <c r="K16" i="67"/>
  <c r="J17" i="67"/>
  <c r="J17" i="65"/>
  <c r="K16" i="65"/>
  <c r="J17" i="64"/>
  <c r="K16" i="64"/>
  <c r="K15" i="60"/>
  <c r="J16" i="60"/>
  <c r="J13" i="56"/>
  <c r="K14" i="58"/>
  <c r="J15" i="58"/>
  <c r="K13" i="56"/>
  <c r="J14" i="56"/>
  <c r="K45" i="55"/>
  <c r="J12" i="55"/>
  <c r="H31" i="54"/>
  <c r="H23" i="54"/>
  <c r="H18" i="54"/>
  <c r="H21" i="54"/>
  <c r="H24" i="54"/>
  <c r="H17" i="54"/>
  <c r="H32" i="54"/>
  <c r="J51" i="54"/>
  <c r="K51" i="54" s="1"/>
  <c r="J50" i="54"/>
  <c r="K50" i="54" s="1"/>
  <c r="J49" i="54"/>
  <c r="K49" i="54" s="1"/>
  <c r="I42" i="54"/>
  <c r="H48" i="54" s="1"/>
  <c r="J48" i="54" s="1"/>
  <c r="K48" i="54" s="1"/>
  <c r="E42" i="54"/>
  <c r="H47" i="54" s="1"/>
  <c r="J47" i="54" s="1"/>
  <c r="K47" i="54" s="1"/>
  <c r="D42" i="54"/>
  <c r="H45" i="54" s="1"/>
  <c r="J45" i="54" s="1"/>
  <c r="H42" i="54"/>
  <c r="H46" i="54" s="1"/>
  <c r="J46" i="54" s="1"/>
  <c r="K46" i="54" s="1"/>
  <c r="J11" i="54"/>
  <c r="J12" i="54" s="1"/>
  <c r="J13" i="54" s="1"/>
  <c r="H40" i="53"/>
  <c r="H39" i="53"/>
  <c r="H27" i="53"/>
  <c r="H34" i="53"/>
  <c r="H35" i="53"/>
  <c r="J50" i="53"/>
  <c r="K50" i="53" s="1"/>
  <c r="J51" i="53"/>
  <c r="K51" i="53"/>
  <c r="J49" i="53"/>
  <c r="K49" i="53" s="1"/>
  <c r="H47" i="53"/>
  <c r="J47" i="53" s="1"/>
  <c r="K47" i="53" s="1"/>
  <c r="I42" i="53"/>
  <c r="H48" i="53" s="1"/>
  <c r="J48" i="53" s="1"/>
  <c r="K48" i="53" s="1"/>
  <c r="H42" i="53"/>
  <c r="H46" i="53" s="1"/>
  <c r="J46" i="53" s="1"/>
  <c r="K46" i="53" s="1"/>
  <c r="E42" i="53"/>
  <c r="D42" i="53"/>
  <c r="H45" i="53" s="1"/>
  <c r="J45" i="53" s="1"/>
  <c r="J11" i="53"/>
  <c r="K11" i="53" s="1"/>
  <c r="K49" i="52"/>
  <c r="D27" i="52"/>
  <c r="D12" i="52"/>
  <c r="I33" i="99" l="1"/>
  <c r="K32" i="99"/>
  <c r="J37" i="99"/>
  <c r="J32" i="98"/>
  <c r="K31" i="98"/>
  <c r="J30" i="97"/>
  <c r="K29" i="97"/>
  <c r="J32" i="96"/>
  <c r="K31" i="96"/>
  <c r="J32" i="95"/>
  <c r="K31" i="95"/>
  <c r="J30" i="94"/>
  <c r="K29" i="94"/>
  <c r="J30" i="93"/>
  <c r="K29" i="93"/>
  <c r="K30" i="91"/>
  <c r="J32" i="90"/>
  <c r="K31" i="90"/>
  <c r="J30" i="89"/>
  <c r="K29" i="89"/>
  <c r="J28" i="88"/>
  <c r="K27" i="88"/>
  <c r="J30" i="86"/>
  <c r="K29" i="86"/>
  <c r="J30" i="83"/>
  <c r="K29" i="83"/>
  <c r="K26" i="82"/>
  <c r="J27" i="82"/>
  <c r="J28" i="81"/>
  <c r="K27" i="81"/>
  <c r="J28" i="79"/>
  <c r="K27" i="79"/>
  <c r="K27" i="78"/>
  <c r="J28" i="78"/>
  <c r="J29" i="77"/>
  <c r="K28" i="77"/>
  <c r="J26" i="75"/>
  <c r="K26" i="75" s="1"/>
  <c r="J23" i="72"/>
  <c r="K22" i="72"/>
  <c r="J24" i="71"/>
  <c r="K23" i="71"/>
  <c r="J21" i="70"/>
  <c r="K20" i="70"/>
  <c r="K18" i="69"/>
  <c r="J19" i="69"/>
  <c r="K19" i="68"/>
  <c r="J20" i="68"/>
  <c r="K17" i="67"/>
  <c r="J18" i="67"/>
  <c r="K17" i="65"/>
  <c r="J18" i="65"/>
  <c r="K17" i="64"/>
  <c r="J18" i="64"/>
  <c r="J17" i="60"/>
  <c r="K16" i="60"/>
  <c r="J16" i="58"/>
  <c r="K15" i="58"/>
  <c r="K14" i="56"/>
  <c r="J15" i="56"/>
  <c r="K12" i="55"/>
  <c r="J13" i="55"/>
  <c r="K12" i="54"/>
  <c r="J14" i="54"/>
  <c r="K13" i="54"/>
  <c r="K45" i="54"/>
  <c r="K11" i="54"/>
  <c r="J12" i="53"/>
  <c r="K45" i="53"/>
  <c r="D41" i="52"/>
  <c r="I34" i="99" l="1"/>
  <c r="K33" i="99"/>
  <c r="J38" i="99"/>
  <c r="J33" i="98"/>
  <c r="K32" i="98"/>
  <c r="K30" i="97"/>
  <c r="J31" i="97"/>
  <c r="J33" i="96"/>
  <c r="K32" i="96"/>
  <c r="J33" i="95"/>
  <c r="K32" i="95"/>
  <c r="J31" i="94"/>
  <c r="K30" i="94"/>
  <c r="K30" i="93"/>
  <c r="J31" i="93"/>
  <c r="K31" i="91"/>
  <c r="J33" i="90"/>
  <c r="K32" i="90"/>
  <c r="J31" i="89"/>
  <c r="K30" i="89"/>
  <c r="K28" i="88"/>
  <c r="J29" i="88"/>
  <c r="K30" i="86"/>
  <c r="J31" i="86"/>
  <c r="K30" i="83"/>
  <c r="J31" i="83"/>
  <c r="J28" i="82"/>
  <c r="K27" i="82"/>
  <c r="J29" i="81"/>
  <c r="K28" i="81"/>
  <c r="K28" i="79"/>
  <c r="J29" i="79"/>
  <c r="K28" i="78"/>
  <c r="J29" i="78"/>
  <c r="J30" i="77"/>
  <c r="K29" i="77"/>
  <c r="J27" i="75"/>
  <c r="K27" i="75" s="1"/>
  <c r="J24" i="72"/>
  <c r="K23" i="72"/>
  <c r="K24" i="71"/>
  <c r="J25" i="71"/>
  <c r="K21" i="70"/>
  <c r="J22" i="70"/>
  <c r="K19" i="69"/>
  <c r="J20" i="69"/>
  <c r="K20" i="68"/>
  <c r="J21" i="68"/>
  <c r="K18" i="67"/>
  <c r="J19" i="67"/>
  <c r="J19" i="65"/>
  <c r="K18" i="65"/>
  <c r="J19" i="64"/>
  <c r="K18" i="64"/>
  <c r="K17" i="60"/>
  <c r="J18" i="60"/>
  <c r="K16" i="58"/>
  <c r="J17" i="58"/>
  <c r="K15" i="56"/>
  <c r="J16" i="56"/>
  <c r="J14" i="55"/>
  <c r="K13" i="55"/>
  <c r="J15" i="54"/>
  <c r="K14" i="54"/>
  <c r="K12" i="53"/>
  <c r="J13" i="53"/>
  <c r="I42" i="49"/>
  <c r="I42" i="52"/>
  <c r="H42" i="52"/>
  <c r="D42" i="52"/>
  <c r="E42" i="52"/>
  <c r="D37" i="52"/>
  <c r="K34" i="99" l="1"/>
  <c r="I35" i="99"/>
  <c r="J39" i="99"/>
  <c r="J34" i="98"/>
  <c r="K33" i="98"/>
  <c r="K31" i="97"/>
  <c r="J32" i="97"/>
  <c r="J34" i="96"/>
  <c r="K33" i="96"/>
  <c r="J34" i="95"/>
  <c r="K33" i="95"/>
  <c r="J32" i="94"/>
  <c r="K31" i="94"/>
  <c r="J32" i="93"/>
  <c r="K31" i="93"/>
  <c r="K32" i="91"/>
  <c r="J34" i="90"/>
  <c r="K33" i="90"/>
  <c r="J32" i="89"/>
  <c r="K31" i="89"/>
  <c r="J30" i="88"/>
  <c r="K29" i="88"/>
  <c r="J32" i="86"/>
  <c r="K31" i="86"/>
  <c r="J32" i="83"/>
  <c r="K31" i="83"/>
  <c r="J29" i="82"/>
  <c r="K28" i="82"/>
  <c r="K29" i="81"/>
  <c r="J30" i="81"/>
  <c r="J30" i="79"/>
  <c r="K29" i="79"/>
  <c r="J30" i="78"/>
  <c r="K29" i="78"/>
  <c r="K30" i="77"/>
  <c r="J31" i="77"/>
  <c r="J28" i="75"/>
  <c r="K28" i="75" s="1"/>
  <c r="J25" i="72"/>
  <c r="K24" i="72"/>
  <c r="J26" i="71"/>
  <c r="K25" i="71"/>
  <c r="J23" i="70"/>
  <c r="K22" i="70"/>
  <c r="K20" i="69"/>
  <c r="J21" i="69"/>
  <c r="K21" i="68"/>
  <c r="J22" i="68"/>
  <c r="J20" i="67"/>
  <c r="K19" i="67"/>
  <c r="K19" i="65"/>
  <c r="J20" i="65"/>
  <c r="K19" i="64"/>
  <c r="J20" i="64"/>
  <c r="J19" i="60"/>
  <c r="K18" i="60"/>
  <c r="J18" i="58"/>
  <c r="K17" i="58"/>
  <c r="K16" i="56"/>
  <c r="J17" i="56"/>
  <c r="K14" i="55"/>
  <c r="J15" i="55"/>
  <c r="J16" i="54"/>
  <c r="K15" i="54"/>
  <c r="J14" i="53"/>
  <c r="K13" i="53"/>
  <c r="D32" i="52"/>
  <c r="I36" i="99" l="1"/>
  <c r="K35" i="99"/>
  <c r="J40" i="99"/>
  <c r="K34" i="98"/>
  <c r="J35" i="98"/>
  <c r="J33" i="97"/>
  <c r="K32" i="97"/>
  <c r="K34" i="96"/>
  <c r="J35" i="96"/>
  <c r="K34" i="95"/>
  <c r="J35" i="95"/>
  <c r="J33" i="94"/>
  <c r="K32" i="94"/>
  <c r="K32" i="93"/>
  <c r="J33" i="93"/>
  <c r="K33" i="91"/>
  <c r="K34" i="90"/>
  <c r="J35" i="90"/>
  <c r="K32" i="89"/>
  <c r="J33" i="89"/>
  <c r="J31" i="88"/>
  <c r="K30" i="88"/>
  <c r="J33" i="86"/>
  <c r="K32" i="86"/>
  <c r="J33" i="83"/>
  <c r="K32" i="83"/>
  <c r="J30" i="82"/>
  <c r="K29" i="82"/>
  <c r="J31" i="81"/>
  <c r="K30" i="81"/>
  <c r="K30" i="79"/>
  <c r="J31" i="79"/>
  <c r="K30" i="78"/>
  <c r="J31" i="78"/>
  <c r="J32" i="77"/>
  <c r="K31" i="77"/>
  <c r="J29" i="75"/>
  <c r="K29" i="75" s="1"/>
  <c r="J26" i="72"/>
  <c r="K25" i="72"/>
  <c r="K26" i="71"/>
  <c r="J27" i="71"/>
  <c r="K23" i="70"/>
  <c r="J24" i="70"/>
  <c r="J22" i="69"/>
  <c r="K21" i="69"/>
  <c r="J23" i="68"/>
  <c r="K22" i="68"/>
  <c r="J21" i="67"/>
  <c r="K20" i="67"/>
  <c r="J21" i="65"/>
  <c r="K20" i="65"/>
  <c r="J21" i="64"/>
  <c r="K20" i="64"/>
  <c r="K19" i="60"/>
  <c r="J20" i="60"/>
  <c r="K18" i="58"/>
  <c r="J19" i="58"/>
  <c r="K17" i="56"/>
  <c r="J18" i="56"/>
  <c r="K15" i="55"/>
  <c r="J16" i="55"/>
  <c r="J17" i="54"/>
  <c r="K16" i="54"/>
  <c r="K14" i="53"/>
  <c r="J15" i="53"/>
  <c r="D30" i="52"/>
  <c r="I37" i="99" l="1"/>
  <c r="K36" i="99"/>
  <c r="J41" i="99"/>
  <c r="J36" i="98"/>
  <c r="K35" i="98"/>
  <c r="J34" i="97"/>
  <c r="K33" i="97"/>
  <c r="J36" i="96"/>
  <c r="K35" i="96"/>
  <c r="J36" i="95"/>
  <c r="K35" i="95"/>
  <c r="K33" i="94"/>
  <c r="J34" i="94"/>
  <c r="J34" i="93"/>
  <c r="K33" i="93"/>
  <c r="K34" i="91"/>
  <c r="J36" i="90"/>
  <c r="K35" i="90"/>
  <c r="J34" i="89"/>
  <c r="K33" i="89"/>
  <c r="J32" i="88"/>
  <c r="K31" i="88"/>
  <c r="J34" i="86"/>
  <c r="K33" i="86"/>
  <c r="J34" i="83"/>
  <c r="K33" i="83"/>
  <c r="K30" i="82"/>
  <c r="J31" i="82"/>
  <c r="J32" i="81"/>
  <c r="K31" i="81"/>
  <c r="J32" i="79"/>
  <c r="K31" i="79"/>
  <c r="J32" i="78"/>
  <c r="K31" i="78"/>
  <c r="K32" i="77"/>
  <c r="J33" i="77"/>
  <c r="J30" i="75"/>
  <c r="K30" i="75" s="1"/>
  <c r="J27" i="72"/>
  <c r="K26" i="72"/>
  <c r="K27" i="71"/>
  <c r="J28" i="71"/>
  <c r="J25" i="70"/>
  <c r="K24" i="70"/>
  <c r="K22" i="69"/>
  <c r="J23" i="69"/>
  <c r="K23" i="68"/>
  <c r="J24" i="68"/>
  <c r="J22" i="67"/>
  <c r="K21" i="67"/>
  <c r="K21" i="65"/>
  <c r="J22" i="65"/>
  <c r="K21" i="64"/>
  <c r="J22" i="64"/>
  <c r="J21" i="60"/>
  <c r="K20" i="60"/>
  <c r="J20" i="58"/>
  <c r="K19" i="58"/>
  <c r="K18" i="56"/>
  <c r="J19" i="56"/>
  <c r="K16" i="55"/>
  <c r="J17" i="55"/>
  <c r="J18" i="54"/>
  <c r="K17" i="54"/>
  <c r="K15" i="53"/>
  <c r="J16" i="53"/>
  <c r="D20" i="52"/>
  <c r="K37" i="99" l="1"/>
  <c r="I38" i="99"/>
  <c r="J37" i="98"/>
  <c r="K36" i="98"/>
  <c r="K34" i="97"/>
  <c r="J35" i="97"/>
  <c r="J37" i="96"/>
  <c r="K36" i="96"/>
  <c r="K36" i="95"/>
  <c r="J37" i="95"/>
  <c r="J35" i="94"/>
  <c r="K34" i="94"/>
  <c r="K34" i="93"/>
  <c r="J35" i="93"/>
  <c r="K35" i="91"/>
  <c r="J37" i="90"/>
  <c r="K36" i="90"/>
  <c r="J35" i="89"/>
  <c r="K34" i="89"/>
  <c r="K32" i="88"/>
  <c r="J33" i="88"/>
  <c r="K34" i="86"/>
  <c r="J35" i="86"/>
  <c r="K34" i="83"/>
  <c r="J35" i="83"/>
  <c r="K31" i="82"/>
  <c r="J32" i="82"/>
  <c r="K32" i="81"/>
  <c r="J33" i="81"/>
  <c r="K32" i="79"/>
  <c r="J33" i="79"/>
  <c r="K32" i="78"/>
  <c r="J33" i="78"/>
  <c r="K33" i="77"/>
  <c r="J34" i="77"/>
  <c r="J31" i="75"/>
  <c r="K31" i="75" s="1"/>
  <c r="J28" i="72"/>
  <c r="K27" i="72"/>
  <c r="K28" i="71"/>
  <c r="J29" i="71"/>
  <c r="K25" i="70"/>
  <c r="J26" i="70"/>
  <c r="K23" i="69"/>
  <c r="J24" i="69"/>
  <c r="J25" i="68"/>
  <c r="K24" i="68"/>
  <c r="J23" i="67"/>
  <c r="K22" i="67"/>
  <c r="J23" i="65"/>
  <c r="K22" i="65"/>
  <c r="J23" i="64"/>
  <c r="K22" i="64"/>
  <c r="K21" i="60"/>
  <c r="J22" i="60"/>
  <c r="K20" i="58"/>
  <c r="J21" i="58"/>
  <c r="K19" i="56"/>
  <c r="J20" i="56"/>
  <c r="K17" i="55"/>
  <c r="J18" i="55"/>
  <c r="J19" i="54"/>
  <c r="K18" i="54"/>
  <c r="K16" i="53"/>
  <c r="J17" i="53"/>
  <c r="J49" i="52"/>
  <c r="H48" i="52"/>
  <c r="J48" i="52" s="1"/>
  <c r="K48" i="52" s="1"/>
  <c r="H46" i="52"/>
  <c r="J46" i="52" s="1"/>
  <c r="K46" i="52" s="1"/>
  <c r="H45" i="52"/>
  <c r="J45" i="52" s="1"/>
  <c r="H47" i="52"/>
  <c r="J47" i="52" s="1"/>
  <c r="K47" i="52" s="1"/>
  <c r="K11" i="52"/>
  <c r="J11" i="52"/>
  <c r="J12" i="52" s="1"/>
  <c r="K45" i="49"/>
  <c r="J49" i="49"/>
  <c r="K49" i="49" s="1"/>
  <c r="E28" i="49"/>
  <c r="I39" i="99" l="1"/>
  <c r="K38" i="99"/>
  <c r="K37" i="98"/>
  <c r="J38" i="98"/>
  <c r="J36" i="97"/>
  <c r="K35" i="97"/>
  <c r="J38" i="96"/>
  <c r="K37" i="96"/>
  <c r="J38" i="95"/>
  <c r="K37" i="95"/>
  <c r="J36" i="94"/>
  <c r="K35" i="94"/>
  <c r="J36" i="93"/>
  <c r="K35" i="93"/>
  <c r="K36" i="91"/>
  <c r="J38" i="90"/>
  <c r="K37" i="90"/>
  <c r="J36" i="89"/>
  <c r="K35" i="89"/>
  <c r="J34" i="88"/>
  <c r="K33" i="88"/>
  <c r="J36" i="86"/>
  <c r="K35" i="86"/>
  <c r="J36" i="83"/>
  <c r="K35" i="83"/>
  <c r="J33" i="82"/>
  <c r="K32" i="82"/>
  <c r="K33" i="81"/>
  <c r="J34" i="81"/>
  <c r="J34" i="79"/>
  <c r="K33" i="79"/>
  <c r="J34" i="78"/>
  <c r="K33" i="78"/>
  <c r="K34" i="77"/>
  <c r="J35" i="77"/>
  <c r="J32" i="75"/>
  <c r="K32" i="75" s="1"/>
  <c r="J29" i="72"/>
  <c r="K28" i="72"/>
  <c r="J30" i="71"/>
  <c r="K29" i="71"/>
  <c r="K26" i="70"/>
  <c r="J27" i="70"/>
  <c r="J25" i="69"/>
  <c r="K24" i="69"/>
  <c r="J26" i="68"/>
  <c r="K25" i="68"/>
  <c r="J24" i="67"/>
  <c r="K23" i="67"/>
  <c r="J24" i="65"/>
  <c r="K23" i="65"/>
  <c r="K23" i="64"/>
  <c r="J24" i="64"/>
  <c r="K22" i="60"/>
  <c r="J23" i="60"/>
  <c r="K21" i="58"/>
  <c r="J22" i="58"/>
  <c r="K20" i="56"/>
  <c r="J21" i="56"/>
  <c r="K18" i="55"/>
  <c r="J19" i="55"/>
  <c r="J20" i="54"/>
  <c r="K19" i="54"/>
  <c r="J18" i="53"/>
  <c r="K17" i="53"/>
  <c r="J13" i="52"/>
  <c r="K12" i="52"/>
  <c r="K45" i="52"/>
  <c r="J11" i="49"/>
  <c r="K11" i="49" s="1"/>
  <c r="H45" i="48"/>
  <c r="J13" i="48"/>
  <c r="J11" i="48"/>
  <c r="H42" i="49"/>
  <c r="H46" i="49" s="1"/>
  <c r="E42" i="49"/>
  <c r="D42" i="49"/>
  <c r="H45" i="49" s="1"/>
  <c r="I42" i="48"/>
  <c r="H46" i="48" s="1"/>
  <c r="J46" i="48" s="1"/>
  <c r="K46" i="48" s="1"/>
  <c r="H42" i="48"/>
  <c r="E42" i="48"/>
  <c r="J45" i="48" s="1"/>
  <c r="D42" i="48"/>
  <c r="K11" i="48"/>
  <c r="J41" i="47"/>
  <c r="K41" i="47" s="1"/>
  <c r="I42" i="47"/>
  <c r="H46" i="47" s="1"/>
  <c r="J46" i="47" s="1"/>
  <c r="K46" i="47" s="1"/>
  <c r="H42" i="47"/>
  <c r="E42" i="47"/>
  <c r="H45" i="47" s="1"/>
  <c r="J45" i="47" s="1"/>
  <c r="D42" i="47"/>
  <c r="J11" i="47"/>
  <c r="J12" i="47" s="1"/>
  <c r="D16" i="46"/>
  <c r="E15" i="46"/>
  <c r="E42" i="46" s="1"/>
  <c r="H45" i="46" s="1"/>
  <c r="J45" i="46" s="1"/>
  <c r="D15" i="46"/>
  <c r="D12" i="46"/>
  <c r="J41" i="44"/>
  <c r="I42" i="46"/>
  <c r="H46" i="46" s="1"/>
  <c r="J46" i="46" s="1"/>
  <c r="K46" i="46" s="1"/>
  <c r="H42" i="46"/>
  <c r="J11" i="46"/>
  <c r="K11" i="46" s="1"/>
  <c r="K41" i="44"/>
  <c r="H36" i="44"/>
  <c r="I42" i="44"/>
  <c r="H46" i="44" s="1"/>
  <c r="J46" i="44" s="1"/>
  <c r="K46" i="44" s="1"/>
  <c r="H42" i="44"/>
  <c r="E42" i="44"/>
  <c r="H45" i="44" s="1"/>
  <c r="J45" i="44" s="1"/>
  <c r="D42" i="44"/>
  <c r="J11" i="44"/>
  <c r="K11" i="44" s="1"/>
  <c r="K11" i="38"/>
  <c r="J41" i="33"/>
  <c r="I42" i="38"/>
  <c r="H46" i="38" s="1"/>
  <c r="J46" i="38" s="1"/>
  <c r="K46" i="38" s="1"/>
  <c r="H42" i="38"/>
  <c r="E42" i="38"/>
  <c r="H45" i="38" s="1"/>
  <c r="J45" i="38" s="1"/>
  <c r="D42" i="38"/>
  <c r="J11" i="38"/>
  <c r="J31" i="33"/>
  <c r="J32" i="33" s="1"/>
  <c r="J11" i="33"/>
  <c r="I42" i="33"/>
  <c r="H46" i="33" s="1"/>
  <c r="J46" i="33" s="1"/>
  <c r="K46" i="33" s="1"/>
  <c r="H42" i="33"/>
  <c r="E42" i="33"/>
  <c r="H45" i="33" s="1"/>
  <c r="J45" i="33" s="1"/>
  <c r="D42" i="33"/>
  <c r="J12" i="33"/>
  <c r="I42" i="32"/>
  <c r="H46" i="32" s="1"/>
  <c r="H42" i="32"/>
  <c r="E42" i="32"/>
  <c r="H45" i="32" s="1"/>
  <c r="D42" i="32"/>
  <c r="J11" i="32"/>
  <c r="J12" i="32" s="1"/>
  <c r="J13" i="32" s="1"/>
  <c r="K13" i="32" s="1"/>
  <c r="I40" i="99" l="1"/>
  <c r="K39" i="99"/>
  <c r="K38" i="98"/>
  <c r="J39" i="98"/>
  <c r="J37" i="97"/>
  <c r="K36" i="97"/>
  <c r="K38" i="96"/>
  <c r="K38" i="95"/>
  <c r="J39" i="95"/>
  <c r="J37" i="94"/>
  <c r="K36" i="94"/>
  <c r="K36" i="93"/>
  <c r="J37" i="93"/>
  <c r="K37" i="91"/>
  <c r="K38" i="90"/>
  <c r="J39" i="90"/>
  <c r="K36" i="89"/>
  <c r="J37" i="89"/>
  <c r="J35" i="88"/>
  <c r="K34" i="88"/>
  <c r="K36" i="86"/>
  <c r="J37" i="86"/>
  <c r="J37" i="83"/>
  <c r="K36" i="83"/>
  <c r="J34" i="82"/>
  <c r="K33" i="82"/>
  <c r="J35" i="81"/>
  <c r="K34" i="81"/>
  <c r="K34" i="79"/>
  <c r="J35" i="79"/>
  <c r="J35" i="78"/>
  <c r="K34" i="78"/>
  <c r="J36" i="77"/>
  <c r="K35" i="77"/>
  <c r="J33" i="75"/>
  <c r="K33" i="75" s="1"/>
  <c r="J30" i="72"/>
  <c r="K29" i="72"/>
  <c r="K30" i="71"/>
  <c r="J31" i="71"/>
  <c r="J28" i="70"/>
  <c r="K27" i="70"/>
  <c r="K25" i="69"/>
  <c r="J26" i="69"/>
  <c r="J27" i="68"/>
  <c r="K26" i="68"/>
  <c r="J25" i="67"/>
  <c r="K24" i="67"/>
  <c r="J25" i="65"/>
  <c r="K24" i="65"/>
  <c r="J25" i="64"/>
  <c r="K24" i="64"/>
  <c r="J24" i="60"/>
  <c r="K23" i="60"/>
  <c r="J23" i="58"/>
  <c r="K22" i="58"/>
  <c r="K21" i="56"/>
  <c r="J22" i="56"/>
  <c r="J23" i="56" s="1"/>
  <c r="K19" i="55"/>
  <c r="J20" i="55"/>
  <c r="J21" i="54"/>
  <c r="K20" i="54"/>
  <c r="K18" i="53"/>
  <c r="J19" i="53"/>
  <c r="K13" i="52"/>
  <c r="J14" i="52"/>
  <c r="J12" i="49"/>
  <c r="J13" i="49" s="1"/>
  <c r="J14" i="49" s="1"/>
  <c r="J15" i="49" s="1"/>
  <c r="J16" i="49" s="1"/>
  <c r="J17" i="49" s="1"/>
  <c r="J18" i="49" s="1"/>
  <c r="J19" i="49" s="1"/>
  <c r="J20" i="49" s="1"/>
  <c r="J21" i="49" s="1"/>
  <c r="J22" i="49" s="1"/>
  <c r="J23" i="49" s="1"/>
  <c r="J24" i="49" s="1"/>
  <c r="J25" i="49" s="1"/>
  <c r="J26" i="49" s="1"/>
  <c r="J27" i="49" s="1"/>
  <c r="J28" i="49" s="1"/>
  <c r="J29" i="49" s="1"/>
  <c r="J30" i="49" s="1"/>
  <c r="J31" i="49" s="1"/>
  <c r="J32" i="49" s="1"/>
  <c r="J33" i="49" s="1"/>
  <c r="J34" i="49" s="1"/>
  <c r="J35" i="49" s="1"/>
  <c r="J36" i="49" s="1"/>
  <c r="J37" i="49" s="1"/>
  <c r="J38" i="49" s="1"/>
  <c r="J39" i="49" s="1"/>
  <c r="J40" i="49" s="1"/>
  <c r="J45" i="49"/>
  <c r="H47" i="49"/>
  <c r="J47" i="49" s="1"/>
  <c r="K47" i="49" s="1"/>
  <c r="J46" i="49"/>
  <c r="K46" i="49" s="1"/>
  <c r="H48" i="49"/>
  <c r="J48" i="49" s="1"/>
  <c r="K48" i="49" s="1"/>
  <c r="K45" i="48"/>
  <c r="J12" i="48"/>
  <c r="K45" i="47"/>
  <c r="J13" i="47"/>
  <c r="K12" i="47"/>
  <c r="K11" i="47"/>
  <c r="D42" i="46"/>
  <c r="J12" i="46"/>
  <c r="K45" i="46"/>
  <c r="J12" i="44"/>
  <c r="J13" i="44" s="1"/>
  <c r="K13" i="44" s="1"/>
  <c r="K45" i="44"/>
  <c r="K12" i="44"/>
  <c r="K45" i="38"/>
  <c r="J12" i="38"/>
  <c r="K31" i="33"/>
  <c r="J33" i="33"/>
  <c r="K32" i="33"/>
  <c r="J13" i="33"/>
  <c r="K12" i="33"/>
  <c r="K45" i="33"/>
  <c r="K11" i="33"/>
  <c r="K11" i="32"/>
  <c r="K12" i="32"/>
  <c r="J46" i="32"/>
  <c r="K46" i="32" s="1"/>
  <c r="J45" i="32"/>
  <c r="K45" i="32" s="1"/>
  <c r="J14" i="32"/>
  <c r="K14" i="32" s="1"/>
  <c r="I41" i="99" l="1"/>
  <c r="K40" i="99"/>
  <c r="J40" i="98"/>
  <c r="K39" i="98"/>
  <c r="J38" i="97"/>
  <c r="J39" i="97" s="1"/>
  <c r="K37" i="97"/>
  <c r="J40" i="95"/>
  <c r="K39" i="95"/>
  <c r="K37" i="94"/>
  <c r="J38" i="94"/>
  <c r="J38" i="93"/>
  <c r="K37" i="93"/>
  <c r="K38" i="91"/>
  <c r="J40" i="90"/>
  <c r="K39" i="90"/>
  <c r="J38" i="89"/>
  <c r="K37" i="89"/>
  <c r="J36" i="88"/>
  <c r="K35" i="88"/>
  <c r="J38" i="86"/>
  <c r="K37" i="86"/>
  <c r="J38" i="83"/>
  <c r="K37" i="83"/>
  <c r="K34" i="82"/>
  <c r="J35" i="82"/>
  <c r="J36" i="81"/>
  <c r="K35" i="81"/>
  <c r="J36" i="79"/>
  <c r="K35" i="79"/>
  <c r="K35" i="78"/>
  <c r="J36" i="78"/>
  <c r="K36" i="77"/>
  <c r="J37" i="77"/>
  <c r="J34" i="75"/>
  <c r="K34" i="75" s="1"/>
  <c r="J31" i="72"/>
  <c r="K30" i="72"/>
  <c r="J32" i="71"/>
  <c r="K31" i="71"/>
  <c r="K28" i="70"/>
  <c r="J29" i="70"/>
  <c r="J27" i="69"/>
  <c r="K26" i="69"/>
  <c r="K27" i="68"/>
  <c r="J28" i="68"/>
  <c r="J26" i="67"/>
  <c r="K25" i="67"/>
  <c r="J26" i="65"/>
  <c r="K25" i="65"/>
  <c r="K25" i="64"/>
  <c r="J26" i="64"/>
  <c r="K24" i="60"/>
  <c r="J25" i="60"/>
  <c r="K23" i="58"/>
  <c r="J24" i="58"/>
  <c r="K22" i="56"/>
  <c r="J21" i="55"/>
  <c r="K20" i="55"/>
  <c r="J22" i="54"/>
  <c r="K21" i="54"/>
  <c r="J20" i="53"/>
  <c r="K19" i="53"/>
  <c r="J15" i="52"/>
  <c r="K14" i="52"/>
  <c r="K12" i="49"/>
  <c r="K12" i="48"/>
  <c r="J14" i="47"/>
  <c r="K13" i="47"/>
  <c r="J13" i="46"/>
  <c r="K12" i="46"/>
  <c r="J14" i="44"/>
  <c r="K14" i="44" s="1"/>
  <c r="J15" i="44"/>
  <c r="J13" i="38"/>
  <c r="K12" i="38"/>
  <c r="K33" i="33"/>
  <c r="J34" i="33"/>
  <c r="J14" i="33"/>
  <c r="K13" i="33"/>
  <c r="J15" i="32"/>
  <c r="K15" i="32" s="1"/>
  <c r="I42" i="99" l="1"/>
  <c r="K41" i="99"/>
  <c r="K40" i="98"/>
  <c r="J40" i="97"/>
  <c r="K39" i="97"/>
  <c r="K38" i="97"/>
  <c r="K40" i="95"/>
  <c r="J41" i="95"/>
  <c r="J39" i="94"/>
  <c r="K38" i="94"/>
  <c r="K38" i="93"/>
  <c r="J39" i="93"/>
  <c r="K39" i="91"/>
  <c r="K40" i="90"/>
  <c r="J39" i="89"/>
  <c r="K38" i="89"/>
  <c r="K36" i="88"/>
  <c r="J37" i="88"/>
  <c r="K38" i="86"/>
  <c r="J39" i="86"/>
  <c r="K38" i="83"/>
  <c r="J39" i="83"/>
  <c r="J36" i="82"/>
  <c r="K35" i="82"/>
  <c r="J37" i="81"/>
  <c r="K36" i="81"/>
  <c r="K36" i="79"/>
  <c r="J37" i="79"/>
  <c r="J37" i="78"/>
  <c r="K36" i="78"/>
  <c r="K37" i="77"/>
  <c r="J38" i="77"/>
  <c r="J35" i="75"/>
  <c r="K35" i="75" s="1"/>
  <c r="J32" i="72"/>
  <c r="K31" i="72"/>
  <c r="J33" i="71"/>
  <c r="K32" i="71"/>
  <c r="K29" i="70"/>
  <c r="J30" i="70"/>
  <c r="J28" i="69"/>
  <c r="K27" i="69"/>
  <c r="J29" i="68"/>
  <c r="K28" i="68"/>
  <c r="J27" i="67"/>
  <c r="K26" i="67"/>
  <c r="J27" i="65"/>
  <c r="K26" i="65"/>
  <c r="J27" i="64"/>
  <c r="K26" i="64"/>
  <c r="J26" i="60"/>
  <c r="K25" i="60"/>
  <c r="J25" i="58"/>
  <c r="K24" i="58"/>
  <c r="K23" i="56"/>
  <c r="J24" i="56"/>
  <c r="J22" i="55"/>
  <c r="K21" i="55"/>
  <c r="J23" i="54"/>
  <c r="K22" i="54"/>
  <c r="J21" i="53"/>
  <c r="K20" i="53"/>
  <c r="J16" i="52"/>
  <c r="K15" i="52"/>
  <c r="K13" i="49"/>
  <c r="K13" i="48"/>
  <c r="J14" i="48"/>
  <c r="J15" i="47"/>
  <c r="K14" i="47"/>
  <c r="J14" i="46"/>
  <c r="K13" i="46"/>
  <c r="K15" i="44"/>
  <c r="J16" i="44"/>
  <c r="K13" i="38"/>
  <c r="J14" i="38"/>
  <c r="J35" i="33"/>
  <c r="K34" i="33"/>
  <c r="K14" i="33"/>
  <c r="J15" i="33"/>
  <c r="J16" i="32"/>
  <c r="K16" i="32" s="1"/>
  <c r="K42" i="99" l="1"/>
  <c r="J53" i="99" s="1"/>
  <c r="J42" i="99"/>
  <c r="K41" i="98"/>
  <c r="K42" i="98" s="1"/>
  <c r="J55" i="98" s="1"/>
  <c r="J42" i="98"/>
  <c r="K40" i="97"/>
  <c r="J41" i="97"/>
  <c r="K42" i="96"/>
  <c r="J55" i="96" s="1"/>
  <c r="J42" i="96"/>
  <c r="K41" i="95"/>
  <c r="K42" i="95" s="1"/>
  <c r="J55" i="95" s="1"/>
  <c r="J42" i="95"/>
  <c r="J40" i="94"/>
  <c r="K39" i="94"/>
  <c r="J40" i="93"/>
  <c r="K39" i="93"/>
  <c r="K40" i="91"/>
  <c r="K42" i="90"/>
  <c r="J55" i="90" s="1"/>
  <c r="J42" i="90"/>
  <c r="J40" i="89"/>
  <c r="J41" i="89" s="1"/>
  <c r="K41" i="89" s="1"/>
  <c r="K39" i="89"/>
  <c r="J38" i="88"/>
  <c r="K37" i="88"/>
  <c r="J40" i="86"/>
  <c r="K39" i="86"/>
  <c r="J40" i="83"/>
  <c r="K39" i="83"/>
  <c r="J37" i="82"/>
  <c r="K36" i="82"/>
  <c r="K37" i="81"/>
  <c r="J38" i="81"/>
  <c r="J38" i="79"/>
  <c r="K37" i="79"/>
  <c r="K37" i="78"/>
  <c r="J38" i="78"/>
  <c r="J39" i="78" s="1"/>
  <c r="K38" i="77"/>
  <c r="J36" i="75"/>
  <c r="K36" i="75" s="1"/>
  <c r="K32" i="72"/>
  <c r="J33" i="72"/>
  <c r="K33" i="71"/>
  <c r="J34" i="71"/>
  <c r="J31" i="70"/>
  <c r="K30" i="70"/>
  <c r="J29" i="69"/>
  <c r="K28" i="69"/>
  <c r="J30" i="68"/>
  <c r="K29" i="68"/>
  <c r="J28" i="67"/>
  <c r="K27" i="67"/>
  <c r="J28" i="65"/>
  <c r="K27" i="65"/>
  <c r="K27" i="64"/>
  <c r="J28" i="64"/>
  <c r="K26" i="60"/>
  <c r="J27" i="60"/>
  <c r="K25" i="58"/>
  <c r="J26" i="58"/>
  <c r="K24" i="56"/>
  <c r="J25" i="56"/>
  <c r="K22" i="55"/>
  <c r="J23" i="55"/>
  <c r="J24" i="54"/>
  <c r="K23" i="54"/>
  <c r="J22" i="53"/>
  <c r="K21" i="53"/>
  <c r="J17" i="52"/>
  <c r="K16" i="52"/>
  <c r="K14" i="49"/>
  <c r="J15" i="48"/>
  <c r="K14" i="48"/>
  <c r="J16" i="47"/>
  <c r="K15" i="47"/>
  <c r="K14" i="46"/>
  <c r="J15" i="46"/>
  <c r="J17" i="44"/>
  <c r="K16" i="44"/>
  <c r="J15" i="38"/>
  <c r="K14" i="38"/>
  <c r="K35" i="33"/>
  <c r="J36" i="33"/>
  <c r="J16" i="33"/>
  <c r="K15" i="33"/>
  <c r="J17" i="32"/>
  <c r="K17" i="32" s="1"/>
  <c r="K53" i="99" l="1"/>
  <c r="K54" i="99" s="1"/>
  <c r="J54" i="99"/>
  <c r="K55" i="98"/>
  <c r="K56" i="98" s="1"/>
  <c r="J56" i="98"/>
  <c r="K41" i="97"/>
  <c r="K42" i="97" s="1"/>
  <c r="J55" i="97" s="1"/>
  <c r="J42" i="97"/>
  <c r="K55" i="96"/>
  <c r="K56" i="96" s="1"/>
  <c r="J56" i="96"/>
  <c r="K55" i="95"/>
  <c r="K56" i="95" s="1"/>
  <c r="J56" i="95"/>
  <c r="J42" i="94"/>
  <c r="J41" i="94"/>
  <c r="K41" i="94" s="1"/>
  <c r="K40" i="94"/>
  <c r="K42" i="94" s="1"/>
  <c r="K40" i="93"/>
  <c r="J41" i="93"/>
  <c r="K41" i="91"/>
  <c r="K42" i="91" s="1"/>
  <c r="J56" i="91" s="1"/>
  <c r="J42" i="91"/>
  <c r="K55" i="90"/>
  <c r="K56" i="90" s="1"/>
  <c r="J56" i="90"/>
  <c r="K40" i="89"/>
  <c r="K42" i="89" s="1"/>
  <c r="J55" i="89" s="1"/>
  <c r="J42" i="89"/>
  <c r="K38" i="88"/>
  <c r="J39" i="88"/>
  <c r="J41" i="86"/>
  <c r="K40" i="86"/>
  <c r="J41" i="83"/>
  <c r="K40" i="83"/>
  <c r="J38" i="82"/>
  <c r="K37" i="82"/>
  <c r="J39" i="81"/>
  <c r="K38" i="81"/>
  <c r="K38" i="79"/>
  <c r="J39" i="79"/>
  <c r="K39" i="78"/>
  <c r="J40" i="78"/>
  <c r="K38" i="78"/>
  <c r="J37" i="75"/>
  <c r="K37" i="75" s="1"/>
  <c r="J34" i="72"/>
  <c r="K33" i="72"/>
  <c r="J35" i="71"/>
  <c r="K34" i="71"/>
  <c r="K31" i="70"/>
  <c r="J32" i="70"/>
  <c r="K29" i="69"/>
  <c r="J30" i="69"/>
  <c r="J31" i="68"/>
  <c r="K30" i="68"/>
  <c r="J29" i="67"/>
  <c r="K28" i="67"/>
  <c r="J29" i="65"/>
  <c r="K28" i="65"/>
  <c r="J29" i="64"/>
  <c r="K28" i="64"/>
  <c r="J28" i="60"/>
  <c r="K27" i="60"/>
  <c r="J27" i="58"/>
  <c r="K26" i="58"/>
  <c r="K25" i="56"/>
  <c r="J26" i="56"/>
  <c r="J24" i="55"/>
  <c r="K23" i="55"/>
  <c r="J25" i="54"/>
  <c r="K24" i="54"/>
  <c r="K22" i="53"/>
  <c r="J23" i="53"/>
  <c r="K17" i="52"/>
  <c r="J18" i="52"/>
  <c r="K15" i="49"/>
  <c r="K15" i="48"/>
  <c r="J16" i="48"/>
  <c r="K16" i="47"/>
  <c r="J17" i="47"/>
  <c r="J16" i="46"/>
  <c r="K15" i="46"/>
  <c r="K17" i="44"/>
  <c r="J18" i="44"/>
  <c r="K15" i="38"/>
  <c r="J16" i="38"/>
  <c r="J37" i="33"/>
  <c r="K36" i="33"/>
  <c r="K16" i="33"/>
  <c r="J17" i="33"/>
  <c r="J18" i="32"/>
  <c r="K18" i="32" s="1"/>
  <c r="K55" i="97" l="1"/>
  <c r="K56" i="97" s="1"/>
  <c r="J56" i="97"/>
  <c r="J55" i="94"/>
  <c r="K41" i="93"/>
  <c r="K42" i="93" s="1"/>
  <c r="J55" i="93" s="1"/>
  <c r="J42" i="93"/>
  <c r="K56" i="91"/>
  <c r="K57" i="91" s="1"/>
  <c r="K55" i="89"/>
  <c r="K56" i="89" s="1"/>
  <c r="J56" i="89"/>
  <c r="J40" i="88"/>
  <c r="K39" i="88"/>
  <c r="K41" i="86"/>
  <c r="K42" i="86" s="1"/>
  <c r="J55" i="86" s="1"/>
  <c r="J42" i="86"/>
  <c r="K41" i="83"/>
  <c r="K42" i="83" s="1"/>
  <c r="J55" i="83" s="1"/>
  <c r="J42" i="83"/>
  <c r="K38" i="82"/>
  <c r="J39" i="82"/>
  <c r="J40" i="81"/>
  <c r="J41" i="81" s="1"/>
  <c r="K41" i="81" s="1"/>
  <c r="K39" i="81"/>
  <c r="J40" i="79"/>
  <c r="K39" i="79"/>
  <c r="J41" i="78"/>
  <c r="K40" i="78"/>
  <c r="J38" i="75"/>
  <c r="K38" i="75" s="1"/>
  <c r="K34" i="72"/>
  <c r="J35" i="72"/>
  <c r="K35" i="71"/>
  <c r="J36" i="71"/>
  <c r="J33" i="70"/>
  <c r="K32" i="70"/>
  <c r="K30" i="69"/>
  <c r="J31" i="69"/>
  <c r="J32" i="68"/>
  <c r="K31" i="68"/>
  <c r="J30" i="67"/>
  <c r="K29" i="67"/>
  <c r="J30" i="65"/>
  <c r="K29" i="65"/>
  <c r="K29" i="64"/>
  <c r="J30" i="64"/>
  <c r="K28" i="60"/>
  <c r="J29" i="60"/>
  <c r="K27" i="58"/>
  <c r="J28" i="58"/>
  <c r="K26" i="56"/>
  <c r="J27" i="56"/>
  <c r="J25" i="55"/>
  <c r="K24" i="55"/>
  <c r="J26" i="54"/>
  <c r="K25" i="54"/>
  <c r="J24" i="53"/>
  <c r="K23" i="53"/>
  <c r="J19" i="52"/>
  <c r="K18" i="52"/>
  <c r="K16" i="49"/>
  <c r="J17" i="48"/>
  <c r="K16" i="48"/>
  <c r="J18" i="47"/>
  <c r="K17" i="47"/>
  <c r="K16" i="46"/>
  <c r="J17" i="46"/>
  <c r="K18" i="44"/>
  <c r="J19" i="44"/>
  <c r="J17" i="38"/>
  <c r="K16" i="38"/>
  <c r="K37" i="33"/>
  <c r="J38" i="33"/>
  <c r="J18" i="33"/>
  <c r="K17" i="33"/>
  <c r="J19" i="32"/>
  <c r="K19" i="32" s="1"/>
  <c r="K55" i="94" l="1"/>
  <c r="K56" i="94" s="1"/>
  <c r="J56" i="94"/>
  <c r="K55" i="93"/>
  <c r="K56" i="93" s="1"/>
  <c r="J56" i="93"/>
  <c r="K40" i="88"/>
  <c r="K55" i="86"/>
  <c r="K56" i="86" s="1"/>
  <c r="J56" i="86"/>
  <c r="K55" i="83"/>
  <c r="K56" i="83" s="1"/>
  <c r="J56" i="83"/>
  <c r="K39" i="82"/>
  <c r="J40" i="82"/>
  <c r="K40" i="81"/>
  <c r="K42" i="81" s="1"/>
  <c r="J55" i="81" s="1"/>
  <c r="J42" i="81"/>
  <c r="K40" i="79"/>
  <c r="K41" i="78"/>
  <c r="K42" i="78" s="1"/>
  <c r="J55" i="78" s="1"/>
  <c r="J42" i="78"/>
  <c r="K42" i="77"/>
  <c r="J55" i="77" s="1"/>
  <c r="J42" i="77"/>
  <c r="J39" i="75"/>
  <c r="K39" i="75" s="1"/>
  <c r="J36" i="72"/>
  <c r="K35" i="72"/>
  <c r="J37" i="71"/>
  <c r="K36" i="71"/>
  <c r="K33" i="70"/>
  <c r="J34" i="70"/>
  <c r="K31" i="69"/>
  <c r="J32" i="69"/>
  <c r="K32" i="68"/>
  <c r="J33" i="68"/>
  <c r="J31" i="67"/>
  <c r="K30" i="67"/>
  <c r="J31" i="65"/>
  <c r="K30" i="65"/>
  <c r="J31" i="64"/>
  <c r="K30" i="64"/>
  <c r="J30" i="60"/>
  <c r="K29" i="60"/>
  <c r="J29" i="58"/>
  <c r="K28" i="58"/>
  <c r="K27" i="56"/>
  <c r="J28" i="56"/>
  <c r="J26" i="55"/>
  <c r="K25" i="55"/>
  <c r="J27" i="54"/>
  <c r="K26" i="54"/>
  <c r="K24" i="53"/>
  <c r="J25" i="53"/>
  <c r="K19" i="52"/>
  <c r="J20" i="52"/>
  <c r="K17" i="49"/>
  <c r="K17" i="48"/>
  <c r="J18" i="48"/>
  <c r="K18" i="47"/>
  <c r="J19" i="47"/>
  <c r="K17" i="46"/>
  <c r="J18" i="46"/>
  <c r="K19" i="44"/>
  <c r="J20" i="44"/>
  <c r="J18" i="38"/>
  <c r="K17" i="38"/>
  <c r="J39" i="33"/>
  <c r="K38" i="33"/>
  <c r="J19" i="33"/>
  <c r="K18" i="33"/>
  <c r="J20" i="32"/>
  <c r="K20" i="32" s="1"/>
  <c r="K42" i="88" l="1"/>
  <c r="J55" i="88" s="1"/>
  <c r="J56" i="88" s="1"/>
  <c r="J42" i="88"/>
  <c r="J41" i="82"/>
  <c r="K40" i="82"/>
  <c r="K55" i="81"/>
  <c r="K56" i="81" s="1"/>
  <c r="J56" i="81"/>
  <c r="K42" i="79"/>
  <c r="J55" i="79" s="1"/>
  <c r="J42" i="79"/>
  <c r="J56" i="78"/>
  <c r="K55" i="78"/>
  <c r="K56" i="78" s="1"/>
  <c r="K55" i="77"/>
  <c r="K56" i="77" s="1"/>
  <c r="J56" i="77"/>
  <c r="J40" i="75"/>
  <c r="K40" i="75" s="1"/>
  <c r="K36" i="72"/>
  <c r="J37" i="72"/>
  <c r="K37" i="71"/>
  <c r="J38" i="71"/>
  <c r="J35" i="70"/>
  <c r="K34" i="70"/>
  <c r="J33" i="69"/>
  <c r="K32" i="69"/>
  <c r="J34" i="68"/>
  <c r="K33" i="68"/>
  <c r="J32" i="67"/>
  <c r="K31" i="67"/>
  <c r="J32" i="65"/>
  <c r="K31" i="65"/>
  <c r="J32" i="64"/>
  <c r="K31" i="64"/>
  <c r="K30" i="60"/>
  <c r="J31" i="60"/>
  <c r="K29" i="58"/>
  <c r="J30" i="58"/>
  <c r="K28" i="56"/>
  <c r="J29" i="56"/>
  <c r="J27" i="55"/>
  <c r="K26" i="55"/>
  <c r="K27" i="54"/>
  <c r="J28" i="54"/>
  <c r="K25" i="53"/>
  <c r="J26" i="53"/>
  <c r="J21" i="52"/>
  <c r="K20" i="52"/>
  <c r="K18" i="49"/>
  <c r="K18" i="48"/>
  <c r="J19" i="48"/>
  <c r="J20" i="47"/>
  <c r="K19" i="47"/>
  <c r="K18" i="46"/>
  <c r="J19" i="46"/>
  <c r="J21" i="44"/>
  <c r="K20" i="44"/>
  <c r="J19" i="38"/>
  <c r="K18" i="38"/>
  <c r="K39" i="33"/>
  <c r="J40" i="33"/>
  <c r="K40" i="33" s="1"/>
  <c r="J20" i="33"/>
  <c r="K19" i="33"/>
  <c r="J21" i="32"/>
  <c r="K21" i="32" s="1"/>
  <c r="K55" i="88" l="1"/>
  <c r="K56" i="88" s="1"/>
  <c r="K41" i="82"/>
  <c r="K42" i="82" s="1"/>
  <c r="J55" i="82" s="1"/>
  <c r="J42" i="82"/>
  <c r="K55" i="79"/>
  <c r="K56" i="79" s="1"/>
  <c r="J56" i="79"/>
  <c r="J41" i="75"/>
  <c r="K41" i="75" s="1"/>
  <c r="J38" i="72"/>
  <c r="K37" i="72"/>
  <c r="J39" i="71"/>
  <c r="K38" i="71"/>
  <c r="J36" i="70"/>
  <c r="K35" i="70"/>
  <c r="K33" i="69"/>
  <c r="J34" i="69"/>
  <c r="K34" i="68"/>
  <c r="J35" i="68"/>
  <c r="J33" i="67"/>
  <c r="K32" i="67"/>
  <c r="K32" i="65"/>
  <c r="J33" i="65"/>
  <c r="K32" i="64"/>
  <c r="J33" i="64"/>
  <c r="J32" i="60"/>
  <c r="K31" i="60"/>
  <c r="J31" i="58"/>
  <c r="K30" i="58"/>
  <c r="K29" i="56"/>
  <c r="J30" i="56"/>
  <c r="J28" i="55"/>
  <c r="K27" i="55"/>
  <c r="K28" i="54"/>
  <c r="J29" i="54"/>
  <c r="J27" i="53"/>
  <c r="K26" i="53"/>
  <c r="K21" i="52"/>
  <c r="J22" i="52"/>
  <c r="K19" i="49"/>
  <c r="K19" i="48"/>
  <c r="J20" i="48"/>
  <c r="K20" i="47"/>
  <c r="J21" i="47"/>
  <c r="J20" i="46"/>
  <c r="K19" i="46"/>
  <c r="K21" i="44"/>
  <c r="J22" i="44"/>
  <c r="K19" i="38"/>
  <c r="J20" i="38"/>
  <c r="K20" i="33"/>
  <c r="J21" i="33"/>
  <c r="J22" i="32"/>
  <c r="K22" i="32" s="1"/>
  <c r="K55" i="82" l="1"/>
  <c r="K56" i="82" s="1"/>
  <c r="J56" i="82"/>
  <c r="K42" i="75"/>
  <c r="J55" i="75" s="1"/>
  <c r="J42" i="75"/>
  <c r="J39" i="72"/>
  <c r="K38" i="72"/>
  <c r="J40" i="71"/>
  <c r="K39" i="71"/>
  <c r="J37" i="70"/>
  <c r="K36" i="70"/>
  <c r="J35" i="69"/>
  <c r="K34" i="69"/>
  <c r="J36" i="68"/>
  <c r="K35" i="68"/>
  <c r="J34" i="67"/>
  <c r="K33" i="67"/>
  <c r="J34" i="65"/>
  <c r="K33" i="65"/>
  <c r="J34" i="64"/>
  <c r="K33" i="64"/>
  <c r="K32" i="60"/>
  <c r="J33" i="60"/>
  <c r="K31" i="58"/>
  <c r="J32" i="58"/>
  <c r="K30" i="56"/>
  <c r="J31" i="56"/>
  <c r="K28" i="55"/>
  <c r="J29" i="55"/>
  <c r="K29" i="54"/>
  <c r="J30" i="54"/>
  <c r="K27" i="53"/>
  <c r="J28" i="53"/>
  <c r="J23" i="52"/>
  <c r="K22" i="52"/>
  <c r="K20" i="49"/>
  <c r="J21" i="48"/>
  <c r="K20" i="48"/>
  <c r="J22" i="47"/>
  <c r="K21" i="47"/>
  <c r="K20" i="46"/>
  <c r="J21" i="46"/>
  <c r="K22" i="44"/>
  <c r="J23" i="44"/>
  <c r="J21" i="38"/>
  <c r="K20" i="38"/>
  <c r="J22" i="33"/>
  <c r="K21" i="33"/>
  <c r="J23" i="32"/>
  <c r="K23" i="32" s="1"/>
  <c r="K55" i="75" l="1"/>
  <c r="K56" i="75" s="1"/>
  <c r="J56" i="75"/>
  <c r="J40" i="72"/>
  <c r="J41" i="72" s="1"/>
  <c r="K41" i="72" s="1"/>
  <c r="K39" i="72"/>
  <c r="K40" i="71"/>
  <c r="J38" i="70"/>
  <c r="K37" i="70"/>
  <c r="J36" i="69"/>
  <c r="K35" i="69"/>
  <c r="J37" i="68"/>
  <c r="K36" i="68"/>
  <c r="K34" i="67"/>
  <c r="J35" i="67"/>
  <c r="K34" i="65"/>
  <c r="J35" i="65"/>
  <c r="K34" i="64"/>
  <c r="J35" i="64"/>
  <c r="J34" i="60"/>
  <c r="K33" i="60"/>
  <c r="J33" i="58"/>
  <c r="K32" i="58"/>
  <c r="K31" i="56"/>
  <c r="J32" i="56"/>
  <c r="J30" i="55"/>
  <c r="K29" i="55"/>
  <c r="K30" i="54"/>
  <c r="J31" i="54"/>
  <c r="J29" i="53"/>
  <c r="J30" i="53" s="1"/>
  <c r="K28" i="53"/>
  <c r="J24" i="52"/>
  <c r="K23" i="52"/>
  <c r="K21" i="49"/>
  <c r="K21" i="48"/>
  <c r="J22" i="48"/>
  <c r="K22" i="47"/>
  <c r="J23" i="47"/>
  <c r="J22" i="46"/>
  <c r="K21" i="46"/>
  <c r="K23" i="44"/>
  <c r="J24" i="44"/>
  <c r="K21" i="38"/>
  <c r="J22" i="38"/>
  <c r="K22" i="33"/>
  <c r="J23" i="33"/>
  <c r="J24" i="32"/>
  <c r="K24" i="32" s="1"/>
  <c r="K40" i="72" l="1"/>
  <c r="K42" i="72" s="1"/>
  <c r="J54" i="72" s="1"/>
  <c r="J42" i="72"/>
  <c r="K42" i="71"/>
  <c r="J54" i="71" s="1"/>
  <c r="J42" i="71"/>
  <c r="J39" i="70"/>
  <c r="K38" i="70"/>
  <c r="J37" i="69"/>
  <c r="K36" i="69"/>
  <c r="J38" i="68"/>
  <c r="K37" i="68"/>
  <c r="K35" i="67"/>
  <c r="J36" i="67"/>
  <c r="J36" i="65"/>
  <c r="K35" i="65"/>
  <c r="J36" i="64"/>
  <c r="K35" i="64"/>
  <c r="K34" i="60"/>
  <c r="J35" i="60"/>
  <c r="K33" i="58"/>
  <c r="J34" i="58"/>
  <c r="K32" i="56"/>
  <c r="J33" i="56"/>
  <c r="J31" i="55"/>
  <c r="K30" i="55"/>
  <c r="K31" i="54"/>
  <c r="J32" i="54"/>
  <c r="K29" i="53"/>
  <c r="J25" i="52"/>
  <c r="K24" i="52"/>
  <c r="K22" i="49"/>
  <c r="J23" i="48"/>
  <c r="K22" i="48"/>
  <c r="J24" i="47"/>
  <c r="K23" i="47"/>
  <c r="K22" i="46"/>
  <c r="J23" i="46"/>
  <c r="J25" i="44"/>
  <c r="K24" i="44"/>
  <c r="J23" i="38"/>
  <c r="K22" i="38"/>
  <c r="J24" i="33"/>
  <c r="K23" i="33"/>
  <c r="J25" i="32"/>
  <c r="K25" i="32" s="1"/>
  <c r="K54" i="72" l="1"/>
  <c r="K55" i="72" s="1"/>
  <c r="J55" i="72"/>
  <c r="K54" i="71"/>
  <c r="K55" i="71" s="1"/>
  <c r="J55" i="71"/>
  <c r="J40" i="70"/>
  <c r="K39" i="70"/>
  <c r="K37" i="69"/>
  <c r="J38" i="69"/>
  <c r="J39" i="68"/>
  <c r="K38" i="68"/>
  <c r="K36" i="67"/>
  <c r="J37" i="67"/>
  <c r="K36" i="65"/>
  <c r="J37" i="65"/>
  <c r="K36" i="64"/>
  <c r="J37" i="64"/>
  <c r="K35" i="60"/>
  <c r="J36" i="60"/>
  <c r="J35" i="58"/>
  <c r="K34" i="58"/>
  <c r="K33" i="56"/>
  <c r="J34" i="56"/>
  <c r="K31" i="55"/>
  <c r="J32" i="55"/>
  <c r="K32" i="54"/>
  <c r="J33" i="54"/>
  <c r="J31" i="53"/>
  <c r="K30" i="53"/>
  <c r="K25" i="52"/>
  <c r="J26" i="52"/>
  <c r="K23" i="49"/>
  <c r="K23" i="48"/>
  <c r="J24" i="48"/>
  <c r="K24" i="47"/>
  <c r="J25" i="47"/>
  <c r="J24" i="46"/>
  <c r="K23" i="46"/>
  <c r="K25" i="44"/>
  <c r="J26" i="44"/>
  <c r="J24" i="38"/>
  <c r="K23" i="38"/>
  <c r="K24" i="33"/>
  <c r="J25" i="33"/>
  <c r="J26" i="32"/>
  <c r="K26" i="32" s="1"/>
  <c r="K40" i="70" l="1"/>
  <c r="J39" i="69"/>
  <c r="K38" i="69"/>
  <c r="K39" i="68"/>
  <c r="J40" i="68"/>
  <c r="K37" i="67"/>
  <c r="J38" i="67"/>
  <c r="J38" i="65"/>
  <c r="K37" i="65"/>
  <c r="J38" i="64"/>
  <c r="K37" i="64"/>
  <c r="J37" i="60"/>
  <c r="K36" i="60"/>
  <c r="K35" i="58"/>
  <c r="J36" i="58"/>
  <c r="J35" i="56"/>
  <c r="K34" i="56"/>
  <c r="J33" i="55"/>
  <c r="K32" i="55"/>
  <c r="J34" i="54"/>
  <c r="K33" i="54"/>
  <c r="J32" i="53"/>
  <c r="K31" i="53"/>
  <c r="J27" i="52"/>
  <c r="K26" i="52"/>
  <c r="K24" i="49"/>
  <c r="K24" i="48"/>
  <c r="J25" i="48"/>
  <c r="J26" i="47"/>
  <c r="K25" i="47"/>
  <c r="K24" i="46"/>
  <c r="J25" i="46"/>
  <c r="K26" i="44"/>
  <c r="J27" i="44"/>
  <c r="J25" i="38"/>
  <c r="K24" i="38"/>
  <c r="J26" i="33"/>
  <c r="K25" i="33"/>
  <c r="J27" i="32"/>
  <c r="K27" i="32" s="1"/>
  <c r="K41" i="70" l="1"/>
  <c r="K42" i="70" s="1"/>
  <c r="J54" i="70" s="1"/>
  <c r="J42" i="70"/>
  <c r="K39" i="69"/>
  <c r="J40" i="69"/>
  <c r="J41" i="68"/>
  <c r="K40" i="68"/>
  <c r="K38" i="67"/>
  <c r="J39" i="67"/>
  <c r="J39" i="65"/>
  <c r="K38" i="65"/>
  <c r="K38" i="64"/>
  <c r="J39" i="64"/>
  <c r="K37" i="60"/>
  <c r="J38" i="60"/>
  <c r="J37" i="58"/>
  <c r="K36" i="58"/>
  <c r="J36" i="56"/>
  <c r="K35" i="56"/>
  <c r="J34" i="55"/>
  <c r="K33" i="55"/>
  <c r="J35" i="54"/>
  <c r="K34" i="54"/>
  <c r="J33" i="53"/>
  <c r="K32" i="53"/>
  <c r="K27" i="52"/>
  <c r="J28" i="52"/>
  <c r="K25" i="49"/>
  <c r="K25" i="48"/>
  <c r="J26" i="48"/>
  <c r="K26" i="47"/>
  <c r="J27" i="47"/>
  <c r="J26" i="46"/>
  <c r="K25" i="46"/>
  <c r="K27" i="44"/>
  <c r="J28" i="44"/>
  <c r="K25" i="38"/>
  <c r="J26" i="38"/>
  <c r="K26" i="33"/>
  <c r="J27" i="33"/>
  <c r="J28" i="32"/>
  <c r="K28" i="32" s="1"/>
  <c r="K54" i="70" l="1"/>
  <c r="K55" i="70" s="1"/>
  <c r="J55" i="70"/>
  <c r="J41" i="69"/>
  <c r="K40" i="69"/>
  <c r="K41" i="68"/>
  <c r="K42" i="68" s="1"/>
  <c r="J54" i="68" s="1"/>
  <c r="J42" i="68"/>
  <c r="K39" i="67"/>
  <c r="J40" i="67"/>
  <c r="K39" i="65"/>
  <c r="J40" i="65"/>
  <c r="J40" i="64"/>
  <c r="J41" i="64" s="1"/>
  <c r="K41" i="64" s="1"/>
  <c r="K39" i="64"/>
  <c r="J39" i="60"/>
  <c r="K38" i="60"/>
  <c r="J38" i="58"/>
  <c r="K37" i="58"/>
  <c r="J37" i="56"/>
  <c r="K36" i="56"/>
  <c r="K34" i="55"/>
  <c r="J35" i="55"/>
  <c r="K35" i="54"/>
  <c r="J36" i="54"/>
  <c r="J34" i="53"/>
  <c r="K33" i="53"/>
  <c r="K28" i="52"/>
  <c r="J29" i="52"/>
  <c r="K26" i="49"/>
  <c r="J27" i="48"/>
  <c r="K26" i="48"/>
  <c r="J28" i="47"/>
  <c r="K27" i="47"/>
  <c r="J27" i="46"/>
  <c r="K26" i="46"/>
  <c r="J29" i="44"/>
  <c r="K28" i="44"/>
  <c r="J27" i="38"/>
  <c r="K26" i="38"/>
  <c r="J28" i="33"/>
  <c r="K27" i="33"/>
  <c r="J29" i="32"/>
  <c r="K29" i="32" s="1"/>
  <c r="K41" i="69" l="1"/>
  <c r="K42" i="69" s="1"/>
  <c r="J54" i="69" s="1"/>
  <c r="J42" i="69"/>
  <c r="K54" i="68"/>
  <c r="K55" i="68" s="1"/>
  <c r="J55" i="68"/>
  <c r="K40" i="67"/>
  <c r="J41" i="67"/>
  <c r="J41" i="65"/>
  <c r="K40" i="65"/>
  <c r="K40" i="64"/>
  <c r="K42" i="64" s="1"/>
  <c r="J54" i="64" s="1"/>
  <c r="J42" i="64"/>
  <c r="K39" i="60"/>
  <c r="J40" i="60"/>
  <c r="J39" i="58"/>
  <c r="J40" i="58" s="1"/>
  <c r="K38" i="58"/>
  <c r="J38" i="56"/>
  <c r="J39" i="56" s="1"/>
  <c r="K37" i="56"/>
  <c r="K35" i="55"/>
  <c r="J36" i="55"/>
  <c r="K36" i="54"/>
  <c r="J37" i="54"/>
  <c r="K34" i="53"/>
  <c r="J35" i="53"/>
  <c r="J30" i="52"/>
  <c r="K29" i="52"/>
  <c r="K27" i="49"/>
  <c r="K27" i="48"/>
  <c r="J28" i="48"/>
  <c r="K28" i="47"/>
  <c r="J29" i="47"/>
  <c r="J28" i="46"/>
  <c r="K27" i="46"/>
  <c r="K29" i="44"/>
  <c r="J30" i="44"/>
  <c r="K27" i="38"/>
  <c r="J28" i="38"/>
  <c r="J29" i="33"/>
  <c r="K28" i="33"/>
  <c r="J30" i="32"/>
  <c r="K30" i="32" s="1"/>
  <c r="K54" i="69" l="1"/>
  <c r="K55" i="69" s="1"/>
  <c r="K41" i="67"/>
  <c r="K42" i="67" s="1"/>
  <c r="J54" i="67" s="1"/>
  <c r="J42" i="67"/>
  <c r="K41" i="65"/>
  <c r="K42" i="65" s="1"/>
  <c r="J54" i="65" s="1"/>
  <c r="J42" i="65"/>
  <c r="K54" i="64"/>
  <c r="K55" i="64" s="1"/>
  <c r="J55" i="64"/>
  <c r="K40" i="60"/>
  <c r="K40" i="58"/>
  <c r="J41" i="58"/>
  <c r="K39" i="58"/>
  <c r="K38" i="56"/>
  <c r="K36" i="55"/>
  <c r="J37" i="55"/>
  <c r="K37" i="54"/>
  <c r="J38" i="54"/>
  <c r="K35" i="53"/>
  <c r="J36" i="53"/>
  <c r="K30" i="52"/>
  <c r="J31" i="52"/>
  <c r="K28" i="49"/>
  <c r="J29" i="48"/>
  <c r="K28" i="48"/>
  <c r="J30" i="47"/>
  <c r="K29" i="47"/>
  <c r="K28" i="46"/>
  <c r="J29" i="46"/>
  <c r="K30" i="44"/>
  <c r="J31" i="44"/>
  <c r="J29" i="38"/>
  <c r="K28" i="38"/>
  <c r="J30" i="33"/>
  <c r="K29" i="33"/>
  <c r="J31" i="32"/>
  <c r="K31" i="32" s="1"/>
  <c r="K54" i="67" l="1"/>
  <c r="K55" i="67" s="1"/>
  <c r="J55" i="67"/>
  <c r="K54" i="65"/>
  <c r="K55" i="65" s="1"/>
  <c r="J55" i="65"/>
  <c r="K42" i="60"/>
  <c r="J54" i="60" s="1"/>
  <c r="J42" i="60"/>
  <c r="K41" i="58"/>
  <c r="K42" i="58" s="1"/>
  <c r="J54" i="58" s="1"/>
  <c r="J55" i="58" s="1"/>
  <c r="J42" i="58"/>
  <c r="K39" i="56"/>
  <c r="J38" i="55"/>
  <c r="K37" i="55"/>
  <c r="J39" i="54"/>
  <c r="K38" i="54"/>
  <c r="K36" i="53"/>
  <c r="J37" i="53"/>
  <c r="J32" i="52"/>
  <c r="K31" i="52"/>
  <c r="K29" i="49"/>
  <c r="K29" i="48"/>
  <c r="J30" i="48"/>
  <c r="K30" i="47"/>
  <c r="J31" i="47"/>
  <c r="J30" i="46"/>
  <c r="K29" i="46"/>
  <c r="K31" i="44"/>
  <c r="J32" i="44"/>
  <c r="K29" i="38"/>
  <c r="J30" i="38"/>
  <c r="K30" i="33"/>
  <c r="J32" i="32"/>
  <c r="K32" i="32" s="1"/>
  <c r="K54" i="60" l="1"/>
  <c r="K55" i="60" s="1"/>
  <c r="J55" i="60"/>
  <c r="K54" i="58"/>
  <c r="K55" i="58" s="1"/>
  <c r="K38" i="55"/>
  <c r="J39" i="55"/>
  <c r="K39" i="54"/>
  <c r="J40" i="54"/>
  <c r="J41" i="54" s="1"/>
  <c r="K41" i="54" s="1"/>
  <c r="J38" i="53"/>
  <c r="K37" i="53"/>
  <c r="K32" i="52"/>
  <c r="J33" i="52"/>
  <c r="K30" i="49"/>
  <c r="K30" i="48"/>
  <c r="J31" i="48"/>
  <c r="J32" i="47"/>
  <c r="K31" i="47"/>
  <c r="K30" i="46"/>
  <c r="J31" i="46"/>
  <c r="J33" i="44"/>
  <c r="K32" i="44"/>
  <c r="J31" i="38"/>
  <c r="K30" i="38"/>
  <c r="J33" i="32"/>
  <c r="K33" i="32" s="1"/>
  <c r="K42" i="56" l="1"/>
  <c r="J52" i="56" s="1"/>
  <c r="J42" i="56"/>
  <c r="K39" i="55"/>
  <c r="J40" i="55"/>
  <c r="K40" i="54"/>
  <c r="K42" i="54" s="1"/>
  <c r="J52" i="54" s="1"/>
  <c r="J42" i="54"/>
  <c r="K38" i="53"/>
  <c r="J39" i="53"/>
  <c r="J40" i="53" s="1"/>
  <c r="J34" i="52"/>
  <c r="K33" i="52"/>
  <c r="K31" i="49"/>
  <c r="K31" i="48"/>
  <c r="J32" i="48"/>
  <c r="K32" i="47"/>
  <c r="J33" i="47"/>
  <c r="J32" i="46"/>
  <c r="K31" i="46"/>
  <c r="K33" i="44"/>
  <c r="J34" i="44"/>
  <c r="K31" i="38"/>
  <c r="J32" i="38"/>
  <c r="J34" i="32"/>
  <c r="K34" i="32" s="1"/>
  <c r="K52" i="56" l="1"/>
  <c r="K53" i="56" s="1"/>
  <c r="J53" i="56"/>
  <c r="K40" i="55"/>
  <c r="J41" i="55"/>
  <c r="K52" i="54"/>
  <c r="K53" i="54" s="1"/>
  <c r="J53" i="54"/>
  <c r="K39" i="53"/>
  <c r="K34" i="52"/>
  <c r="J35" i="52"/>
  <c r="K32" i="49"/>
  <c r="J33" i="48"/>
  <c r="K32" i="48"/>
  <c r="J34" i="47"/>
  <c r="K33" i="47"/>
  <c r="K32" i="46"/>
  <c r="J33" i="46"/>
  <c r="K34" i="44"/>
  <c r="J35" i="44"/>
  <c r="J33" i="38"/>
  <c r="K32" i="38"/>
  <c r="J35" i="32"/>
  <c r="K35" i="32" s="1"/>
  <c r="K41" i="55" l="1"/>
  <c r="K42" i="55" s="1"/>
  <c r="J52" i="55" s="1"/>
  <c r="J42" i="55"/>
  <c r="K40" i="53"/>
  <c r="J36" i="52"/>
  <c r="K35" i="52"/>
  <c r="K33" i="49"/>
  <c r="K33" i="48"/>
  <c r="J34" i="48"/>
  <c r="K34" i="47"/>
  <c r="J35" i="47"/>
  <c r="J34" i="46"/>
  <c r="K33" i="46"/>
  <c r="K35" i="44"/>
  <c r="J36" i="44"/>
  <c r="K33" i="38"/>
  <c r="J34" i="38"/>
  <c r="J36" i="32"/>
  <c r="K36" i="32" s="1"/>
  <c r="K52" i="55" l="1"/>
  <c r="K53" i="55" s="1"/>
  <c r="J53" i="55"/>
  <c r="J42" i="53"/>
  <c r="K42" i="53"/>
  <c r="J52" i="53" s="1"/>
  <c r="K52" i="53" s="1"/>
  <c r="K53" i="53" s="1"/>
  <c r="K36" i="52"/>
  <c r="J37" i="52"/>
  <c r="K34" i="49"/>
  <c r="J35" i="48"/>
  <c r="K34" i="48"/>
  <c r="J36" i="47"/>
  <c r="K35" i="47"/>
  <c r="K34" i="46"/>
  <c r="J35" i="46"/>
  <c r="J37" i="44"/>
  <c r="K36" i="44"/>
  <c r="J35" i="38"/>
  <c r="K34" i="38"/>
  <c r="J37" i="32"/>
  <c r="K37" i="32" s="1"/>
  <c r="J53" i="53" l="1"/>
  <c r="J38" i="52"/>
  <c r="K37" i="52"/>
  <c r="K35" i="49"/>
  <c r="K35" i="48"/>
  <c r="J36" i="48"/>
  <c r="K36" i="47"/>
  <c r="J37" i="47"/>
  <c r="K35" i="46"/>
  <c r="J36" i="46"/>
  <c r="K37" i="44"/>
  <c r="J38" i="44"/>
  <c r="K35" i="38"/>
  <c r="J36" i="38"/>
  <c r="J38" i="32"/>
  <c r="K38" i="32" s="1"/>
  <c r="K38" i="52" l="1"/>
  <c r="J39" i="52"/>
  <c r="K36" i="49"/>
  <c r="K36" i="48"/>
  <c r="J37" i="48"/>
  <c r="J38" i="47"/>
  <c r="K37" i="47"/>
  <c r="J37" i="46"/>
  <c r="K36" i="46"/>
  <c r="K38" i="44"/>
  <c r="J39" i="44"/>
  <c r="J37" i="38"/>
  <c r="K36" i="38"/>
  <c r="K42" i="32"/>
  <c r="J52" i="32" s="1"/>
  <c r="J42" i="32"/>
  <c r="J40" i="52" l="1"/>
  <c r="J41" i="52" s="1"/>
  <c r="K41" i="52" s="1"/>
  <c r="K39" i="52"/>
  <c r="K37" i="49"/>
  <c r="K37" i="48"/>
  <c r="J38" i="48"/>
  <c r="K38" i="47"/>
  <c r="J39" i="47"/>
  <c r="K37" i="46"/>
  <c r="J38" i="46"/>
  <c r="K39" i="44"/>
  <c r="J40" i="44"/>
  <c r="K37" i="38"/>
  <c r="J38" i="38"/>
  <c r="K52" i="32"/>
  <c r="K53" i="32" s="1"/>
  <c r="J53" i="32"/>
  <c r="K40" i="52" l="1"/>
  <c r="K42" i="52" s="1"/>
  <c r="J52" i="52" s="1"/>
  <c r="J42" i="52"/>
  <c r="K38" i="49"/>
  <c r="J39" i="48"/>
  <c r="K38" i="48"/>
  <c r="J40" i="47"/>
  <c r="K39" i="47"/>
  <c r="J39" i="46"/>
  <c r="K38" i="46"/>
  <c r="K40" i="44"/>
  <c r="K42" i="44" s="1"/>
  <c r="J52" i="44" s="1"/>
  <c r="J42" i="44"/>
  <c r="J39" i="38"/>
  <c r="J40" i="38" s="1"/>
  <c r="K38" i="38"/>
  <c r="K41" i="33"/>
  <c r="K42" i="33" s="1"/>
  <c r="J52" i="33" s="1"/>
  <c r="J42" i="33"/>
  <c r="K52" i="52" l="1"/>
  <c r="K53" i="52" s="1"/>
  <c r="J53" i="52"/>
  <c r="K40" i="49"/>
  <c r="J42" i="49"/>
  <c r="K39" i="49"/>
  <c r="K39" i="48"/>
  <c r="J40" i="48"/>
  <c r="K40" i="47"/>
  <c r="K42" i="47" s="1"/>
  <c r="J52" i="47" s="1"/>
  <c r="J42" i="47"/>
  <c r="K39" i="46"/>
  <c r="J40" i="46"/>
  <c r="K52" i="44"/>
  <c r="K53" i="44" s="1"/>
  <c r="J53" i="44"/>
  <c r="K39" i="38"/>
  <c r="J53" i="33"/>
  <c r="K52" i="33"/>
  <c r="K53" i="33" s="1"/>
  <c r="K42" i="49" l="1"/>
  <c r="J41" i="48"/>
  <c r="K40" i="48"/>
  <c r="K52" i="47"/>
  <c r="K53" i="47" s="1"/>
  <c r="J53" i="47"/>
  <c r="K40" i="46"/>
  <c r="K42" i="46" s="1"/>
  <c r="K40" i="38"/>
  <c r="J52" i="49" l="1"/>
  <c r="K41" i="48"/>
  <c r="K42" i="48" s="1"/>
  <c r="J52" i="48" s="1"/>
  <c r="J42" i="48"/>
  <c r="J52" i="46"/>
  <c r="J42" i="46"/>
  <c r="K42" i="38"/>
  <c r="J52" i="38" s="1"/>
  <c r="J42" i="38"/>
  <c r="K52" i="49" l="1"/>
  <c r="K53" i="49" s="1"/>
  <c r="J53" i="49"/>
  <c r="K52" i="48"/>
  <c r="K53" i="48" s="1"/>
  <c r="J53" i="48"/>
  <c r="K52" i="46"/>
  <c r="K53" i="46" s="1"/>
  <c r="J53" i="46"/>
  <c r="K52" i="38"/>
  <c r="K53" i="38" s="1"/>
  <c r="J53" i="38"/>
</calcChain>
</file>

<file path=xl/sharedStrings.xml><?xml version="1.0" encoding="utf-8"?>
<sst xmlns="http://schemas.openxmlformats.org/spreadsheetml/2006/main" count="5218" uniqueCount="1123">
  <si>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</si>
  <si>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</si>
  <si>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</si>
  <si>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</si>
  <si>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</si>
  <si>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</si>
  <si>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</si>
  <si>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</si>
  <si>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</si>
  <si>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</si>
  <si>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</si>
  <si>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</si>
  <si>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</si>
  <si>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</si>
  <si>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</si>
  <si>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</si>
  <si>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</si>
  <si>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</si>
  <si>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</si>
  <si>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</si>
  <si>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</si>
  <si>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</si>
  <si>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</si>
  <si>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</si>
  <si>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</si>
  <si>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</si>
  <si>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</si>
  <si>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</si>
  <si>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</si>
  <si>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</si>
  <si>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</si>
  <si>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SVEGA:</t>
  </si>
  <si>
    <t>PO</t>
  </si>
  <si>
    <t>____________________</t>
  </si>
  <si>
    <t>Marko Mitić</t>
  </si>
  <si>
    <t>01.02.2023</t>
  </si>
  <si>
    <t>28.02.2023</t>
  </si>
  <si>
    <t>Madame Coco</t>
  </si>
  <si>
    <t>RC14824 MB188</t>
  </si>
  <si>
    <t>RC14987 MB216/RC15030 MB215</t>
  </si>
  <si>
    <t>Client</t>
  </si>
  <si>
    <t>Exchange rate</t>
  </si>
  <si>
    <t>Order</t>
  </si>
  <si>
    <t>Calculation of storage for the period</t>
  </si>
  <si>
    <t>STORAGE BOX</t>
  </si>
  <si>
    <t>Daily amount of storage</t>
  </si>
  <si>
    <t>day in month</t>
  </si>
  <si>
    <t>No of pieces</t>
  </si>
  <si>
    <t>No of boxes</t>
  </si>
  <si>
    <t>No of document</t>
  </si>
  <si>
    <t>No of document2</t>
  </si>
  <si>
    <t>INBOUND</t>
  </si>
  <si>
    <t>OUTBOUND</t>
  </si>
  <si>
    <t>Inbound boxes</t>
  </si>
  <si>
    <t>Outbound boxes</t>
  </si>
  <si>
    <t>Storage</t>
  </si>
  <si>
    <t>SUM</t>
  </si>
  <si>
    <t>for invoicing:</t>
  </si>
  <si>
    <t>pcs</t>
  </si>
  <si>
    <t>price per unit</t>
  </si>
  <si>
    <t>amount EUR</t>
  </si>
  <si>
    <t>amount RSD</t>
  </si>
  <si>
    <t>Transferred from previous month</t>
  </si>
  <si>
    <t>01.03.2023</t>
  </si>
  <si>
    <t>31.03.2023</t>
  </si>
  <si>
    <t>RC15215,16,17</t>
  </si>
  <si>
    <t>ANT2023000000027/78/79</t>
  </si>
  <si>
    <t>RC15630</t>
  </si>
  <si>
    <t>Povrat Big Fashion</t>
  </si>
  <si>
    <t>RC15633/RC15634/RC15687</t>
  </si>
  <si>
    <t xml:space="preserve">IHR2023000000090/38/Povrat </t>
  </si>
  <si>
    <t>RC15660</t>
  </si>
  <si>
    <t xml:space="preserve"> IHR2023000000095</t>
  </si>
  <si>
    <t>RC15829</t>
  </si>
  <si>
    <t xml:space="preserve"> IHR2023000000099</t>
  </si>
  <si>
    <t>OR10564</t>
  </si>
  <si>
    <t>OR10555/56/57/59/60/61</t>
  </si>
  <si>
    <t>2303007575</t>
  </si>
  <si>
    <t>RC15922</t>
  </si>
  <si>
    <t xml:space="preserve"> IHR2023000000101</t>
  </si>
  <si>
    <t>RC15956/RC15957</t>
  </si>
  <si>
    <t>ANT2023000000045/IHR2023000000100</t>
  </si>
  <si>
    <t>RC15998</t>
  </si>
  <si>
    <t xml:space="preserve">IHR2023000000107 </t>
  </si>
  <si>
    <t>RC16098</t>
  </si>
  <si>
    <t>Interstorovi za Zemun park</t>
  </si>
  <si>
    <t>RC16099</t>
  </si>
  <si>
    <t>Povrati</t>
  </si>
  <si>
    <t>RC16399</t>
  </si>
  <si>
    <t>IHR2023000000117</t>
  </si>
  <si>
    <t>01.04.2023</t>
  </si>
  <si>
    <t>30.04.2023</t>
  </si>
  <si>
    <t>OR11068/OR11069</t>
  </si>
  <si>
    <t>OR1108/1/2/3 OR11138/59</t>
  </si>
  <si>
    <t>OR11174</t>
  </si>
  <si>
    <t>OR11199</t>
  </si>
  <si>
    <t>OR11200/1/2/3/4/6</t>
  </si>
  <si>
    <t>OR11229</t>
  </si>
  <si>
    <t>OR11516</t>
  </si>
  <si>
    <t>2304009967</t>
  </si>
  <si>
    <t>01.05.2023</t>
  </si>
  <si>
    <t>31.05.2023</t>
  </si>
  <si>
    <t>RC16565</t>
  </si>
  <si>
    <t>ANT2023000000052</t>
  </si>
  <si>
    <t>RC16752</t>
  </si>
  <si>
    <t xml:space="preserve"> IHR2023000000127</t>
  </si>
  <si>
    <t>RC16827/RC16829/RC16832</t>
  </si>
  <si>
    <t>interstore and return</t>
  </si>
  <si>
    <t>RC17007/RC17019/RC17020</t>
  </si>
  <si>
    <t xml:space="preserve">return/ANT2023000000055/IHR2023000000130 </t>
  </si>
  <si>
    <t>RC17298</t>
  </si>
  <si>
    <t xml:space="preserve"> ihr2023000000133/ihr2023000000134 </t>
  </si>
  <si>
    <t>RC17200/RC17201</t>
  </si>
  <si>
    <t>IHR2023000000136/IHR2023000000137</t>
  </si>
  <si>
    <t>RC17221</t>
  </si>
  <si>
    <t xml:space="preserve"> IHR2023000000135</t>
  </si>
  <si>
    <t>OR11543/45/46/48</t>
  </si>
  <si>
    <t>OR11748/49/51/53</t>
  </si>
  <si>
    <t>OR11856 OR11862</t>
  </si>
  <si>
    <t>OR12060/61/63/64/65/66/68/9</t>
  </si>
  <si>
    <t>2305012476</t>
  </si>
  <si>
    <t>RC17294/RC17297</t>
  </si>
  <si>
    <t>IHR2023000000142/ANT2023000000057</t>
  </si>
  <si>
    <t xml:space="preserve">No of boxes </t>
  </si>
  <si>
    <t>RC17329</t>
  </si>
  <si>
    <t>IHR2023000000144</t>
  </si>
  <si>
    <t>RC17335/RC17336/RC17374/RC17375</t>
  </si>
  <si>
    <t>RC17610/RC17611</t>
  </si>
  <si>
    <t>ANT2023000000069/ IHR2023000000165</t>
  </si>
  <si>
    <t xml:space="preserve"> IHR202300000156/155/145/147</t>
  </si>
  <si>
    <t>RC17752</t>
  </si>
  <si>
    <t xml:space="preserve"> IHR2023000000169</t>
  </si>
  <si>
    <t>RC17770</t>
  </si>
  <si>
    <t xml:space="preserve">IHR2023000000174 </t>
  </si>
  <si>
    <t>OR12267/8/9/70/71/2/3/4/5/6/7/8</t>
  </si>
  <si>
    <t>OR12348/49/50/51</t>
  </si>
  <si>
    <t>OR12396</t>
  </si>
  <si>
    <t>OR12440</t>
  </si>
  <si>
    <t>OR12446</t>
  </si>
  <si>
    <t>OR12607</t>
  </si>
  <si>
    <t>OR12608/OR12609</t>
  </si>
  <si>
    <t>OR12610</t>
  </si>
  <si>
    <t>OR12467/68/78/79</t>
  </si>
  <si>
    <t>2306014912</t>
  </si>
  <si>
    <t>RC18120</t>
  </si>
  <si>
    <t>return</t>
  </si>
  <si>
    <t>RC18160</t>
  </si>
  <si>
    <t>ANT2023000000075</t>
  </si>
  <si>
    <t>RC18279/RC18280</t>
  </si>
  <si>
    <t>IHR2023000000195/IHR2023000000194</t>
  </si>
  <si>
    <t>OR12762/63/64/65/66/67</t>
  </si>
  <si>
    <t>OR12824/25/26</t>
  </si>
  <si>
    <t>OR12858/59/60/61/62</t>
  </si>
  <si>
    <t>OR12896</t>
  </si>
  <si>
    <t>OR12999/OR13000</t>
  </si>
  <si>
    <t>2307017077</t>
  </si>
  <si>
    <t>RC18449</t>
  </si>
  <si>
    <t>RC18699/RC18700</t>
  </si>
  <si>
    <t>OR13027/28/29/30/31/32</t>
  </si>
  <si>
    <t>OR13142/43/44/45/46/47</t>
  </si>
  <si>
    <t>OR13253/54/55/56/57</t>
  </si>
  <si>
    <t>OR13279/81/85/87</t>
  </si>
  <si>
    <t>2308019481</t>
  </si>
  <si>
    <t>Inbound Lilly boxes</t>
  </si>
  <si>
    <t>Ooubound Lilly boxes</t>
  </si>
  <si>
    <t>No of boxes Lilly</t>
  </si>
  <si>
    <t xml:space="preserve"> IHR2023000000231</t>
  </si>
  <si>
    <t>RC19145</t>
  </si>
  <si>
    <t xml:space="preserve"> ANT2023000000099</t>
  </si>
  <si>
    <t>RC19467</t>
  </si>
  <si>
    <t>XS01BIG - XS-01 BIG KUTIJA ROBE</t>
  </si>
  <si>
    <t>KOM - kom</t>
  </si>
  <si>
    <t>AD08</t>
  </si>
  <si>
    <t>XS02BEO - XS-02 BEO KUTIJA ROBE</t>
  </si>
  <si>
    <t>XS03USCE - XS-03 USCE KUTIJA ROBE</t>
  </si>
  <si>
    <t>XS04PROMENADA - XS-04 PROMENADA KUTIJA ROBE</t>
  </si>
  <si>
    <t>XS05ZEMUNPARK - XS-05 ZEMUN PARK KUTIJA ROBE</t>
  </si>
  <si>
    <t>XS06BIGNS - XS-06 BIG NOVI SAD KUTIJA ROBE</t>
  </si>
  <si>
    <t>KUTIJA - KUTIJA</t>
  </si>
  <si>
    <t>IHR2023000000251</t>
  </si>
  <si>
    <t>RC19620</t>
  </si>
  <si>
    <t>01 - Militzer ünd Münch - Alca 1</t>
  </si>
  <si>
    <t>AD09</t>
  </si>
  <si>
    <t>Artikal</t>
  </si>
  <si>
    <t>Lokacija</t>
  </si>
  <si>
    <t>Tip paketa za skladištenje</t>
  </si>
  <si>
    <t>Vrsta pakovanja</t>
  </si>
  <si>
    <t>SSCC</t>
  </si>
  <si>
    <t>Količina</t>
  </si>
  <si>
    <t>Raspoloživa količina</t>
  </si>
  <si>
    <t>stc_EntryDate</t>
  </si>
  <si>
    <t>Bruto težina</t>
  </si>
  <si>
    <t>Neto težina</t>
  </si>
  <si>
    <t>Zapremina</t>
  </si>
  <si>
    <t>Razlog neodgovaranja</t>
  </si>
  <si>
    <t>Razlozi rezervacije</t>
  </si>
  <si>
    <t>Deponent</t>
  </si>
  <si>
    <t>ERP magacin</t>
  </si>
  <si>
    <t>Magacinski broj</t>
  </si>
  <si>
    <t>Dobavljac</t>
  </si>
  <si>
    <t>Shipment</t>
  </si>
  <si>
    <t>Delivery note</t>
  </si>
  <si>
    <t>Broj kutije</t>
  </si>
  <si>
    <t>velicina</t>
  </si>
  <si>
    <t>Datum isteka</t>
  </si>
  <si>
    <t>LOT</t>
  </si>
  <si>
    <t>Varijanta</t>
  </si>
  <si>
    <t>LILLY - KUTIJA ROBE</t>
  </si>
  <si>
    <t>Pallet</t>
  </si>
  <si>
    <t>kom</t>
  </si>
  <si>
    <t>3.8.2023. 15:17:39</t>
  </si>
  <si>
    <t>DP020 - Madame Coco</t>
  </si>
  <si>
    <t>MB935</t>
  </si>
  <si>
    <t>3.8.2023. 15:18:35</t>
  </si>
  <si>
    <t>15.8.2023. 11:48:09</t>
  </si>
  <si>
    <t>MUM DEPO XR7 - MUM DEPO XR7 KUTIJA ROBE</t>
  </si>
  <si>
    <t>15.8.2023. 13:18:18</t>
  </si>
  <si>
    <t>AD15</t>
  </si>
  <si>
    <t>23.3.2023. 11:25:54</t>
  </si>
  <si>
    <t>23.3.2023. 11:26:52</t>
  </si>
  <si>
    <t>23.3.2023. 11:27:39</t>
  </si>
  <si>
    <t>23.3.2023. 11:29:12</t>
  </si>
  <si>
    <t>23.3.2023. 11:30:06</t>
  </si>
  <si>
    <t>23.3.2023. 11:30:32</t>
  </si>
  <si>
    <t>23.3.2023. 11:32:40</t>
  </si>
  <si>
    <t>23.3.2023. 11:33:14</t>
  </si>
  <si>
    <t>23.3.2023. 11:33:33</t>
  </si>
  <si>
    <t>AD11</t>
  </si>
  <si>
    <t>24.3.2023. 15:13:41</t>
  </si>
  <si>
    <t>24.3.2023. 15:14:19</t>
  </si>
  <si>
    <t>24.3.2023. 15:14:36</t>
  </si>
  <si>
    <t>24.3.2023. 15:17:28</t>
  </si>
  <si>
    <t>feleri</t>
  </si>
  <si>
    <t>AD06</t>
  </si>
  <si>
    <t>12.4.2023. 15:32:11</t>
  </si>
  <si>
    <t>12.4.2023. 15:33:06</t>
  </si>
  <si>
    <t>12.4.2023. 15:31:30</t>
  </si>
  <si>
    <t>04 i 05</t>
  </si>
  <si>
    <t>24.3.2023. 15:12:12</t>
  </si>
  <si>
    <t>24.3.2023. 15:12:51</t>
  </si>
  <si>
    <t>24.3.2023. 15:13:10</t>
  </si>
  <si>
    <t>24.3.2023. 15:13:27</t>
  </si>
  <si>
    <t>12.4.2023. 15:29:16</t>
  </si>
  <si>
    <t>12.4.2023. 15:30:08</t>
  </si>
  <si>
    <t>12.4.2023. 15:30:30</t>
  </si>
  <si>
    <t>12.4.2023. 15:31:01</t>
  </si>
  <si>
    <t>24.3.2023. 15:09:07</t>
  </si>
  <si>
    <t>12.4.2023. 15:24:46</t>
  </si>
  <si>
    <t>12.4.2023. 15:25:47</t>
  </si>
  <si>
    <t>12.4.2023. 15:26:12</t>
  </si>
  <si>
    <t>12.4.2023. 15:27:53</t>
  </si>
  <si>
    <t>24.3.2023. 15:06:03</t>
  </si>
  <si>
    <t>posteljine.jorgani</t>
  </si>
  <si>
    <t>24.3.2023. 15:07:59</t>
  </si>
  <si>
    <t>12.4.2023. 15:28:07</t>
  </si>
  <si>
    <t>12.4.2023. 15:28:48</t>
  </si>
  <si>
    <t>AD07</t>
  </si>
  <si>
    <t>15.5.2023. 15:21:23</t>
  </si>
  <si>
    <t>22.5.2023. 10:16:58</t>
  </si>
  <si>
    <t>22.5.2023. 10:18:04</t>
  </si>
  <si>
    <t>22.5.2023. 10:20:16</t>
  </si>
  <si>
    <t>AD05</t>
  </si>
  <si>
    <t>17.7.2023. 09:20:39</t>
  </si>
  <si>
    <t>17.7.2023. 09:21:10</t>
  </si>
  <si>
    <t>Datum</t>
  </si>
  <si>
    <t>Tip transakcije</t>
  </si>
  <si>
    <t>Skladištena jedinica</t>
  </si>
  <si>
    <t>Kod zadatka</t>
  </si>
  <si>
    <t>Kod porudžbenice</t>
  </si>
  <si>
    <t>Korisnik</t>
  </si>
  <si>
    <t>Host</t>
  </si>
  <si>
    <t>Kupac</t>
  </si>
  <si>
    <t>27.9.2023. 14:05:14</t>
  </si>
  <si>
    <t>AD02</t>
  </si>
  <si>
    <t>3 - Odvajanje robe</t>
  </si>
  <si>
    <t>EURO - Pallet</t>
  </si>
  <si>
    <t>PK72854</t>
  </si>
  <si>
    <t>OR13648-1</t>
  </si>
  <si>
    <t>Milan - Stosic</t>
  </si>
  <si>
    <t>mum.t024</t>
  </si>
  <si>
    <t>XS-04 - TC PROMENADA NOVI SAD MADAME COCO</t>
  </si>
  <si>
    <t>MB1173</t>
  </si>
  <si>
    <t>27.9.2023. 14:05:25</t>
  </si>
  <si>
    <t>PK72855</t>
  </si>
  <si>
    <t>27.9.2023. 14:05:33</t>
  </si>
  <si>
    <t>PK72856</t>
  </si>
  <si>
    <t>27.9.2023. 14:05:42</t>
  </si>
  <si>
    <t>PK72857</t>
  </si>
  <si>
    <t>27.9.2023. 14:05:47</t>
  </si>
  <si>
    <t>PK72858</t>
  </si>
  <si>
    <t>27.9.2023. 14:05:58</t>
  </si>
  <si>
    <t>PK72859</t>
  </si>
  <si>
    <t>27.9.2023. 14:06:43</t>
  </si>
  <si>
    <t>PK72860</t>
  </si>
  <si>
    <t>OR13649-1</t>
  </si>
  <si>
    <t>XS-03 - USCE SHOPPING CENTAR MADAME COCO</t>
  </si>
  <si>
    <t>27.9.2023. 14:06:54</t>
  </si>
  <si>
    <t>PK72861</t>
  </si>
  <si>
    <t>27.9.2023. 14:07:04</t>
  </si>
  <si>
    <t>PK72862</t>
  </si>
  <si>
    <t>27.9.2023. 14:07:09</t>
  </si>
  <si>
    <t>PK72863</t>
  </si>
  <si>
    <t>27.9.2023. 14:07:17</t>
  </si>
  <si>
    <t>PK72864</t>
  </si>
  <si>
    <t>27.9.2023. 14:07:23</t>
  </si>
  <si>
    <t>PK72865</t>
  </si>
  <si>
    <t>27.9.2023. 14:08:24</t>
  </si>
  <si>
    <t>PK72897</t>
  </si>
  <si>
    <t>OR13651-1</t>
  </si>
  <si>
    <t>XS-06 - TRZNI CENTAR BIG MADAM COCO</t>
  </si>
  <si>
    <t>27.9.2023. 14:08:34</t>
  </si>
  <si>
    <t>PK72898</t>
  </si>
  <si>
    <t>27.9.2023. 14:08:46</t>
  </si>
  <si>
    <t>PK72899</t>
  </si>
  <si>
    <t>27.9.2023. 14:08:55</t>
  </si>
  <si>
    <t>PK72900</t>
  </si>
  <si>
    <t>27.9.2023. 14:09:02</t>
  </si>
  <si>
    <t>PK72901</t>
  </si>
  <si>
    <t>27.9.2023. 14:10:11</t>
  </si>
  <si>
    <t>PK72902</t>
  </si>
  <si>
    <t>OR13652-1</t>
  </si>
  <si>
    <t>XS-01 - BIG FASHION SHOPPING CENTAR MADAME COCO</t>
  </si>
  <si>
    <t>27.9.2023. 14:10:18</t>
  </si>
  <si>
    <t>PK72903</t>
  </si>
  <si>
    <t>27.9.2023. 14:10:24</t>
  </si>
  <si>
    <t>PK72904</t>
  </si>
  <si>
    <t>27.9.2023. 14:10:34</t>
  </si>
  <si>
    <t>PK72905</t>
  </si>
  <si>
    <t>27.9.2023. 14:10:43</t>
  </si>
  <si>
    <t>PK72906</t>
  </si>
  <si>
    <t>27.9.2023. 14:10:51</t>
  </si>
  <si>
    <t>PK72907</t>
  </si>
  <si>
    <t>27.9.2023. 14:12:06</t>
  </si>
  <si>
    <t>PK72908</t>
  </si>
  <si>
    <t>OR13653-1</t>
  </si>
  <si>
    <t>XS-05 - ZEMUN PARK Madame Coco</t>
  </si>
  <si>
    <t>27.9.2023. 14:12:16</t>
  </si>
  <si>
    <t>PK72909</t>
  </si>
  <si>
    <t>27.9.2023. 14:12:25</t>
  </si>
  <si>
    <t>PK72910</t>
  </si>
  <si>
    <t>27.9.2023. 14:12:33</t>
  </si>
  <si>
    <t>PK72911</t>
  </si>
  <si>
    <t>27.9.2023. 14:12:53</t>
  </si>
  <si>
    <t>PK72912</t>
  </si>
  <si>
    <t>27.9.2023. 14:13:36</t>
  </si>
  <si>
    <t>PK72946</t>
  </si>
  <si>
    <t>OR13655-1</t>
  </si>
  <si>
    <t>XS-02 - BEO SHOPPING CENTAR MADAME COCO</t>
  </si>
  <si>
    <t>27.9.2023. 14:13:42</t>
  </si>
  <si>
    <t>PK72947</t>
  </si>
  <si>
    <t>27.9.2023. 14:13:53</t>
  </si>
  <si>
    <t>PK72948</t>
  </si>
  <si>
    <t>27.9.2023. 14:14:02</t>
  </si>
  <si>
    <t>PK72949</t>
  </si>
  <si>
    <t>27.9.2023. 14:14:10</t>
  </si>
  <si>
    <t>PK72950</t>
  </si>
  <si>
    <t>27.9.2023. 14:14:22</t>
  </si>
  <si>
    <t>PK72951</t>
  </si>
  <si>
    <t>27.9.2023. 14:14:32</t>
  </si>
  <si>
    <t>PK72952</t>
  </si>
  <si>
    <t>Labeling</t>
  </si>
  <si>
    <t>ihr2023000000273</t>
  </si>
  <si>
    <t>IHR2023000000271</t>
  </si>
  <si>
    <t>ANT2023000000106</t>
  </si>
  <si>
    <t>IHR2023000000287</t>
  </si>
  <si>
    <t>IHR2023000000282/285/286</t>
  </si>
  <si>
    <t>IHR2023000000298</t>
  </si>
  <si>
    <t>ANT2023000000109</t>
  </si>
  <si>
    <t>IHR2023000000295/293/292</t>
  </si>
  <si>
    <t>IHR2023000000302</t>
  </si>
  <si>
    <t>IHR2023000000301</t>
  </si>
  <si>
    <t>IHR2023000000306</t>
  </si>
  <si>
    <t>IHR2023000000305</t>
  </si>
  <si>
    <t>IHR2023000000312</t>
  </si>
  <si>
    <t>ANT2023000000113</t>
  </si>
  <si>
    <t>IHR2023000000313</t>
  </si>
  <si>
    <t>IHR2023000000321</t>
  </si>
  <si>
    <t>IHR2023000000317</t>
  </si>
  <si>
    <t>IHR2023000000328</t>
  </si>
  <si>
    <t>IHR2023000000341</t>
  </si>
  <si>
    <t>IHR2023000000342</t>
  </si>
  <si>
    <t>IHR2023000000358</t>
  </si>
  <si>
    <t>IHR2023000000348</t>
  </si>
  <si>
    <t>IHR2023000000353</t>
  </si>
  <si>
    <t>IHR2023000000354</t>
  </si>
  <si>
    <t>Manual unloading  IHR2023000000352/347/367/369</t>
  </si>
  <si>
    <t>Manual loading IHR2023000000352/347/367/369</t>
  </si>
  <si>
    <t>IHR2023000000363</t>
  </si>
  <si>
    <t>IHR2023000000364</t>
  </si>
  <si>
    <t>IHR2023000000374</t>
  </si>
  <si>
    <t>ANT2023000000128</t>
  </si>
  <si>
    <t>IHR2023000000378/377</t>
  </si>
  <si>
    <t>IHR2023000000375</t>
  </si>
  <si>
    <t>ANT2023000000127</t>
  </si>
  <si>
    <t>IHR2023000000379</t>
  </si>
  <si>
    <t>IHR2023000000388</t>
  </si>
  <si>
    <t>IHR2023000000386</t>
  </si>
  <si>
    <t>ANT2023000000139</t>
  </si>
  <si>
    <t>IHR2023000000403</t>
  </si>
  <si>
    <t>IHR2023000000404</t>
  </si>
  <si>
    <t>ANT2023000000141</t>
  </si>
  <si>
    <t>IHR2023000000426</t>
  </si>
  <si>
    <t>IHR2023000000434</t>
  </si>
  <si>
    <t>IHR2023000000435</t>
  </si>
  <si>
    <t>IHR2023000000455</t>
  </si>
  <si>
    <t>ANT2023000000150/IHR2023000000445</t>
  </si>
  <si>
    <t>IHR2023000000468</t>
  </si>
  <si>
    <t>IHR2023000000461</t>
  </si>
  <si>
    <t>IHR2024000000004</t>
  </si>
  <si>
    <t>IHR2024000000013</t>
  </si>
  <si>
    <t>IHR2024000000021</t>
  </si>
  <si>
    <t>ANT2024000000002</t>
  </si>
  <si>
    <t>IHR2024000000037</t>
  </si>
  <si>
    <t>IHR2024000000042</t>
  </si>
  <si>
    <t>103-WT-38</t>
  </si>
  <si>
    <t>ANT2024000000008</t>
  </si>
  <si>
    <t>103-WT-39</t>
  </si>
  <si>
    <t>IHR2024000000058</t>
  </si>
  <si>
    <t>Barcode scanning Lilly products</t>
  </si>
  <si>
    <t>IHR2024000000071</t>
  </si>
  <si>
    <t>IHR2024000000070</t>
  </si>
  <si>
    <t>IHR2024000000069</t>
  </si>
  <si>
    <t>103-WT-40</t>
  </si>
  <si>
    <t>103-WT-41</t>
  </si>
  <si>
    <t>103-WT-43</t>
  </si>
  <si>
    <t>ANT2024000000016</t>
  </si>
  <si>
    <t>IHR2024000000090</t>
  </si>
  <si>
    <t>IHR2024000000095</t>
  </si>
  <si>
    <t>ANT2024000000021</t>
  </si>
  <si>
    <t>Kod</t>
  </si>
  <si>
    <t>Datum unosa</t>
  </si>
  <si>
    <t>Status</t>
  </si>
  <si>
    <t>BrojLinija</t>
  </si>
  <si>
    <t>ord_Memo</t>
  </si>
  <si>
    <t>ord_ExpDeliveryDate</t>
  </si>
  <si>
    <t>ord_DepositorDocument</t>
  </si>
  <si>
    <t>Tip porudžbine</t>
  </si>
  <si>
    <t>Logistički centar</t>
  </si>
  <si>
    <t>Originalni kod porudžbine</t>
  </si>
  <si>
    <t xml:space="preserve"> DeliveyName</t>
  </si>
  <si>
    <t>odv_Address</t>
  </si>
  <si>
    <t>odv_City</t>
  </si>
  <si>
    <t>PosBr_IsporucnoMesto</t>
  </si>
  <si>
    <t>PostanskiBroj</t>
  </si>
  <si>
    <t>pst_Code</t>
  </si>
  <si>
    <t>Receiver</t>
  </si>
  <si>
    <t>90 - Završeno</t>
  </si>
  <si>
    <t>XS01 - BELGRADE BIG FASHION MALL</t>
  </si>
  <si>
    <t>DP027 - Madame Coco</t>
  </si>
  <si>
    <t>DP027-01 - DP027-01</t>
  </si>
  <si>
    <t>Beogradska 7A | RS- 11272 Dobanovci</t>
  </si>
  <si>
    <t>Belgrade</t>
  </si>
  <si>
    <t>XS02 - BELGRADE BEO MALL</t>
  </si>
  <si>
    <t>XS03 - BELGRADE USCE MALL</t>
  </si>
  <si>
    <t>103-S-4-287</t>
  </si>
  <si>
    <t>28.01.2024. 19:43:32</t>
  </si>
  <si>
    <t>XS04 - NOVISAD PROMENADA MALL</t>
  </si>
  <si>
    <t>01.02.2024. 13:07:27</t>
  </si>
  <si>
    <t>XS05 - BELGRADE  ZEMUN PARK MALL</t>
  </si>
  <si>
    <t>103-S-4-289</t>
  </si>
  <si>
    <t>28.01.2024. 19:56:51</t>
  </si>
  <si>
    <t>XS06 - NOVISAD BIG MALL</t>
  </si>
  <si>
    <t>01.02.2024. 13:08:12</t>
  </si>
  <si>
    <t>103-S-4-290</t>
  </si>
  <si>
    <t>28.01.2024. 20:02:49</t>
  </si>
  <si>
    <t>XS07 - NOVI PAZAR STREET</t>
  </si>
  <si>
    <t>02.02.2024. 14:05:30</t>
  </si>
  <si>
    <t>103-S-4-291</t>
  </si>
  <si>
    <t>28.01.2024. 20:02:50</t>
  </si>
  <si>
    <t>XS08 - NOVI PAZAR DRUM</t>
  </si>
  <si>
    <t>02.02.2024. 11:42:01</t>
  </si>
  <si>
    <t>103-S-4-292</t>
  </si>
  <si>
    <t>XS09 - KRUGAYEVAC</t>
  </si>
  <si>
    <t>103-S-4-293</t>
  </si>
  <si>
    <t>05.02.2024.</t>
  </si>
  <si>
    <t>07.02.2024. 08:58:18</t>
  </si>
  <si>
    <t>103-S-4-294</t>
  </si>
  <si>
    <t>07.02.2024. 08:59:43</t>
  </si>
  <si>
    <t>103-S-4-295</t>
  </si>
  <si>
    <t>06.02.2024. 09:01:00</t>
  </si>
  <si>
    <t>103-S-4-296</t>
  </si>
  <si>
    <t>08.02.2024. 09:02:13</t>
  </si>
  <si>
    <t>103-S-4-297</t>
  </si>
  <si>
    <t>08.02.2024. 09:03:09</t>
  </si>
  <si>
    <t>103-S-4-298</t>
  </si>
  <si>
    <t>08.02.2024. 09:03:54</t>
  </si>
  <si>
    <t>103-S-4-300</t>
  </si>
  <si>
    <t>09.02.2024. 09:57:17</t>
  </si>
  <si>
    <t>103-S-4-301</t>
  </si>
  <si>
    <t>08.02.2024. 09:04:43</t>
  </si>
  <si>
    <t>103-S-4-299</t>
  </si>
  <si>
    <t>09.02.2024. 09:58:12</t>
  </si>
  <si>
    <t>103-S-4-302</t>
  </si>
  <si>
    <t>12.02.2024.</t>
  </si>
  <si>
    <t>13.02.2024. 10:27:15</t>
  </si>
  <si>
    <t>103-S-4-303</t>
  </si>
  <si>
    <t>14.02.2024. 10:31:48</t>
  </si>
  <si>
    <t>103-S-4-304</t>
  </si>
  <si>
    <t>13.02.2024. 10:27:34</t>
  </si>
  <si>
    <t>103-S-4-305</t>
  </si>
  <si>
    <t>14.02.2024. 10:32:23</t>
  </si>
  <si>
    <t>103-S-4-306</t>
  </si>
  <si>
    <t>14.02.2024. 10:32:44</t>
  </si>
  <si>
    <t>103-S-4-308</t>
  </si>
  <si>
    <t>103-S-4-309</t>
  </si>
  <si>
    <t>14.02.2024. 10:33:25</t>
  </si>
  <si>
    <t>103-S-4-310</t>
  </si>
  <si>
    <t>14.02.2024. 10:33:42</t>
  </si>
  <si>
    <t>103-S-4-307</t>
  </si>
  <si>
    <t>14.02.2024. 09:04:15</t>
  </si>
  <si>
    <t>103-S-4-318</t>
  </si>
  <si>
    <t>18.02.2024. 20:56:51</t>
  </si>
  <si>
    <t>103-S-4-311</t>
  </si>
  <si>
    <t>18.02.2024. 21:07:39</t>
  </si>
  <si>
    <t>21.02.2024. 15:00:55</t>
  </si>
  <si>
    <t>103-S-4-312</t>
  </si>
  <si>
    <t>18.02.2024. 21:07:40</t>
  </si>
  <si>
    <t>21.02.2024. 15:02:48</t>
  </si>
  <si>
    <t>103-S-4-319</t>
  </si>
  <si>
    <t>18.02.2024. 21:07:42</t>
  </si>
  <si>
    <t>22.02.2024. 15:05:28</t>
  </si>
  <si>
    <t>103-S-4-313</t>
  </si>
  <si>
    <t>18.02.2024. 21:18:09</t>
  </si>
  <si>
    <t>103-S-4-314</t>
  </si>
  <si>
    <t>18.02.2024. 21:18:10</t>
  </si>
  <si>
    <t>22.02.2024. 15:07:41</t>
  </si>
  <si>
    <t>103-S-4-315</t>
  </si>
  <si>
    <t>18.02.2024. 21:18:11</t>
  </si>
  <si>
    <t>21.02.2024. 15:09:45</t>
  </si>
  <si>
    <t>103-S-4-316</t>
  </si>
  <si>
    <t>18.02.2024. 21:18:12</t>
  </si>
  <si>
    <t>22.02.2024. 15:10:06</t>
  </si>
  <si>
    <t>103-S-4-317</t>
  </si>
  <si>
    <t>18.02.2024. 21:18:13</t>
  </si>
  <si>
    <t>23.02.2024. 15:11:15</t>
  </si>
  <si>
    <t>103-WT-47</t>
  </si>
  <si>
    <t>19.02.2024. 10:55:32</t>
  </si>
  <si>
    <t>XY02 - Lily WareHouse</t>
  </si>
  <si>
    <t>29.02.2024. 09:38:55</t>
  </si>
  <si>
    <t>103-S-4-320</t>
  </si>
  <si>
    <t>26.02.2024. 07:11:29</t>
  </si>
  <si>
    <t>28.02.2024. 09:39:29</t>
  </si>
  <si>
    <t>103-S-4-321</t>
  </si>
  <si>
    <t>26.02.2024. 07:11:31</t>
  </si>
  <si>
    <t>27.02.2024. 10:02:22</t>
  </si>
  <si>
    <t>103-S-4-329</t>
  </si>
  <si>
    <t>26.02.2024. 07:11:33</t>
  </si>
  <si>
    <t>29.02.2024. 10:03:32</t>
  </si>
  <si>
    <t>103-S-4-322</t>
  </si>
  <si>
    <t>26.02.2024. 07:30:55</t>
  </si>
  <si>
    <t>27.02.2024. 10:02:49</t>
  </si>
  <si>
    <t>103-S-4-323</t>
  </si>
  <si>
    <t>26.02.2024. 07:30:57</t>
  </si>
  <si>
    <t>29.02.2024. 10:03:55</t>
  </si>
  <si>
    <t>103-S-4-324</t>
  </si>
  <si>
    <t>26.02.2024. 07:30:58</t>
  </si>
  <si>
    <t>28.02.2024. 10:04:12</t>
  </si>
  <si>
    <t>103-S-4-325</t>
  </si>
  <si>
    <t>26.02.2024. 07:31:00</t>
  </si>
  <si>
    <t>29.02.2024. 10:04:28</t>
  </si>
  <si>
    <t>103-S-4-326</t>
  </si>
  <si>
    <t>29.02.2024. 10:04:40</t>
  </si>
  <si>
    <t xml:space="preserve">Manual loading </t>
  </si>
  <si>
    <t>2403007817</t>
  </si>
  <si>
    <t>103-WT-54</t>
  </si>
  <si>
    <t>IHR2024000000110</t>
  </si>
  <si>
    <t>103-WT-49</t>
  </si>
  <si>
    <t>103-WT-53</t>
  </si>
  <si>
    <t>IHR2024000000102/ANT2024000000027</t>
  </si>
  <si>
    <t>IHR2024000000124</t>
  </si>
  <si>
    <t>IHR2024000000119/IHR2024000000125</t>
  </si>
  <si>
    <t>103-WT-55</t>
  </si>
  <si>
    <t>IHR2024000000133</t>
  </si>
  <si>
    <t>IHR2024000000136</t>
  </si>
  <si>
    <t>ANT2024000000042</t>
  </si>
  <si>
    <t>IHR2024000000149</t>
  </si>
  <si>
    <t>103-WT-56</t>
  </si>
  <si>
    <t>103-WT-57</t>
  </si>
  <si>
    <t>103-WT-58</t>
  </si>
  <si>
    <t>103-WT-59</t>
  </si>
  <si>
    <t>Returns</t>
  </si>
  <si>
    <t>Inbound pallets</t>
  </si>
  <si>
    <t>Outbound pallets</t>
  </si>
  <si>
    <t>ANT2024000000047</t>
  </si>
  <si>
    <t>103-WT-62</t>
  </si>
  <si>
    <t>103-WT-64</t>
  </si>
  <si>
    <t>103-WT-65</t>
  </si>
  <si>
    <t>IHR2024000000179</t>
  </si>
  <si>
    <t>IHR2024000000182</t>
  </si>
  <si>
    <t>IHR2024000000162/160</t>
  </si>
  <si>
    <t>ANT2024000000046/103-WT-50</t>
  </si>
  <si>
    <t>103-WT-63/IHR2024000000158</t>
  </si>
  <si>
    <t>IHR2024000000172/IHR2024000000173</t>
  </si>
  <si>
    <t>IHR2024000000184/103-WT-66</t>
  </si>
  <si>
    <t>IHR20240000001736 RETURNS</t>
  </si>
  <si>
    <t>RETURNS</t>
  </si>
  <si>
    <t>ANT2024000000055</t>
  </si>
  <si>
    <t>IHR2024000000200/IHR2024000000201</t>
  </si>
  <si>
    <t>IHR2024000000209</t>
  </si>
  <si>
    <t>103-WT-70</t>
  </si>
  <si>
    <t>ANT2024000000061</t>
  </si>
  <si>
    <t>IHR2024000000216/IHR2024000000218</t>
  </si>
  <si>
    <t>IHR2024000000224</t>
  </si>
  <si>
    <t>103-WT-71</t>
  </si>
  <si>
    <t>103-WT-72</t>
  </si>
  <si>
    <t>IHR2024000000236</t>
  </si>
  <si>
    <t>103-WT-74</t>
  </si>
  <si>
    <t>103-WT-75</t>
  </si>
  <si>
    <t>IHR2024000000243</t>
  </si>
  <si>
    <t>103-WT-76/103-WT-77</t>
  </si>
  <si>
    <t>IHR2024000000247</t>
  </si>
  <si>
    <t>103-WT-78</t>
  </si>
  <si>
    <t>ANT2024000000069</t>
  </si>
  <si>
    <t>IHR2024000000250</t>
  </si>
  <si>
    <t>01.06.2024.</t>
  </si>
  <si>
    <t>30.06.2024.</t>
  </si>
  <si>
    <t>IHR2024000000260</t>
  </si>
  <si>
    <t>IHR2024000000258</t>
  </si>
  <si>
    <t>IHR2024000000259</t>
  </si>
  <si>
    <t>ANT2024000000073</t>
  </si>
  <si>
    <t>IHR2024000000276</t>
  </si>
  <si>
    <t>IHR2024000000278</t>
  </si>
  <si>
    <t>103-WT-79</t>
  </si>
  <si>
    <t>IHR2024000000289</t>
  </si>
  <si>
    <t>103-WT-80</t>
  </si>
  <si>
    <t>IHR2024000000295</t>
  </si>
  <si>
    <t>ANT2024000000081</t>
  </si>
  <si>
    <t>103-WT-83</t>
  </si>
  <si>
    <t>103-WT-82</t>
  </si>
  <si>
    <t>LPN sticking</t>
  </si>
  <si>
    <t>Interstore</t>
  </si>
  <si>
    <t>IHR2024000000303</t>
  </si>
  <si>
    <t>ANT2024000000083/IHR2024000000313</t>
  </si>
  <si>
    <t>IHR2024000000316</t>
  </si>
  <si>
    <t>103-WT-84</t>
  </si>
  <si>
    <t>ANT2024000000090</t>
  </si>
  <si>
    <t>IHR2024000000335</t>
  </si>
  <si>
    <t>103-WT-85</t>
  </si>
  <si>
    <t>103-WT-86</t>
  </si>
  <si>
    <t>IHR2024000000352</t>
  </si>
  <si>
    <t>IHR2024000000359</t>
  </si>
  <si>
    <t>ANT2024000000098</t>
  </si>
  <si>
    <t>IHR2024000000366</t>
  </si>
  <si>
    <t>01.08.2024.</t>
  </si>
  <si>
    <t>31.08.2024.</t>
  </si>
  <si>
    <t>ANT2024000000107</t>
  </si>
  <si>
    <t>IHR2024000000382/IHR2024000000387</t>
  </si>
  <si>
    <t>103-WT-88</t>
  </si>
  <si>
    <t>103-WT-89</t>
  </si>
  <si>
    <t>IHR2024000000399</t>
  </si>
  <si>
    <t>103-WT-91</t>
  </si>
  <si>
    <t>IHR2024000000406</t>
  </si>
  <si>
    <t>103-WT-92</t>
  </si>
  <si>
    <t>103-WT-93</t>
  </si>
  <si>
    <t>103-WT-94</t>
  </si>
  <si>
    <t>IHR2024000000423/ANT2024000000114</t>
  </si>
  <si>
    <t xml:space="preserve">Manual unloading </t>
  </si>
  <si>
    <t>IHR2024000000426/425/424</t>
  </si>
  <si>
    <t>103-WT-96</t>
  </si>
  <si>
    <t>103-WT-95/IHR2024000000426</t>
  </si>
  <si>
    <t>IHR2024000000425</t>
  </si>
  <si>
    <t>IHR2024000000424</t>
  </si>
  <si>
    <t>IHR2024000000432</t>
  </si>
  <si>
    <t>IHR2024000000430</t>
  </si>
  <si>
    <t>103-WT-97</t>
  </si>
  <si>
    <t>103-WT-99</t>
  </si>
  <si>
    <t>IHR2024000000446</t>
  </si>
  <si>
    <t>103-WT-100</t>
  </si>
  <si>
    <t>IHR2024000000454</t>
  </si>
  <si>
    <t>ANT2024000000124</t>
  </si>
  <si>
    <t>103-WT-101</t>
  </si>
  <si>
    <t>IHR2024000000463/IHR2024000000465</t>
  </si>
  <si>
    <t>IHR2024000000462</t>
  </si>
  <si>
    <t>103-WT-103</t>
  </si>
  <si>
    <t>103-WT-104</t>
  </si>
  <si>
    <t>103-WT-105</t>
  </si>
  <si>
    <t>01.09.2024.</t>
  </si>
  <si>
    <t>30.09.2024.</t>
  </si>
  <si>
    <t>IHR2024000000495</t>
  </si>
  <si>
    <t>ANT2024000000134</t>
  </si>
  <si>
    <t>IHR2024000000516</t>
  </si>
  <si>
    <t>IHR2024000000517</t>
  </si>
  <si>
    <t>IHR2024000000508</t>
  </si>
  <si>
    <t>103-WT-106</t>
  </si>
  <si>
    <t>IHR2024000000526</t>
  </si>
  <si>
    <t>IHR2024000000527</t>
  </si>
  <si>
    <t>IHR2024000000537</t>
  </si>
  <si>
    <t>IHR2024000000558</t>
  </si>
  <si>
    <t>IHR2024000000564</t>
  </si>
  <si>
    <t>IHR2024000000555</t>
  </si>
  <si>
    <t>IHR2024000000556</t>
  </si>
  <si>
    <t>103-WT-107/IHR202400000540</t>
  </si>
  <si>
    <t>ANT2024000000140/IHR2024000000539</t>
  </si>
  <si>
    <t>103-WT-108</t>
  </si>
  <si>
    <t>01.10.2024.</t>
  </si>
  <si>
    <t>31.10.2024.</t>
  </si>
  <si>
    <t>IHR2024000000591/IHR2024000000588</t>
  </si>
  <si>
    <t>IHR2024000000585</t>
  </si>
  <si>
    <t>103-WT-109</t>
  </si>
  <si>
    <t>IHR2024000000606</t>
  </si>
  <si>
    <t>IHR2024000000605</t>
  </si>
  <si>
    <t>ANT2024000000158</t>
  </si>
  <si>
    <t>103-WT-110</t>
  </si>
  <si>
    <t>ANT2024000000160</t>
  </si>
  <si>
    <t>IHR2024000000613</t>
  </si>
  <si>
    <t>IHR2024000000623</t>
  </si>
  <si>
    <t>01.11.2024.</t>
  </si>
  <si>
    <t>30.11.2024.</t>
  </si>
  <si>
    <t>ANT2024000000169</t>
  </si>
  <si>
    <t>103-WT-111</t>
  </si>
  <si>
    <t>IHR2024000000637</t>
  </si>
  <si>
    <t>IHR2024000000638</t>
  </si>
  <si>
    <t>ANT2024000000177</t>
  </si>
  <si>
    <t>IHR2024000000653</t>
  </si>
  <si>
    <t>IHR2024000000661</t>
  </si>
  <si>
    <t>Očekivani datum</t>
  </si>
  <si>
    <t>Datum prijema</t>
  </si>
  <si>
    <t>rct_Memo</t>
  </si>
  <si>
    <t>Dobavljač</t>
  </si>
  <si>
    <t>Kategorija</t>
  </si>
  <si>
    <t>Narudžbenica</t>
  </si>
  <si>
    <t>02.12.2024.</t>
  </si>
  <si>
    <t>12.02.2024. 13:18:08</t>
  </si>
  <si>
    <t xml:space="preserve">Viškovi MB106  IHR2024000000037 103-WT-41 </t>
  </si>
  <si>
    <t>1 - DEHA MAÄžAZACILIK EV TEKSTÄ°L</t>
  </si>
  <si>
    <t>12.02.2024. 14:49:51</t>
  </si>
  <si>
    <t xml:space="preserve">Višak kutija 1111111077832  MB106  IHR2024000000037 103-WT-41  103-WT-43 </t>
  </si>
  <si>
    <t>29.11.2024.</t>
  </si>
  <si>
    <t>13.12.2024. 12:49:57</t>
  </si>
  <si>
    <t>MB2141 Ocarinjeno</t>
  </si>
  <si>
    <t>03.12.2024.</t>
  </si>
  <si>
    <t>05.12.2024. 12:24:47</t>
  </si>
  <si>
    <t>IHR2024000000606 and IHR2024000000585 and IHR2024000000588 and IHR2024000000564</t>
  </si>
  <si>
    <t>04.12.2024.</t>
  </si>
  <si>
    <t>01.12.2024.</t>
  </si>
  <si>
    <t>19.12.2024. 10:47:11</t>
  </si>
  <si>
    <t>MB3974 Ocarinjeno</t>
  </si>
  <si>
    <t>20.12.2024. 15:22:06</t>
  </si>
  <si>
    <t>MB2160 Ocarinjen</t>
  </si>
  <si>
    <t>11.12.2024.</t>
  </si>
  <si>
    <t>06.12.2024.</t>
  </si>
  <si>
    <t>25.12.2024. 14:55:58</t>
  </si>
  <si>
    <t>MB2188 Ocarinjen</t>
  </si>
  <si>
    <t>25.12.2024. 10:25:11</t>
  </si>
  <si>
    <t>MB2187 Ocarinjen</t>
  </si>
  <si>
    <t>0 - Nerešen status</t>
  </si>
  <si>
    <t>13.12.2024.</t>
  </si>
  <si>
    <t>03.01.2025. 10:22:07</t>
  </si>
  <si>
    <t>MB2194  Ocarinjeno</t>
  </si>
  <si>
    <t>IHR2024000000675</t>
  </si>
  <si>
    <t>10 - Izvršavanje</t>
  </si>
  <si>
    <t>15.12.2024.</t>
  </si>
  <si>
    <t>31.12.2024. 09:44:53</t>
  </si>
  <si>
    <t>MB2221 Ocarinjen 17.12 istovar</t>
  </si>
  <si>
    <t>IHR2024000000663</t>
  </si>
  <si>
    <t>16.12.2024.</t>
  </si>
  <si>
    <t>09.12.2024.</t>
  </si>
  <si>
    <t>MB2207 Ocarinjen</t>
  </si>
  <si>
    <t>103-WT-112</t>
  </si>
  <si>
    <t>17.12.2024. 15:54:24</t>
  </si>
  <si>
    <t>ANT2024000000184</t>
  </si>
  <si>
    <t>12.12.2024.</t>
  </si>
  <si>
    <t>03.01.2025. 13:31:32</t>
  </si>
  <si>
    <t>MB2208 PREPRAVLJENO NA MB2215</t>
  </si>
  <si>
    <t>IHR2024000000689</t>
  </si>
  <si>
    <t>23.12.2024.</t>
  </si>
  <si>
    <t>21.12.2024.</t>
  </si>
  <si>
    <t>MB2251 Ocarinjen</t>
  </si>
  <si>
    <t>IHR2024000000687</t>
  </si>
  <si>
    <t>MB2253 Ocarinjen</t>
  </si>
  <si>
    <t>IHR2024000000693</t>
  </si>
  <si>
    <t>22.12.2024.</t>
  </si>
  <si>
    <t>MB2250 Ocarinjen</t>
  </si>
  <si>
    <t>IHR2024000000691</t>
  </si>
  <si>
    <t>MB2247 Ocarinjen</t>
  </si>
  <si>
    <t>103-WT-113</t>
  </si>
  <si>
    <t>26.12.2024. 13:00:29</t>
  </si>
  <si>
    <t xml:space="preserve">Differences:  IHR2024000000637 - IHR2024000000637 </t>
  </si>
  <si>
    <t>IHR2024000000704</t>
  </si>
  <si>
    <t>26.12.2024.</t>
  </si>
  <si>
    <t>27.12.2024.</t>
  </si>
  <si>
    <t>MB2274 Ocarinjeno</t>
  </si>
  <si>
    <t>IHR2024000000703</t>
  </si>
  <si>
    <t>MB5899 Ocarinjeno</t>
  </si>
  <si>
    <t>IHR2024000000702</t>
  </si>
  <si>
    <t>MB5898 Ocarinjeno</t>
  </si>
  <si>
    <t>IHR2024000000720</t>
  </si>
  <si>
    <t>30.12.2024.</t>
  </si>
  <si>
    <t>29.12.2024.</t>
  </si>
  <si>
    <t>MB5905</t>
  </si>
  <si>
    <t>IHR2024000000715</t>
  </si>
  <si>
    <t>28.12.2024.</t>
  </si>
  <si>
    <t>MB5913</t>
  </si>
  <si>
    <t>ANT2024000000194</t>
  </si>
  <si>
    <t>MB5915</t>
  </si>
  <si>
    <t>IHR2024000000728</t>
  </si>
  <si>
    <t>MB5914</t>
  </si>
  <si>
    <t>IHR2024000000737</t>
  </si>
  <si>
    <t>02.01.2025.</t>
  </si>
  <si>
    <t>03.01.2025.</t>
  </si>
  <si>
    <t>1-ES-7-80985</t>
  </si>
  <si>
    <t>103-WT-114</t>
  </si>
  <si>
    <t>IHR2024000000663/IHR2024000000664</t>
  </si>
  <si>
    <t>ANT2024000000184/103-WT-112</t>
  </si>
  <si>
    <t>IHR2024000000677</t>
  </si>
  <si>
    <t>IHR2024000000675/674</t>
  </si>
  <si>
    <t>IHR2024000000679/683</t>
  </si>
  <si>
    <t>IHR2024000000664/679/683</t>
  </si>
  <si>
    <t>IHR2024000000689/IHR202400000068/693/691/92</t>
  </si>
  <si>
    <t>103-WT-113/ANT2024000000187</t>
  </si>
  <si>
    <t>IHR2024000000704/702</t>
  </si>
  <si>
    <t>IHR2024000000720/712/715/728</t>
  </si>
  <si>
    <t>31.12.2024.</t>
  </si>
  <si>
    <t>IHR2025000000002</t>
  </si>
  <si>
    <t>IHR2024000000734</t>
  </si>
  <si>
    <t>103-WT-115</t>
  </si>
  <si>
    <t>IHR2024000000737/IHR2024000000733</t>
  </si>
  <si>
    <t>IHR2025000000006</t>
  </si>
  <si>
    <t>IHR2025000000007/IHR2025000000022</t>
  </si>
  <si>
    <t>IHR202500000019</t>
  </si>
  <si>
    <t>ANT20240000002024</t>
  </si>
  <si>
    <t>IHR2025000000024</t>
  </si>
  <si>
    <t>IHR2025000000021/103-WT-116/117/118</t>
  </si>
  <si>
    <t>103-WT-119</t>
  </si>
  <si>
    <t>ANT2024000000205/IHR2025000000030/31</t>
  </si>
  <si>
    <t>IHR2025000000037/ANT2025000000009/103-WT-120</t>
  </si>
  <si>
    <t>103-WT-121</t>
  </si>
  <si>
    <t>IHR2025000000048/52/54</t>
  </si>
  <si>
    <t>IHR2025000000072/103-WT-125</t>
  </si>
  <si>
    <t>Manual unloading CARPETS</t>
  </si>
  <si>
    <t>IHR2025000000081/IHR2025000000079</t>
  </si>
  <si>
    <t>IHR2025000000074</t>
  </si>
  <si>
    <t>IHR2025000000072/082</t>
  </si>
  <si>
    <t>ANT2025000000019</t>
  </si>
  <si>
    <t>IHR2025000000082</t>
  </si>
  <si>
    <t>IHR2025000000084</t>
  </si>
  <si>
    <t>IHR2025000000085</t>
  </si>
  <si>
    <t>ANT2025000000020</t>
  </si>
  <si>
    <t>01.01.2025.</t>
  </si>
  <si>
    <t>31.01.2025.</t>
  </si>
  <si>
    <t>Manual loading</t>
  </si>
  <si>
    <t>IHR2024000000664</t>
  </si>
  <si>
    <t>01.02.2025.</t>
  </si>
  <si>
    <t>28.02.2025.</t>
  </si>
  <si>
    <t>IHR2025000000089</t>
  </si>
  <si>
    <t>103-WT-123</t>
  </si>
  <si>
    <t>IHR2025000000102</t>
  </si>
  <si>
    <t>IHR2025000000104</t>
  </si>
  <si>
    <t>103-WT-124</t>
  </si>
  <si>
    <t>IHR2025000000112/103-WT-133</t>
  </si>
  <si>
    <t>IHR2025000000115/IHR2025000000114</t>
  </si>
  <si>
    <t>103-WT-126</t>
  </si>
  <si>
    <t>IHR2025000000120</t>
  </si>
  <si>
    <t>IHR2025000000117/IHR2025000000123</t>
  </si>
  <si>
    <t>103-WT-128</t>
  </si>
  <si>
    <t>103-WT-129</t>
  </si>
  <si>
    <t>ANT2025000000029</t>
  </si>
  <si>
    <t>IHR2025000000130</t>
  </si>
  <si>
    <t>IHR2025000000138</t>
  </si>
  <si>
    <t>ANT2025000000034</t>
  </si>
  <si>
    <t>IHR2025000000141/103-WT-130</t>
  </si>
  <si>
    <t>103-WT-131</t>
  </si>
  <si>
    <t>IHR2025000000122</t>
  </si>
  <si>
    <t>01.03.2025.</t>
  </si>
  <si>
    <t>31.03.2025.</t>
  </si>
  <si>
    <t>ANT2025000000035/IHR2025000000153/156</t>
  </si>
  <si>
    <t>IHR2025000000161/103-WT-141/103-WT-134</t>
  </si>
  <si>
    <t>IHR2025000000162</t>
  </si>
  <si>
    <t>IHR2025000000159</t>
  </si>
  <si>
    <t>103-WT-135</t>
  </si>
  <si>
    <t>103-WT-136/103-WT-137/IHR2025000000130</t>
  </si>
  <si>
    <t>IHR2025000000181</t>
  </si>
  <si>
    <t>103-WT-138</t>
  </si>
  <si>
    <t>103-WT-139</t>
  </si>
  <si>
    <t>IHR2025000000208</t>
  </si>
  <si>
    <t>103-WT-142</t>
  </si>
  <si>
    <t>IHR2025000000223/103-WT-144</t>
  </si>
  <si>
    <t>IHR2025000000243</t>
  </si>
  <si>
    <t>103-WT-133</t>
  </si>
  <si>
    <t>IHR2025000000251</t>
  </si>
  <si>
    <t>ANT2025000000065</t>
  </si>
  <si>
    <t>IHR2025000000256</t>
  </si>
  <si>
    <t>IHR2025000000262</t>
  </si>
  <si>
    <t>IHR2025000000274/IHR2025000000275</t>
  </si>
  <si>
    <t>IHR2025000000312</t>
  </si>
  <si>
    <t>IHR2025000000299</t>
  </si>
  <si>
    <t>103-WT-145</t>
  </si>
  <si>
    <t>103-WT-146</t>
  </si>
  <si>
    <t>103-WT-148</t>
  </si>
  <si>
    <t>ANT2025000000071/103-WT-158</t>
  </si>
  <si>
    <t>103-WT-159</t>
  </si>
  <si>
    <t>103-WT-161</t>
  </si>
  <si>
    <t>30.04.2025.</t>
  </si>
  <si>
    <t>01.04.2025.</t>
  </si>
  <si>
    <t>01.05.2025.</t>
  </si>
  <si>
    <t>31.05.2025.</t>
  </si>
  <si>
    <t>1189</t>
  </si>
  <si>
    <t>933</t>
  </si>
  <si>
    <t>419</t>
  </si>
  <si>
    <t>1778</t>
  </si>
  <si>
    <t>1198</t>
  </si>
  <si>
    <t>1195</t>
  </si>
  <si>
    <t>IHR2025000000304</t>
  </si>
  <si>
    <t>ANT2025000000085</t>
  </si>
  <si>
    <t>103-WT-162</t>
  </si>
  <si>
    <t>IHR20250000000330</t>
  </si>
  <si>
    <t>IHR2025000000339</t>
  </si>
  <si>
    <t>IHR2025000000344</t>
  </si>
  <si>
    <t>103-WT-163</t>
  </si>
  <si>
    <t>103-WT-164</t>
  </si>
  <si>
    <t>103-WT-165</t>
  </si>
  <si>
    <t>103-WT-166</t>
  </si>
  <si>
    <t>INTERSTORE XS10</t>
  </si>
  <si>
    <t>40</t>
  </si>
  <si>
    <t>780</t>
  </si>
  <si>
    <t>428</t>
  </si>
  <si>
    <t>ANT2025000000109</t>
  </si>
  <si>
    <t>IHR2025000000370</t>
  </si>
  <si>
    <t>01.06.2025.</t>
  </si>
  <si>
    <t>30.06.2025.</t>
  </si>
  <si>
    <t>916</t>
  </si>
  <si>
    <t>932</t>
  </si>
  <si>
    <t>486</t>
  </si>
  <si>
    <t>535</t>
  </si>
  <si>
    <t>IHR2025000000390</t>
  </si>
  <si>
    <t>IHR2025000000389      103-WT-167</t>
  </si>
  <si>
    <t>103-WT-168</t>
  </si>
  <si>
    <t>IHR2025000000426</t>
  </si>
  <si>
    <t>IHR2025000000430</t>
  </si>
  <si>
    <t>IHR2025000000431-ANT2025000000132</t>
  </si>
  <si>
    <t>IHR2025000000444</t>
  </si>
  <si>
    <t>IHR2025000000443</t>
  </si>
  <si>
    <t>103-WT-169</t>
  </si>
  <si>
    <t>305</t>
  </si>
  <si>
    <t>649</t>
  </si>
  <si>
    <t>610</t>
  </si>
  <si>
    <t>1187</t>
  </si>
  <si>
    <t>1296</t>
  </si>
  <si>
    <t>514</t>
  </si>
  <si>
    <t>10</t>
  </si>
  <si>
    <t>01.07.2025.</t>
  </si>
  <si>
    <t>31.07.2025.</t>
  </si>
  <si>
    <t>103-WT-170</t>
  </si>
  <si>
    <t>IHR2025000000476,IHR20250000000491</t>
  </si>
  <si>
    <t>ANT2025000000143,103-WT-171,103-WT-174,103-WT-175</t>
  </si>
  <si>
    <t>IHR2025000000489</t>
  </si>
  <si>
    <t>103-WT-173</t>
  </si>
  <si>
    <t>IHR2025000000493</t>
  </si>
  <si>
    <t>ANT2025000000159</t>
  </si>
  <si>
    <t>IHR2025000000506</t>
  </si>
  <si>
    <t>IHR2025000000515</t>
  </si>
  <si>
    <t>1039</t>
  </si>
  <si>
    <t>894</t>
  </si>
  <si>
    <t>445</t>
  </si>
  <si>
    <t>01.08.2025.</t>
  </si>
  <si>
    <t>31.08.2025.</t>
  </si>
  <si>
    <t>IHR2025000000530</t>
  </si>
  <si>
    <t>IHR2025000000534</t>
  </si>
  <si>
    <t>IHR2025000000535</t>
  </si>
  <si>
    <t>ANT2025000000176  , 103-WT-177,178,179</t>
  </si>
  <si>
    <t>103-WT-180,103-WT-183</t>
  </si>
  <si>
    <t>ANT2025000000183</t>
  </si>
  <si>
    <t>ANT2025000000189</t>
  </si>
  <si>
    <t>ANT2025000000190</t>
  </si>
  <si>
    <t>IHR2025000000566/565</t>
  </si>
  <si>
    <t>01.09.2025.</t>
  </si>
  <si>
    <t>30.09.2025.</t>
  </si>
  <si>
    <t>Manual unloading CONSUMABLE</t>
  </si>
  <si>
    <t>Manual loading  CONSUMABLE</t>
  </si>
  <si>
    <t>IHR2025000000569,IHR2025000000567</t>
  </si>
  <si>
    <t>ANT2025000000187103-WT-189-567,187,603</t>
  </si>
  <si>
    <t>IHR2025000000603</t>
  </si>
  <si>
    <t>IHR2025000000619</t>
  </si>
  <si>
    <t>IHR2025000000624</t>
  </si>
  <si>
    <t>ANT2025000000220,ANT2025000000221</t>
  </si>
  <si>
    <t>IHR2025000000630</t>
  </si>
  <si>
    <t>ANT2025000000219,</t>
  </si>
  <si>
    <t>IHR2025000000625,IHR2025000000623</t>
  </si>
  <si>
    <t>IHR202000000593</t>
  </si>
  <si>
    <t>IHR2025000000635</t>
  </si>
  <si>
    <t>IHR2025000000636</t>
  </si>
  <si>
    <t>MKSR2025000001</t>
  </si>
  <si>
    <t>IHR2025000000651/652</t>
  </si>
  <si>
    <t>IHR2025000000650/649/642</t>
  </si>
  <si>
    <t>01.10.2025.</t>
  </si>
  <si>
    <t>IHR2025000000639,IHR2025000000656</t>
  </si>
  <si>
    <t>IHR2025000000653,103-WT-191-192,193</t>
  </si>
  <si>
    <t>GRMSRB001</t>
  </si>
  <si>
    <t>103-WT-194</t>
  </si>
  <si>
    <t>GRMSRB022</t>
  </si>
  <si>
    <t>IHR2025000000663</t>
  </si>
  <si>
    <t>IHR2025000000672,</t>
  </si>
  <si>
    <t>IHR2025000000667,IHR2025000000671</t>
  </si>
  <si>
    <t>IHR2025000000676/ANT2025000000244</t>
  </si>
  <si>
    <t>ANT2025000000243</t>
  </si>
  <si>
    <t>ANT2025000000235</t>
  </si>
  <si>
    <t>IHR2025000000679</t>
  </si>
  <si>
    <t>IHR2025000000691</t>
  </si>
  <si>
    <t>IHR2025000000689/IHR2025000000690</t>
  </si>
  <si>
    <t>IHR2025000000701</t>
  </si>
  <si>
    <t>ANT2025000000251</t>
  </si>
  <si>
    <t>IHR2025000000698</t>
  </si>
  <si>
    <t>IHR2025000000711/IHR2025000000710</t>
  </si>
  <si>
    <t>103-WT-196</t>
  </si>
  <si>
    <t>IHR2025000000709</t>
  </si>
  <si>
    <t>GRMSRB023</t>
  </si>
  <si>
    <t>IHR2025000000714/IHR2025000000715</t>
  </si>
  <si>
    <t>IHR2025000000725</t>
  </si>
  <si>
    <t>IHR2025000000719/IHR2025000000726</t>
  </si>
  <si>
    <t>IHR2025000000713</t>
  </si>
  <si>
    <t>IHR2025000000729</t>
  </si>
  <si>
    <t>IHR2025000000723/103-WT-197</t>
  </si>
  <si>
    <t>31.10.2025.</t>
  </si>
  <si>
    <t>01.11.2025.</t>
  </si>
  <si>
    <t>30.11.2025.</t>
  </si>
  <si>
    <t>103-WT-198,103-WT-199,103-WT-200</t>
  </si>
  <si>
    <t>IHR2025000000734</t>
  </si>
  <si>
    <t>103-WT-201,IHR2025000000735</t>
  </si>
  <si>
    <t>ANT2025000000266</t>
  </si>
  <si>
    <t>IHR2025000000737,</t>
  </si>
  <si>
    <t>ANT2025000000265</t>
  </si>
  <si>
    <t>IHR2025000000744,IHR2025000000748</t>
  </si>
  <si>
    <t>IHR2025000000743</t>
  </si>
  <si>
    <t>IHR2025000000749</t>
  </si>
  <si>
    <t>IHR2025000000758</t>
  </si>
  <si>
    <t>IHR2025000000750,IHR2025000000751</t>
  </si>
  <si>
    <t>IHR2025000000760.</t>
  </si>
  <si>
    <t>IHR2025000000764</t>
  </si>
  <si>
    <t>IHR2025000000770</t>
  </si>
  <si>
    <t>IHR2025000000771</t>
  </si>
  <si>
    <t>ANT2025000000284</t>
  </si>
  <si>
    <t>IHR2025000000774,IHR2025000000782</t>
  </si>
  <si>
    <t>ANT2025000000279,IHR2025000000765</t>
  </si>
  <si>
    <t>ANT2025000000280,IHR2025000000768,IHR2025000000780</t>
  </si>
  <si>
    <t>IHR2025000000788</t>
  </si>
  <si>
    <t>Calculation of storage for the period - DIFFERENCE</t>
  </si>
  <si>
    <t>Outbound boxes June</t>
  </si>
  <si>
    <t>Outbound boxes May</t>
  </si>
  <si>
    <t>IHR2025000000801,IHR2025000000796</t>
  </si>
  <si>
    <t>IHR20250000000790</t>
  </si>
  <si>
    <t>IHR2025000000804</t>
  </si>
  <si>
    <t>IHR2025000000811</t>
  </si>
  <si>
    <t>IHR2025000000806</t>
  </si>
  <si>
    <t xml:space="preserve">Manual loading  </t>
  </si>
  <si>
    <t>Outbound boxes July</t>
  </si>
  <si>
    <t>01.12.2025.</t>
  </si>
  <si>
    <t>31.12.2025.</t>
  </si>
  <si>
    <t>103-WT-202,203,204,205,206,207</t>
  </si>
  <si>
    <t>IHR2025000000818,IHR2025000000809,IHR2025000000812</t>
  </si>
  <si>
    <t>103-WT-208,209,210,211</t>
  </si>
  <si>
    <t>IHR2025000000815,ANT2025000000297,IHR2025000000810</t>
  </si>
  <si>
    <t>ANT2025000000306</t>
  </si>
  <si>
    <t>IHR2025000000835,IHR2025000000834</t>
  </si>
  <si>
    <t>IHR2025000000839</t>
  </si>
  <si>
    <t>IHR2025000000840</t>
  </si>
  <si>
    <t>IHR2025000000846</t>
  </si>
  <si>
    <t>ANT2025000000312</t>
  </si>
  <si>
    <t>103-WT-213</t>
  </si>
  <si>
    <t>IHR2025000000838</t>
  </si>
  <si>
    <t>IHR2025000000853</t>
  </si>
  <si>
    <t>IHR2025000000857</t>
  </si>
  <si>
    <t>IHR2025000000864</t>
  </si>
  <si>
    <t>IHR2025000000868</t>
  </si>
  <si>
    <t>ANT2025000000326</t>
  </si>
  <si>
    <t>IHR2025000000879</t>
  </si>
  <si>
    <t>ANT2025000000327</t>
  </si>
  <si>
    <t>ANT2025000000337,IHR2025000000884</t>
  </si>
  <si>
    <t>IHR2025000000882</t>
  </si>
  <si>
    <t>01.01.2026.</t>
  </si>
  <si>
    <t>31.01.2026.</t>
  </si>
  <si>
    <t>ANT2026000000005</t>
  </si>
  <si>
    <t>103-WT-214</t>
  </si>
  <si>
    <t>IHR2026000000003,103-WT-215</t>
  </si>
  <si>
    <t>IHR2026000000014</t>
  </si>
  <si>
    <t>ANT2026000000009</t>
  </si>
  <si>
    <t>103-WT-217</t>
  </si>
  <si>
    <t>IHR2026000000004,IHR2026000000005,103-WT-216</t>
  </si>
  <si>
    <t>01.02.2026.</t>
  </si>
  <si>
    <t>28.02.2026.</t>
  </si>
  <si>
    <t>103-WT-220</t>
  </si>
  <si>
    <t>01.03.2026.</t>
  </si>
  <si>
    <t>31.03.2026.</t>
  </si>
  <si>
    <t>IHR2026000000063</t>
  </si>
  <si>
    <t>103-WT-227</t>
  </si>
  <si>
    <t>IHR2026000000078,103-WT-226</t>
  </si>
  <si>
    <t>ANT2026000000037</t>
  </si>
  <si>
    <t>IHR2026000000083</t>
  </si>
  <si>
    <t>ANT2026000000042,IHR2026000000097</t>
  </si>
  <si>
    <t>IHR2026000000098,103-WT-228</t>
  </si>
  <si>
    <t>IHR2026000000105</t>
  </si>
  <si>
    <t>IHR2026000000110</t>
  </si>
  <si>
    <t>IHR2026000000077,</t>
  </si>
  <si>
    <t>01.04.2026.</t>
  </si>
  <si>
    <t>30.04.2026.</t>
  </si>
  <si>
    <t>103-WT-235,103-WT-229</t>
  </si>
  <si>
    <t>103-WT-232</t>
  </si>
  <si>
    <t>103-WT-233,IHR2026000000118</t>
  </si>
  <si>
    <t>IHR2026000000120,IHR2026000000123</t>
  </si>
  <si>
    <t>IHR2026000000127</t>
  </si>
  <si>
    <t>IHR2026000000126</t>
  </si>
  <si>
    <t>103-WT-234</t>
  </si>
  <si>
    <t>IHR2026000000133</t>
  </si>
  <si>
    <t>IHR2026000000136</t>
  </si>
  <si>
    <t>ANT2026000000058,ANT2026000000059</t>
  </si>
  <si>
    <t>IHR2026000000139,IHR2026000000143,IHR2026000000145</t>
  </si>
  <si>
    <t>103-WT-236</t>
  </si>
  <si>
    <t>01.05.2026.</t>
  </si>
  <si>
    <t>31.05.2026.</t>
  </si>
  <si>
    <t>103-WT-237,IHR2026000000155</t>
  </si>
  <si>
    <t>IHR2026000000157</t>
  </si>
  <si>
    <t>IHR2026000000161</t>
  </si>
  <si>
    <t>ANT2026000000071</t>
  </si>
  <si>
    <t>IHR2026000000160</t>
  </si>
  <si>
    <t>IHR2026000000166</t>
  </si>
  <si>
    <t>IHR2026000000168</t>
  </si>
  <si>
    <t>ANT2026000000076</t>
  </si>
  <si>
    <t>IHR2026000000176</t>
  </si>
  <si>
    <t>No of pallets</t>
  </si>
  <si>
    <t>STORAGE PALL</t>
  </si>
  <si>
    <t>103-WT-238</t>
  </si>
  <si>
    <t>IHR2026000000177</t>
  </si>
  <si>
    <t>IHR2026000000187</t>
  </si>
  <si>
    <t>IHR2026000000181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</si>
</sst>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dd/mm/yyyy;@"/>
    <numFmt numFmtId="165" formatCode="0.0000"/>
    <numFmt numFmtId="166" formatCode="_-* #,##0.00\ [$€-1]_-;\-* #,##0.00\ [$€-1]_-;_-* &quot;-&quot;??\ [$€-1]_-;_-@_-"/>
    <numFmt numFmtId="167" formatCode="_-* #,##0.00\ [$RSD-241A]_-;\-* #,##0.00\ [$RSD-241A]_-;_-* &quot;-&quot;??\ [$RSD-241A]_-;_-@_-"/>
    <numFmt numFmtId="168" formatCode="_-* #,##0.000\ [$€-1]_-;\-* #,##0.000\ [$€-1]_-;_-* &quot;-&quot;??\ [$€-1]_-;_-@_-"/>
    <numFmt numFmtId="169" formatCode="_-* #,##0.00\ _R_S_D_-;\-* #,##0.00\ _R_S_D_-;_-* &quot;-&quot;??\ _R_S_D_-;_-@_-"/>
  </numFmts>
  <fonts count="35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</font>
    <font>
      <sz val="8"/>
      <color indexed="55"/>
      <name val="Arial"/>
      <family val="2"/>
      <charset val="238"/>
    </font>
    <font>
      <u/>
      <sz val="11"/>
      <color indexed="12"/>
      <name val="Arial"/>
      <family val="2"/>
      <charset val="238"/>
    </font>
    <font>
      <u/>
      <sz val="8"/>
      <color indexed="55"/>
      <name val="Arial"/>
      <family val="2"/>
      <charset val="238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38"/>
    </font>
    <font>
      <sz val="11"/>
      <name val="Arial"/>
      <family val="2"/>
      <charset val="238"/>
    </font>
    <font>
      <sz val="8"/>
      <name val="Tahoma"/>
      <family val="2"/>
      <charset val="238"/>
    </font>
    <font>
      <b/>
      <sz val="8"/>
      <color theme="1"/>
      <name val="Tahoma"/>
      <family val="2"/>
      <charset val="238"/>
    </font>
    <font>
      <sz val="11"/>
      <color rgb="FF202020"/>
      <name val="Trebuchet MS"/>
      <family val="2"/>
    </font>
    <font>
      <sz val="11"/>
      <color rgb="FF000000"/>
      <name val="Calibri"/>
      <family val="2"/>
      <charset val="238"/>
    </font>
    <font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indexed="8"/>
      <name val="Arial"/>
      <family val="2"/>
      <charset val="204"/>
    </font>
    <font>
      <sz val="11"/>
      <color rgb="FF9C57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charset val="238"/>
      <scheme val="minor"/>
    </font>
    <font>
      <b/>
      <sz val="10"/>
      <color indexed="8"/>
      <name val="Arial"/>
      <family val="2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27" fillId="8" borderId="0" applyNumberFormat="0" applyBorder="0" applyAlignment="0" applyProtection="0"/>
    <xf numFmtId="0" fontId="2" fillId="0" borderId="0"/>
    <xf numFmtId="0" fontId="31" fillId="8" borderId="0" applyNumberFormat="0" applyBorder="0" applyAlignment="0" applyProtection="0"/>
    <xf numFmtId="0" fontId="1" fillId="0" borderId="0"/>
    <xf numFmtId="0" fontId="32" fillId="0" borderId="0"/>
  </cellStyleXfs>
  <cellXfs count="170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 applyAlignment="1">
      <alignment horizontal="left"/>
    </xf>
    <xf numFmtId="1" fontId="4" fillId="0" borderId="10" xfId="0" applyNumberFormat="1" applyFont="1" applyBorder="1" applyAlignment="1">
      <alignment horizontal="right"/>
    </xf>
    <xf numFmtId="2" fontId="4" fillId="0" borderId="11" xfId="0" applyNumberFormat="1" applyFont="1" applyBorder="1"/>
    <xf numFmtId="2" fontId="4" fillId="0" borderId="12" xfId="0" applyNumberFormat="1" applyFont="1" applyBorder="1" applyAlignment="1">
      <alignment horizontal="right"/>
    </xf>
    <xf numFmtId="2" fontId="4" fillId="0" borderId="10" xfId="0" applyNumberFormat="1" applyFont="1" applyBorder="1"/>
    <xf numFmtId="2" fontId="4" fillId="0" borderId="9" xfId="0" applyNumberFormat="1" applyFont="1" applyBorder="1"/>
    <xf numFmtId="1" fontId="4" fillId="0" borderId="10" xfId="0" applyNumberFormat="1" applyFont="1" applyBorder="1" applyAlignment="1">
      <alignment horizontal="left"/>
    </xf>
    <xf numFmtId="1" fontId="4" fillId="0" borderId="10" xfId="0" applyNumberFormat="1" applyFont="1" applyBorder="1"/>
    <xf numFmtId="0" fontId="0" fillId="0" borderId="10" xfId="0" applyBorder="1"/>
    <xf numFmtId="0" fontId="6" fillId="0" borderId="14" xfId="0" applyFont="1" applyBorder="1" applyAlignment="1">
      <alignment horizontal="right"/>
    </xf>
    <xf numFmtId="2" fontId="6" fillId="0" borderId="15" xfId="0" applyNumberFormat="1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left"/>
    </xf>
    <xf numFmtId="2" fontId="12" fillId="0" borderId="0" xfId="1" applyNumberFormat="1" applyFont="1" applyBorder="1" applyAlignment="1" applyProtection="1"/>
    <xf numFmtId="0" fontId="4" fillId="2" borderId="17" xfId="0" applyFont="1" applyFill="1" applyBorder="1" applyAlignment="1">
      <alignment wrapText="1"/>
    </xf>
    <xf numFmtId="0" fontId="4" fillId="2" borderId="18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" fontId="4" fillId="0" borderId="11" xfId="0" applyNumberFormat="1" applyFont="1" applyBorder="1" applyAlignment="1">
      <alignment horizontal="right"/>
    </xf>
    <xf numFmtId="2" fontId="0" fillId="0" borderId="19" xfId="0" applyNumberFormat="1" applyBorder="1"/>
    <xf numFmtId="2" fontId="4" fillId="0" borderId="21" xfId="0" applyNumberFormat="1" applyFont="1" applyBorder="1"/>
    <xf numFmtId="2" fontId="4" fillId="0" borderId="24" xfId="0" applyNumberFormat="1" applyFont="1" applyBorder="1"/>
    <xf numFmtId="2" fontId="4" fillId="0" borderId="12" xfId="0" applyNumberFormat="1" applyFont="1" applyBorder="1"/>
    <xf numFmtId="1" fontId="4" fillId="0" borderId="20" xfId="0" applyNumberFormat="1" applyFont="1" applyBorder="1"/>
    <xf numFmtId="0" fontId="0" fillId="0" borderId="20" xfId="0" applyBorder="1"/>
    <xf numFmtId="2" fontId="4" fillId="2" borderId="26" xfId="0" applyNumberFormat="1" applyFont="1" applyFill="1" applyBorder="1" applyAlignment="1">
      <alignment horizontal="right"/>
    </xf>
    <xf numFmtId="2" fontId="4" fillId="2" borderId="27" xfId="0" applyNumberFormat="1" applyFont="1" applyFill="1" applyBorder="1" applyAlignment="1">
      <alignment horizontal="right"/>
    </xf>
    <xf numFmtId="2" fontId="0" fillId="0" borderId="5" xfId="0" applyNumberFormat="1" applyBorder="1"/>
    <xf numFmtId="2" fontId="0" fillId="0" borderId="9" xfId="0" applyNumberFormat="1" applyBorder="1"/>
    <xf numFmtId="0" fontId="0" fillId="0" borderId="28" xfId="0" quotePrefix="1" applyBorder="1"/>
    <xf numFmtId="0" fontId="0" fillId="0" borderId="28" xfId="0" applyBorder="1"/>
    <xf numFmtId="2" fontId="0" fillId="0" borderId="28" xfId="0" applyNumberFormat="1" applyBorder="1"/>
    <xf numFmtId="0" fontId="0" fillId="0" borderId="27" xfId="0" quotePrefix="1" applyBorder="1"/>
    <xf numFmtId="0" fontId="0" fillId="0" borderId="27" xfId="0" applyBorder="1"/>
    <xf numFmtId="2" fontId="0" fillId="0" borderId="27" xfId="0" applyNumberFormat="1" applyBorder="1"/>
    <xf numFmtId="166" fontId="0" fillId="0" borderId="28" xfId="0" applyNumberFormat="1" applyBorder="1"/>
    <xf numFmtId="166" fontId="0" fillId="0" borderId="27" xfId="0" applyNumberFormat="1" applyBorder="1"/>
    <xf numFmtId="167" fontId="0" fillId="0" borderId="28" xfId="0" applyNumberFormat="1" applyBorder="1"/>
    <xf numFmtId="167" fontId="9" fillId="0" borderId="0" xfId="0" applyNumberFormat="1" applyFont="1"/>
    <xf numFmtId="166" fontId="9" fillId="0" borderId="0" xfId="0" applyNumberFormat="1" applyFont="1"/>
    <xf numFmtId="0" fontId="13" fillId="0" borderId="0" xfId="0" applyFont="1"/>
    <xf numFmtId="0" fontId="4" fillId="2" borderId="16" xfId="0" applyFont="1" applyFill="1" applyBorder="1" applyAlignment="1">
      <alignment horizontal="right" wrapText="1"/>
    </xf>
    <xf numFmtId="2" fontId="4" fillId="0" borderId="7" xfId="0" applyNumberFormat="1" applyFont="1" applyBorder="1" applyAlignment="1">
      <alignment horizontal="right"/>
    </xf>
    <xf numFmtId="2" fontId="4" fillId="0" borderId="11" xfId="0" applyNumberFormat="1" applyFont="1" applyBorder="1" applyAlignment="1">
      <alignment horizontal="right"/>
    </xf>
    <xf numFmtId="2" fontId="4" fillId="0" borderId="21" xfId="0" applyNumberFormat="1" applyFont="1" applyBorder="1" applyAlignment="1">
      <alignment horizontal="right"/>
    </xf>
    <xf numFmtId="2" fontId="14" fillId="0" borderId="11" xfId="0" applyNumberFormat="1" applyFont="1" applyBorder="1" applyAlignment="1">
      <alignment horizontal="right"/>
    </xf>
    <xf numFmtId="168" fontId="0" fillId="0" borderId="28" xfId="0" applyNumberFormat="1" applyBorder="1"/>
    <xf numFmtId="168" fontId="0" fillId="0" borderId="27" xfId="0" applyNumberFormat="1" applyBorder="1"/>
    <xf numFmtId="41" fontId="0" fillId="0" borderId="0" xfId="2" applyFont="1"/>
    <xf numFmtId="169" fontId="0" fillId="0" borderId="0" xfId="0" applyNumberFormat="1"/>
    <xf numFmtId="2" fontId="4" fillId="0" borderId="31" xfId="0" applyNumberFormat="1" applyFont="1" applyBorder="1"/>
    <xf numFmtId="2" fontId="16" fillId="0" borderId="12" xfId="0" applyNumberFormat="1" applyFont="1" applyBorder="1"/>
    <xf numFmtId="2" fontId="4" fillId="0" borderId="32" xfId="0" applyNumberFormat="1" applyFont="1" applyBorder="1" applyAlignment="1">
      <alignment horizontal="right"/>
    </xf>
    <xf numFmtId="2" fontId="4" fillId="0" borderId="32" xfId="0" applyNumberFormat="1" applyFont="1" applyBorder="1"/>
    <xf numFmtId="2" fontId="4" fillId="3" borderId="32" xfId="0" applyNumberFormat="1" applyFont="1" applyFill="1" applyBorder="1"/>
    <xf numFmtId="2" fontId="4" fillId="0" borderId="33" xfId="0" applyNumberFormat="1" applyFont="1" applyBorder="1"/>
    <xf numFmtId="2" fontId="6" fillId="2" borderId="34" xfId="0" applyNumberFormat="1" applyFont="1" applyFill="1" applyBorder="1" applyAlignment="1">
      <alignment horizontal="right"/>
    </xf>
    <xf numFmtId="2" fontId="4" fillId="0" borderId="36" xfId="0" applyNumberFormat="1" applyFont="1" applyBorder="1"/>
    <xf numFmtId="0" fontId="4" fillId="2" borderId="35" xfId="0" applyFont="1" applyFill="1" applyBorder="1" applyAlignment="1">
      <alignment wrapText="1"/>
    </xf>
    <xf numFmtId="0" fontId="17" fillId="0" borderId="0" xfId="0" applyFont="1"/>
    <xf numFmtId="0" fontId="0" fillId="0" borderId="11" xfId="0" applyBorder="1" applyAlignment="1">
      <alignment horizontal="left"/>
    </xf>
    <xf numFmtId="0" fontId="0" fillId="4" borderId="0" xfId="0" applyFill="1" applyAlignment="1">
      <alignment horizontal="right"/>
    </xf>
    <xf numFmtId="0" fontId="18" fillId="3" borderId="0" xfId="0" applyFont="1" applyFill="1"/>
    <xf numFmtId="49" fontId="19" fillId="0" borderId="37" xfId="0" applyNumberFormat="1" applyFont="1" applyBorder="1" applyAlignment="1">
      <alignment horizontal="left" vertical="center" wrapText="1"/>
    </xf>
    <xf numFmtId="49" fontId="20" fillId="3" borderId="11" xfId="0" applyNumberFormat="1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right" wrapText="1"/>
    </xf>
    <xf numFmtId="0" fontId="21" fillId="4" borderId="0" xfId="0" applyFont="1" applyFill="1"/>
    <xf numFmtId="1" fontId="17" fillId="0" borderId="0" xfId="0" applyNumberFormat="1" applyFont="1"/>
    <xf numFmtId="0" fontId="0" fillId="0" borderId="11" xfId="0" applyBorder="1"/>
    <xf numFmtId="2" fontId="4" fillId="2" borderId="11" xfId="0" applyNumberFormat="1" applyFont="1" applyFill="1" applyBorder="1" applyAlignment="1">
      <alignment horizontal="right"/>
    </xf>
    <xf numFmtId="2" fontId="0" fillId="0" borderId="11" xfId="0" applyNumberFormat="1" applyBorder="1"/>
    <xf numFmtId="0" fontId="0" fillId="4" borderId="0" xfId="0" applyFill="1"/>
    <xf numFmtId="0" fontId="0" fillId="5" borderId="0" xfId="0" applyFill="1"/>
    <xf numFmtId="0" fontId="0" fillId="0" borderId="38" xfId="0" applyBorder="1"/>
    <xf numFmtId="0" fontId="0" fillId="4" borderId="15" xfId="0" applyFill="1" applyBorder="1"/>
    <xf numFmtId="0" fontId="0" fillId="3" borderId="11" xfId="0" applyFill="1" applyBorder="1"/>
    <xf numFmtId="1" fontId="4" fillId="6" borderId="11" xfId="0" applyNumberFormat="1" applyFont="1" applyFill="1" applyBorder="1" applyAlignment="1">
      <alignment horizontal="right"/>
    </xf>
    <xf numFmtId="2" fontId="4" fillId="6" borderId="11" xfId="0" applyNumberFormat="1" applyFont="1" applyFill="1" applyBorder="1" applyAlignment="1">
      <alignment horizontal="right"/>
    </xf>
    <xf numFmtId="1" fontId="4" fillId="6" borderId="11" xfId="0" applyNumberFormat="1" applyFont="1" applyFill="1" applyBorder="1" applyAlignment="1">
      <alignment horizontal="left"/>
    </xf>
    <xf numFmtId="0" fontId="0" fillId="6" borderId="11" xfId="0" applyFill="1" applyBorder="1"/>
    <xf numFmtId="0" fontId="22" fillId="0" borderId="11" xfId="0" applyFont="1" applyBorder="1" applyAlignment="1">
      <alignment vertical="center"/>
    </xf>
    <xf numFmtId="0" fontId="0" fillId="2" borderId="11" xfId="0" applyFill="1" applyBorder="1"/>
    <xf numFmtId="1" fontId="4" fillId="6" borderId="11" xfId="0" applyNumberFormat="1" applyFont="1" applyFill="1" applyBorder="1"/>
    <xf numFmtId="2" fontId="4" fillId="0" borderId="11" xfId="0" applyNumberFormat="1" applyFont="1" applyBorder="1" applyAlignment="1">
      <alignment horizontal="left"/>
    </xf>
    <xf numFmtId="14" fontId="0" fillId="0" borderId="0" xfId="0" applyNumberFormat="1"/>
    <xf numFmtId="0" fontId="7" fillId="4" borderId="0" xfId="0" applyFont="1" applyFill="1"/>
    <xf numFmtId="49" fontId="0" fillId="0" borderId="11" xfId="0" applyNumberFormat="1" applyBorder="1"/>
    <xf numFmtId="1" fontId="4" fillId="0" borderId="11" xfId="0" applyNumberFormat="1" applyFont="1" applyBorder="1" applyAlignment="1">
      <alignment horizontal="left"/>
    </xf>
    <xf numFmtId="2" fontId="23" fillId="0" borderId="11" xfId="0" applyNumberFormat="1" applyFont="1" applyBorder="1"/>
    <xf numFmtId="0" fontId="24" fillId="3" borderId="11" xfId="0" applyFont="1" applyFill="1" applyBorder="1"/>
    <xf numFmtId="0" fontId="0" fillId="0" borderId="11" xfId="0" applyBorder="1" applyAlignment="1">
      <alignment horizontal="right"/>
    </xf>
    <xf numFmtId="1" fontId="4" fillId="0" borderId="11" xfId="0" applyNumberFormat="1" applyFont="1" applyBorder="1"/>
    <xf numFmtId="1" fontId="17" fillId="0" borderId="11" xfId="0" applyNumberFormat="1" applyFont="1" applyBorder="1"/>
    <xf numFmtId="2" fontId="16" fillId="0" borderId="11" xfId="0" applyNumberFormat="1" applyFont="1" applyBorder="1"/>
    <xf numFmtId="0" fontId="18" fillId="3" borderId="11" xfId="0" applyFont="1" applyFill="1" applyBorder="1"/>
    <xf numFmtId="2" fontId="4" fillId="3" borderId="11" xfId="0" applyNumberFormat="1" applyFont="1" applyFill="1" applyBorder="1"/>
    <xf numFmtId="2" fontId="4" fillId="6" borderId="11" xfId="0" applyNumberFormat="1" applyFont="1" applyFill="1" applyBorder="1" applyAlignment="1">
      <alignment horizontal="left"/>
    </xf>
    <xf numFmtId="0" fontId="22" fillId="0" borderId="11" xfId="0" applyFont="1" applyBorder="1" applyAlignment="1">
      <alignment horizontal="left" vertical="center"/>
    </xf>
    <xf numFmtId="0" fontId="0" fillId="6" borderId="11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24" fillId="7" borderId="11" xfId="0" applyFont="1" applyFill="1" applyBorder="1"/>
    <xf numFmtId="0" fontId="24" fillId="6" borderId="11" xfId="0" applyFont="1" applyFill="1" applyBorder="1"/>
    <xf numFmtId="0" fontId="25" fillId="3" borderId="11" xfId="0" applyFont="1" applyFill="1" applyBorder="1"/>
    <xf numFmtId="1" fontId="26" fillId="6" borderId="11" xfId="0" applyNumberFormat="1" applyFont="1" applyFill="1" applyBorder="1"/>
    <xf numFmtId="0" fontId="0" fillId="0" borderId="39" xfId="0" applyBorder="1" applyAlignment="1">
      <alignment horizontal="right"/>
    </xf>
    <xf numFmtId="0" fontId="7" fillId="0" borderId="0" xfId="0" applyFont="1"/>
    <xf numFmtId="2" fontId="4" fillId="2" borderId="39" xfId="0" applyNumberFormat="1" applyFont="1" applyFill="1" applyBorder="1" applyAlignment="1">
      <alignment horizontal="right"/>
    </xf>
    <xf numFmtId="0" fontId="6" fillId="0" borderId="11" xfId="0" applyFont="1" applyBorder="1" applyAlignment="1">
      <alignment horizontal="right"/>
    </xf>
    <xf numFmtId="2" fontId="6" fillId="0" borderId="11" xfId="0" applyNumberFormat="1" applyFont="1" applyBorder="1" applyAlignment="1">
      <alignment horizontal="right"/>
    </xf>
    <xf numFmtId="14" fontId="28" fillId="3" borderId="11" xfId="0" applyNumberFormat="1" applyFont="1" applyFill="1" applyBorder="1"/>
    <xf numFmtId="0" fontId="29" fillId="3" borderId="11" xfId="3" applyFont="1" applyFill="1" applyBorder="1"/>
    <xf numFmtId="0" fontId="30" fillId="2" borderId="18" xfId="0" applyFont="1" applyFill="1" applyBorder="1" applyAlignment="1">
      <alignment wrapText="1"/>
    </xf>
    <xf numFmtId="0" fontId="30" fillId="2" borderId="17" xfId="0" applyFont="1" applyFill="1" applyBorder="1" applyAlignment="1">
      <alignment wrapText="1"/>
    </xf>
    <xf numFmtId="49" fontId="2" fillId="0" borderId="11" xfId="4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17" fillId="3" borderId="11" xfId="0" applyFont="1" applyFill="1" applyBorder="1"/>
    <xf numFmtId="49" fontId="0" fillId="0" borderId="11" xfId="0" applyNumberFormat="1" applyBorder="1" applyAlignment="1">
      <alignment horizontal="right"/>
    </xf>
    <xf numFmtId="0" fontId="2" fillId="0" borderId="11" xfId="4" applyBorder="1" applyAlignment="1">
      <alignment horizontal="right"/>
    </xf>
    <xf numFmtId="0" fontId="0" fillId="0" borderId="11" xfId="0" applyBorder="1" applyAlignment="1">
      <alignment horizontal="center"/>
    </xf>
    <xf numFmtId="0" fontId="1" fillId="0" borderId="11" xfId="6" applyBorder="1"/>
    <xf numFmtId="0" fontId="0" fillId="0" borderId="40" xfId="0" applyBorder="1" applyAlignment="1">
      <alignment horizontal="center"/>
    </xf>
    <xf numFmtId="0" fontId="33" fillId="0" borderId="11" xfId="0" applyFont="1" applyBorder="1"/>
    <xf numFmtId="0" fontId="33" fillId="3" borderId="11" xfId="0" applyFont="1" applyFill="1" applyBorder="1"/>
    <xf numFmtId="0" fontId="33" fillId="0" borderId="11" xfId="0" applyFont="1" applyBorder="1" applyAlignment="1">
      <alignment horizontal="center"/>
    </xf>
    <xf numFmtId="0" fontId="28" fillId="3" borderId="11" xfId="0" applyFont="1" applyFill="1" applyBorder="1"/>
    <xf numFmtId="2" fontId="34" fillId="0" borderId="11" xfId="0" applyNumberFormat="1" applyFont="1" applyBorder="1" applyAlignment="1">
      <alignment horizontal="left"/>
    </xf>
    <xf numFmtId="0" fontId="28" fillId="0" borderId="0" xfId="0" applyFont="1"/>
    <xf numFmtId="1" fontId="34" fillId="6" borderId="11" xfId="0" applyNumberFormat="1" applyFont="1" applyFill="1" applyBorder="1" applyAlignment="1">
      <alignment horizontal="left"/>
    </xf>
    <xf numFmtId="0" fontId="28" fillId="0" borderId="0" xfId="0" applyFont="1" applyAlignment="1">
      <alignment horizontal="right"/>
    </xf>
    <xf numFmtId="2" fontId="34" fillId="6" borderId="11" xfId="0" applyNumberFormat="1" applyFont="1" applyFill="1" applyBorder="1" applyAlignment="1">
      <alignment horizontal="left"/>
    </xf>
    <xf numFmtId="0" fontId="28" fillId="6" borderId="11" xfId="0" applyFont="1" applyFill="1" applyBorder="1" applyAlignment="1">
      <alignment horizontal="left"/>
    </xf>
    <xf numFmtId="0" fontId="28" fillId="0" borderId="11" xfId="0" applyFont="1" applyBorder="1"/>
    <xf numFmtId="0" fontId="28" fillId="0" borderId="11" xfId="6" applyFont="1" applyBorder="1"/>
    <xf numFmtId="1" fontId="34" fillId="0" borderId="11" xfId="0" applyNumberFormat="1" applyFont="1" applyBorder="1" applyAlignment="1">
      <alignment horizontal="left"/>
    </xf>
    <xf numFmtId="0" fontId="28" fillId="0" borderId="11" xfId="0" applyFont="1" applyBorder="1" applyAlignment="1">
      <alignment horizontal="left"/>
    </xf>
    <xf numFmtId="165" fontId="21" fillId="4" borderId="0" xfId="0" applyNumberFormat="1" applyFont="1" applyFill="1"/>
    <xf numFmtId="0" fontId="33" fillId="0" borderId="0" xfId="0" applyFont="1"/>
    <xf numFmtId="0" fontId="28" fillId="0" borderId="0" xfId="0" applyFont="1" applyAlignment="1">
      <alignment horizontal="left"/>
    </xf>
    <xf numFmtId="0" fontId="32" fillId="0" borderId="11" xfId="7" applyBorder="1"/>
    <xf numFmtId="0" fontId="32" fillId="0" borderId="0" xfId="7"/>
    <xf numFmtId="0" fontId="32" fillId="0" borderId="11" xfId="7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15" fillId="0" borderId="11" xfId="7" applyNumberFormat="1" applyFont="1" applyBorder="1" applyAlignment="1">
      <alignment horizontal="center"/>
    </xf>
    <xf numFmtId="0" fontId="0" fillId="2" borderId="22" xfId="0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2" fontId="4" fillId="0" borderId="29" xfId="0" applyNumberFormat="1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0" fontId="5" fillId="0" borderId="11" xfId="0" applyFont="1" applyBorder="1"/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5" fillId="0" borderId="0" xfId="0" applyFont="1"/>
    <xf numFmtId="0" fontId="5" fillId="0" borderId="13" xfId="0" applyFont="1" applyBorder="1"/>
  </cellXfs>
  <cellStyles count="8">
    <cellStyle name="Comma [0]" xfId="2" builtinId="6"/>
    <cellStyle name="Hyperlink" xfId="1" builtinId="8"/>
    <cellStyle name="Neutral" xfId="3" builtinId="28"/>
    <cellStyle name="Neutral 2" xfId="5" xr:uid="{BD365A22-152B-4E16-B311-3EA9F2E3AB3E}"/>
    <cellStyle name="Normal" xfId="0" builtinId="0"/>
    <cellStyle name="Normal 2" xfId="4" xr:uid="{3315B671-0125-45A0-9626-6D43D38991F1}"/>
    <cellStyle name="Normal 2 2" xfId="7" xr:uid="{F2C2F254-E34F-4E90-AF0D-1ADC508F5698}"/>
    <cellStyle name="Normal 3" xfId="6" xr:uid="{76C9C569-46A5-45EF-822D-D20989109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42480-1941-472F-BEB1-06B979088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9252E-C9E4-40D6-9F56-7D4913C38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52A09-F080-473A-A698-E9B295C78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19F67-B9D6-4C25-9898-4A5D4FED6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4FC05-BDEA-4485-A8EE-F92763D9A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D2273-11C8-44E2-ADC1-A3DA4298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C76A3-543C-4460-8CAC-6F19D10D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28575</xdr:rowOff>
    </xdr:from>
    <xdr:to>
      <xdr:col>10</xdr:col>
      <xdr:colOff>1028700</xdr:colOff>
      <xdr:row>4</xdr:row>
      <xdr:rowOff>49530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AE8D9-272E-47FB-AD74-E20354CC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0" y="28575"/>
          <a:ext cx="2933700" cy="7829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28575</xdr:rowOff>
    </xdr:from>
    <xdr:to>
      <xdr:col>10</xdr:col>
      <xdr:colOff>1028700</xdr:colOff>
      <xdr:row>4</xdr:row>
      <xdr:rowOff>49530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01F53-A6D1-4082-9134-F31B33B86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0" y="28575"/>
          <a:ext cx="2933700" cy="7829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FBF46-86B0-423D-80CA-FFC3CDFC5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CF84FB-D411-430A-A0E6-9D1BC3CD5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E4B644-C551-4796-B3A4-139F2B105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A44A1-5B59-445E-8D2E-17F39BB55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5C35-46D1-40E9-8417-C0FDDD047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45967F-B1E6-4C31-8C9E-95B8FA652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62207-9408-430E-AD99-0A36A1489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FD459-B75F-49CE-B6F8-887C4B0C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F6436-DF25-48A1-A63D-4BE1AB3FE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B6819-E85C-4490-BA4B-6D960A77F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5A1D9-09E8-4DA3-B65B-95E89D5BA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595" y="0"/>
          <a:ext cx="2931795" cy="72199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12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F7B41-8693-19DE-DEBC-A7A7467EB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627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EF445-1A1F-409F-AD29-23EF1411D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0950" y="0"/>
          <a:ext cx="2933700" cy="78295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AF07D-ECAE-4CE3-814D-3CE617E2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5235" y="0"/>
          <a:ext cx="2931795" cy="72199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93F17-8F6F-4A8C-BD40-17F9CF458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0950" y="0"/>
          <a:ext cx="2933700" cy="78295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00508-0D3F-448D-9C53-B8B106197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5235" y="0"/>
          <a:ext cx="2931795" cy="72199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4E8C5-093D-49E2-ADF6-8839B78F8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5235" y="0"/>
          <a:ext cx="2931795" cy="72199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6F5EA-EABA-4344-9808-1C5B8055C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0950" y="0"/>
          <a:ext cx="2933700" cy="7829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72E5C-7F02-4636-94AB-2CB092659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0950" y="0"/>
          <a:ext cx="2933700" cy="78295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53660-A5C9-4353-A883-042854ED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525" y="0"/>
          <a:ext cx="2933700" cy="78295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6F4A7-0DDE-4DCE-8400-C6B787FDB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525" y="0"/>
          <a:ext cx="2933700" cy="78295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AFB2C-BFC1-45A3-8848-1A765887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525" y="0"/>
          <a:ext cx="2933700" cy="78295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44258-9381-4C44-A3E9-012F19776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525" y="0"/>
          <a:ext cx="2933700" cy="78295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0B86DD-9BE8-41E6-B02F-275B1C2C9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525" y="0"/>
          <a:ext cx="2933700" cy="78295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4E31B-7408-4899-A6CB-53D79483F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0"/>
          <a:ext cx="2933700" cy="78295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C6998-AE87-46F2-A5DF-3A7AC58A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0"/>
          <a:ext cx="2933700" cy="78295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2C857-B09F-40AC-8936-29852C473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0"/>
          <a:ext cx="2933700" cy="78295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41B96-F2C2-42F8-B168-CFC35FD5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0"/>
          <a:ext cx="2933700" cy="78295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E079B-13C9-43C6-89CD-B3A332D78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0"/>
          <a:ext cx="2933700" cy="78295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049F6F-EB89-46B2-B42C-A91E59801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0"/>
          <a:ext cx="2933700" cy="78295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B3009-1759-4DD7-8B68-06F08B325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0"/>
          <a:ext cx="2933700" cy="78295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7F51A-E45B-4AE0-885E-92C6A6FB1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6495" y="0"/>
          <a:ext cx="2931795" cy="72199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72B27-0D20-4E70-9F9B-8AF8C461A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0"/>
          <a:ext cx="2933700" cy="78295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8155BE-F4D4-481C-B493-7075834B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0" y="0"/>
          <a:ext cx="2933700" cy="78295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328D-1B28-4EF5-A2AD-5827D3C26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0" y="0"/>
          <a:ext cx="2922270" cy="790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46DA-8D9E-4831-B29E-B6313F20CE69}">
  <dimension ref="A1:L59"/>
  <sheetViews>
    <sheetView tabSelected="1" view="pageBreakPreview" zoomScaleNormal="100" zoomScaleSheetLayoutView="100" workbookViewId="0">
      <selection activeCell="G11" sqref="G11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1106</v>
      </c>
      <c r="H3" s="4"/>
      <c r="I3" s="4"/>
    </row>
    <row r="4" spans="1:11" x14ac:dyDescent="0.25">
      <c r="B4" s="2"/>
      <c r="C4" s="6"/>
      <c r="F4" s="3" t="s">
        <v>1107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148">
        <v>117.4054</v>
      </c>
      <c r="F6" t="s">
        <v>42</v>
      </c>
      <c r="G6" s="88">
        <v>2605010617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1117</v>
      </c>
      <c r="F9" s="30" t="s">
        <v>49</v>
      </c>
      <c r="G9" s="78" t="s">
        <v>1117</v>
      </c>
      <c r="H9" s="124" t="s">
        <v>48</v>
      </c>
      <c r="I9" s="71" t="s">
        <v>1118</v>
      </c>
      <c r="J9" s="167"/>
      <c r="K9" s="157"/>
    </row>
    <row r="10" spans="1:11" ht="14.4" x14ac:dyDescent="0.3">
      <c r="A10" s="158" t="s">
        <v>62</v>
      </c>
      <c r="B10" s="159"/>
      <c r="C10" s="55"/>
      <c r="D10" s="8">
        <v>17017</v>
      </c>
      <c r="E10" s="9">
        <v>3</v>
      </c>
      <c r="F10" s="7"/>
      <c r="G10" s="8"/>
      <c r="H10" s="103"/>
      <c r="I10" s="136"/>
      <c r="J10" s="38"/>
      <c r="K10" s="40"/>
    </row>
    <row r="11" spans="1:11" ht="13.5" customHeight="1" x14ac:dyDescent="0.3">
      <c r="A11" s="96" t="s">
        <v>0</v>
      </c>
      <c r="B11" s="134" t="s">
        <v>1105</v>
      </c>
      <c r="C11" s="138"/>
      <c r="D11" s="12">
        <v>34</v>
      </c>
      <c r="E11" s="56">
        <v>2</v>
      </c>
      <c r="F11" s="12"/>
      <c r="G11" s="12"/>
      <c r="H11" s="151">
        <v>0</v>
      </c>
      <c r="I11" s="155">
        <f>E10+E11-H11</f>
        <v>5</v>
      </c>
      <c r="J11" s="119">
        <f>D10+D11-H11</f>
        <v>17051</v>
      </c>
      <c r="K11" s="83">
        <f>0.022*J11+0.27*I11</f>
        <v>376.47199999999998</v>
      </c>
    </row>
    <row r="12" spans="1:11" ht="14.25" customHeight="1" x14ac:dyDescent="0.3">
      <c r="A12" s="12" t="s">
        <v>1</v>
      </c>
      <c r="B12" s="152"/>
      <c r="C12"/>
      <c r="D12" s="12"/>
      <c r="E12" s="12"/>
      <c r="F12" s="12"/>
      <c r="G12" s="12"/>
      <c r="H12" s="81">
        <v>0</v>
      </c>
      <c r="I12" s="154">
        <f>I11+E12-G12</f>
        <v>5</v>
      </c>
      <c r="J12" s="119">
        <f>J11+D12-H12</f>
        <v>17051</v>
      </c>
      <c r="K12" s="83">
        <f t="shared" ref="K12:K41" si="0">0.022*J12+0.27*I12</f>
        <v>376.47199999999998</v>
      </c>
    </row>
    <row r="13" spans="1:11" ht="13.5" customHeight="1" x14ac:dyDescent="0.3">
      <c r="A13" s="12" t="s">
        <v>2</v>
      </c>
      <c r="B13" s="135"/>
      <c r="C13" s="150"/>
      <c r="D13" s="56"/>
      <c r="E13" s="56"/>
      <c r="F13" s="12"/>
      <c r="G13" s="12"/>
      <c r="H13" s="81">
        <v>0</v>
      </c>
      <c r="I13" s="154">
        <f t="shared" ref="I13:I41" si="1">I12+E13-G13</f>
        <v>5</v>
      </c>
      <c r="J13" s="119">
        <f t="shared" ref="J13:J41" si="2">J12+D13-H13</f>
        <v>17051</v>
      </c>
      <c r="K13" s="83">
        <f t="shared" si="0"/>
        <v>376.47199999999998</v>
      </c>
    </row>
    <row r="14" spans="1:11" ht="14.4" x14ac:dyDescent="0.3">
      <c r="A14" s="12" t="s">
        <v>3</v>
      </c>
      <c r="B14" t="s">
        <v>1108</v>
      </c>
      <c r="C14" s="137" t="s">
        <v>1109</v>
      </c>
      <c r="D14" s="12">
        <v>2459</v>
      </c>
      <c r="E14" s="12"/>
      <c r="F14" s="12"/>
      <c r="G14" s="12"/>
      <c r="H14" s="81">
        <v>0</v>
      </c>
      <c r="I14" s="154">
        <f t="shared" si="1"/>
        <v>5</v>
      </c>
      <c r="J14" s="119">
        <f t="shared" si="2"/>
        <v>19510</v>
      </c>
      <c r="K14" s="83">
        <f t="shared" si="0"/>
        <v>430.57</v>
      </c>
    </row>
    <row r="15" spans="1:11" ht="14.4" x14ac:dyDescent="0.3">
      <c r="A15" s="12" t="s">
        <v>4</v>
      </c>
      <c r="B15" s="135"/>
      <c r="C15" s="150"/>
      <c r="D15" s="12"/>
      <c r="E15" s="12"/>
      <c r="F15" s="12"/>
      <c r="G15" s="12"/>
      <c r="H15" s="81">
        <v>0</v>
      </c>
      <c r="I15" s="154">
        <f t="shared" si="1"/>
        <v>5</v>
      </c>
      <c r="J15" s="119">
        <f t="shared" si="2"/>
        <v>19510</v>
      </c>
      <c r="K15" s="83">
        <f t="shared" si="0"/>
        <v>430.57</v>
      </c>
    </row>
    <row r="16" spans="1:11" ht="14.4" x14ac:dyDescent="0.3">
      <c r="A16" s="12" t="s">
        <v>5</v>
      </c>
      <c r="C16" s="143"/>
      <c r="D16" s="12"/>
      <c r="E16" s="12"/>
      <c r="F16" s="12"/>
      <c r="G16" s="12"/>
      <c r="H16" s="81">
        <v>0</v>
      </c>
      <c r="I16" s="154">
        <f t="shared" si="1"/>
        <v>5</v>
      </c>
      <c r="J16" s="119">
        <f t="shared" si="2"/>
        <v>19510</v>
      </c>
      <c r="K16" s="83">
        <f t="shared" si="0"/>
        <v>430.57</v>
      </c>
    </row>
    <row r="17" spans="1:11" ht="14.4" x14ac:dyDescent="0.3">
      <c r="A17" s="12" t="s">
        <v>6</v>
      </c>
      <c r="B17" t="s">
        <v>1110</v>
      </c>
      <c r="C17" s="144"/>
      <c r="D17" s="12">
        <v>1642</v>
      </c>
      <c r="E17" s="12">
        <v>6</v>
      </c>
      <c r="F17" s="81"/>
      <c r="G17" s="12"/>
      <c r="H17" s="81">
        <v>860</v>
      </c>
      <c r="I17" s="154">
        <f t="shared" si="1"/>
        <v>11</v>
      </c>
      <c r="J17" s="119">
        <f t="shared" si="2"/>
        <v>20292</v>
      </c>
      <c r="K17" s="83">
        <f t="shared" si="0"/>
        <v>449.39400000000001</v>
      </c>
    </row>
    <row r="18" spans="1:11" ht="14.4" x14ac:dyDescent="0.3">
      <c r="A18" s="12" t="s">
        <v>7</v>
      </c>
      <c r="B18" s="144" t="s">
        <v>1111</v>
      </c>
      <c r="C18" s="134" t="s">
        <v>1112</v>
      </c>
      <c r="D18" s="12">
        <v>2229</v>
      </c>
      <c r="E18" s="12"/>
      <c r="F18" s="12"/>
      <c r="G18" s="12">
        <v>4</v>
      </c>
      <c r="H18" s="81">
        <v>665</v>
      </c>
      <c r="I18" s="154">
        <f t="shared" si="1"/>
        <v>7</v>
      </c>
      <c r="J18" s="119">
        <f t="shared" si="2"/>
        <v>21856</v>
      </c>
      <c r="K18" s="83">
        <f t="shared" si="0"/>
        <v>482.72199999999998</v>
      </c>
    </row>
    <row r="19" spans="1:11" ht="13.5" customHeight="1" x14ac:dyDescent="0.25">
      <c r="A19" s="12" t="s">
        <v>8</v>
      </c>
      <c r="C19"/>
      <c r="D19" s="12"/>
      <c r="E19" s="12"/>
      <c r="F19" s="81"/>
      <c r="G19" s="131"/>
      <c r="H19" s="81">
        <v>511</v>
      </c>
      <c r="I19" s="154">
        <f t="shared" si="1"/>
        <v>7</v>
      </c>
      <c r="J19" s="119">
        <f>J18+D19-H19</f>
        <v>21345</v>
      </c>
      <c r="K19" s="83">
        <f t="shared" si="0"/>
        <v>471.47999999999996</v>
      </c>
    </row>
    <row r="20" spans="1:11" ht="14.4" x14ac:dyDescent="0.3">
      <c r="A20" s="12" t="s">
        <v>9</v>
      </c>
      <c r="B20" s="137"/>
      <c r="C20" s="137"/>
      <c r="D20" s="12"/>
      <c r="E20" s="12"/>
      <c r="F20" s="81"/>
      <c r="G20" s="131"/>
      <c r="H20" s="81">
        <v>500</v>
      </c>
      <c r="I20" s="154">
        <f t="shared" si="1"/>
        <v>7</v>
      </c>
      <c r="J20" s="119">
        <f t="shared" si="2"/>
        <v>20845</v>
      </c>
      <c r="K20" s="83">
        <f t="shared" si="0"/>
        <v>460.47999999999996</v>
      </c>
    </row>
    <row r="21" spans="1:11" ht="14.4" x14ac:dyDescent="0.3">
      <c r="A21" s="12" t="s">
        <v>10</v>
      </c>
      <c r="B21" s="145" t="s">
        <v>1113</v>
      </c>
      <c r="C21" s="145"/>
      <c r="D21" s="12">
        <v>1002</v>
      </c>
      <c r="E21" s="12"/>
      <c r="F21" s="81"/>
      <c r="G21" s="131"/>
      <c r="H21" s="81">
        <v>0</v>
      </c>
      <c r="I21" s="154">
        <f t="shared" si="1"/>
        <v>7</v>
      </c>
      <c r="J21" s="119">
        <f t="shared" si="2"/>
        <v>21847</v>
      </c>
      <c r="K21" s="83">
        <f t="shared" si="0"/>
        <v>482.52399999999994</v>
      </c>
    </row>
    <row r="22" spans="1:11" ht="14.4" x14ac:dyDescent="0.3">
      <c r="A22" s="12" t="s">
        <v>11</v>
      </c>
      <c r="B22" s="151" t="s">
        <v>1114</v>
      </c>
      <c r="C22" s="151" t="s">
        <v>1119</v>
      </c>
      <c r="D22" s="12">
        <v>1052</v>
      </c>
      <c r="E22" s="12"/>
      <c r="F22" s="81"/>
      <c r="G22" s="103">
        <v>2</v>
      </c>
      <c r="H22" s="81">
        <v>0</v>
      </c>
      <c r="I22" s="154">
        <f t="shared" si="1"/>
        <v>5</v>
      </c>
      <c r="J22" s="119">
        <f t="shared" si="2"/>
        <v>22899</v>
      </c>
      <c r="K22" s="83">
        <f t="shared" si="0"/>
        <v>505.12799999999999</v>
      </c>
    </row>
    <row r="23" spans="1:11" x14ac:dyDescent="0.25">
      <c r="A23" s="12" t="s">
        <v>12</v>
      </c>
      <c r="C23"/>
      <c r="D23" s="12"/>
      <c r="E23" s="12"/>
      <c r="F23" s="81"/>
      <c r="G23" s="103">
        <v>2</v>
      </c>
      <c r="H23" s="81">
        <v>612</v>
      </c>
      <c r="I23" s="154">
        <f t="shared" si="1"/>
        <v>3</v>
      </c>
      <c r="J23" s="119">
        <f t="shared" si="2"/>
        <v>22287</v>
      </c>
      <c r="K23" s="83">
        <f t="shared" si="0"/>
        <v>491.12399999999997</v>
      </c>
    </row>
    <row r="24" spans="1:11" ht="14.4" x14ac:dyDescent="0.3">
      <c r="A24" s="12" t="s">
        <v>13</v>
      </c>
      <c r="C24" s="134"/>
      <c r="D24" s="12"/>
      <c r="E24" s="12"/>
      <c r="F24" s="81"/>
      <c r="G24" s="131"/>
      <c r="H24" s="81">
        <v>0</v>
      </c>
      <c r="I24" s="154">
        <f t="shared" si="1"/>
        <v>3</v>
      </c>
      <c r="J24" s="119">
        <f t="shared" si="2"/>
        <v>22287</v>
      </c>
      <c r="K24" s="83">
        <f t="shared" si="0"/>
        <v>491.12399999999997</v>
      </c>
    </row>
    <row r="25" spans="1:11" ht="14.4" x14ac:dyDescent="0.3">
      <c r="A25" s="12" t="s">
        <v>14</v>
      </c>
      <c r="B25" s="134"/>
      <c r="C25"/>
      <c r="D25" s="12"/>
      <c r="E25" s="12"/>
      <c r="F25" s="81"/>
      <c r="G25" s="131"/>
      <c r="H25" s="81">
        <v>102</v>
      </c>
      <c r="I25" s="154">
        <f t="shared" si="1"/>
        <v>3</v>
      </c>
      <c r="J25" s="119">
        <f t="shared" si="2"/>
        <v>22185</v>
      </c>
      <c r="K25" s="83">
        <f t="shared" si="0"/>
        <v>488.88</v>
      </c>
    </row>
    <row r="26" spans="1:11" ht="13.5" customHeight="1" x14ac:dyDescent="0.3">
      <c r="A26" s="12" t="s">
        <v>15</v>
      </c>
      <c r="B26" s="134"/>
      <c r="C26" s="143"/>
      <c r="D26" s="12"/>
      <c r="E26" s="12"/>
      <c r="F26" s="81"/>
      <c r="G26" s="131"/>
      <c r="H26" s="81">
        <v>0</v>
      </c>
      <c r="I26" s="154">
        <f t="shared" si="1"/>
        <v>3</v>
      </c>
      <c r="J26" s="119">
        <f t="shared" si="2"/>
        <v>22185</v>
      </c>
      <c r="K26" s="83">
        <f t="shared" si="0"/>
        <v>488.88</v>
      </c>
    </row>
    <row r="27" spans="1:11" x14ac:dyDescent="0.25">
      <c r="A27" s="12" t="s">
        <v>16</v>
      </c>
      <c r="C27" s="73"/>
      <c r="D27" s="12"/>
      <c r="E27" s="12"/>
      <c r="F27" s="81"/>
      <c r="G27" s="131"/>
      <c r="H27" s="81">
        <v>0</v>
      </c>
      <c r="I27" s="154">
        <f t="shared" si="1"/>
        <v>3</v>
      </c>
      <c r="J27" s="119">
        <f t="shared" si="2"/>
        <v>22185</v>
      </c>
      <c r="K27" s="83">
        <f t="shared" si="0"/>
        <v>488.88</v>
      </c>
    </row>
    <row r="28" spans="1:11" ht="14.4" x14ac:dyDescent="0.3">
      <c r="A28" s="12" t="s">
        <v>17</v>
      </c>
      <c r="B28" s="144" t="s">
        <v>1115</v>
      </c>
      <c r="C28" s="144" t="s">
        <v>1116</v>
      </c>
      <c r="D28" s="12">
        <v>1241</v>
      </c>
      <c r="E28" s="12"/>
      <c r="F28" s="81"/>
      <c r="G28" s="12"/>
      <c r="H28" s="81">
        <v>0</v>
      </c>
      <c r="I28" s="154">
        <f t="shared" si="1"/>
        <v>3</v>
      </c>
      <c r="J28" s="119">
        <f t="shared" si="2"/>
        <v>23426</v>
      </c>
      <c r="K28" s="83">
        <f t="shared" si="0"/>
        <v>516.1819999999999</v>
      </c>
    </row>
    <row r="29" spans="1:11" ht="14.4" x14ac:dyDescent="0.3">
      <c r="A29" s="12" t="s">
        <v>18</v>
      </c>
      <c r="B29" s="144" t="s">
        <v>1120</v>
      </c>
      <c r="C29" s="144"/>
      <c r="D29" s="12">
        <v>874</v>
      </c>
      <c r="E29" s="12"/>
      <c r="F29" s="81"/>
      <c r="G29" s="133"/>
      <c r="H29" s="81">
        <v>0</v>
      </c>
      <c r="I29" s="154">
        <f t="shared" si="1"/>
        <v>3</v>
      </c>
      <c r="J29" s="119">
        <f t="shared" si="2"/>
        <v>24300</v>
      </c>
      <c r="K29" s="83">
        <f t="shared" si="0"/>
        <v>535.41</v>
      </c>
    </row>
    <row r="30" spans="1:11" ht="14.4" x14ac:dyDescent="0.3">
      <c r="A30" s="12" t="s">
        <v>19</v>
      </c>
      <c r="C30" s="134"/>
      <c r="D30" s="12"/>
      <c r="E30" s="12"/>
      <c r="F30" s="81"/>
      <c r="G30" s="131"/>
      <c r="H30" s="81">
        <v>0</v>
      </c>
      <c r="I30" s="154">
        <f t="shared" si="1"/>
        <v>3</v>
      </c>
      <c r="J30" s="119">
        <f t="shared" si="2"/>
        <v>24300</v>
      </c>
      <c r="K30" s="83">
        <f t="shared" si="0"/>
        <v>535.41</v>
      </c>
    </row>
    <row r="31" spans="1:11" ht="14.4" x14ac:dyDescent="0.3">
      <c r="A31" s="12" t="s">
        <v>20</v>
      </c>
      <c r="B31" s="135"/>
      <c r="C31" s="146"/>
      <c r="D31" s="12"/>
      <c r="E31" s="106"/>
      <c r="F31" s="81"/>
      <c r="G31" s="131"/>
      <c r="H31" s="81">
        <v>0</v>
      </c>
      <c r="I31" s="154">
        <f t="shared" si="1"/>
        <v>3</v>
      </c>
      <c r="J31" s="119">
        <f t="shared" si="2"/>
        <v>24300</v>
      </c>
      <c r="K31" s="83">
        <f t="shared" si="0"/>
        <v>535.41</v>
      </c>
    </row>
    <row r="32" spans="1:11" ht="14.4" x14ac:dyDescent="0.3">
      <c r="A32" s="12" t="s">
        <v>21</v>
      </c>
      <c r="B32" s="134" t="s">
        <v>1122</v>
      </c>
      <c r="C32" s="134"/>
      <c r="D32" s="12">
        <v>1127</v>
      </c>
      <c r="E32" s="12"/>
      <c r="F32" s="81"/>
      <c r="G32" s="131"/>
      <c r="H32" s="81">
        <v>0</v>
      </c>
      <c r="I32" s="154">
        <f t="shared" si="1"/>
        <v>3</v>
      </c>
      <c r="J32" s="119">
        <f t="shared" si="2"/>
        <v>25427</v>
      </c>
      <c r="K32" s="83">
        <f t="shared" si="0"/>
        <v>560.20399999999995</v>
      </c>
    </row>
    <row r="33" spans="1:12" ht="14.4" x14ac:dyDescent="0.3">
      <c r="A33" s="12" t="s">
        <v>22</v>
      </c>
      <c r="C33" s="147"/>
      <c r="D33" s="12"/>
      <c r="E33" s="12"/>
      <c r="F33" s="81"/>
      <c r="G33" s="131"/>
      <c r="H33" s="81">
        <v>0</v>
      </c>
      <c r="I33" s="154">
        <f t="shared" si="1"/>
        <v>3</v>
      </c>
      <c r="J33" s="119">
        <f t="shared" si="2"/>
        <v>25427</v>
      </c>
      <c r="K33" s="83">
        <f t="shared" si="0"/>
        <v>560.20399999999995</v>
      </c>
    </row>
    <row r="34" spans="1:12" x14ac:dyDescent="0.25">
      <c r="A34" s="12" t="s">
        <v>23</v>
      </c>
      <c r="C34"/>
      <c r="D34" s="12"/>
      <c r="E34" s="12"/>
      <c r="F34" s="81"/>
      <c r="G34" s="131"/>
      <c r="H34" s="81">
        <v>0</v>
      </c>
      <c r="I34" s="154">
        <f t="shared" si="1"/>
        <v>3</v>
      </c>
      <c r="J34" s="119">
        <f t="shared" si="2"/>
        <v>25427</v>
      </c>
      <c r="K34" s="83">
        <f t="shared" si="0"/>
        <v>560.20399999999995</v>
      </c>
    </row>
    <row r="35" spans="1:12" ht="14.4" x14ac:dyDescent="0.3">
      <c r="A35" s="12" t="s">
        <v>24</v>
      </c>
      <c r="B35" s="81" t="s">
        <v>1121</v>
      </c>
      <c r="C35" s="138"/>
      <c r="D35" s="12">
        <v>1123</v>
      </c>
      <c r="E35" s="12"/>
      <c r="F35" s="81"/>
      <c r="G35" s="131"/>
      <c r="H35" s="81">
        <v>0</v>
      </c>
      <c r="I35" s="154">
        <f t="shared" si="1"/>
        <v>3</v>
      </c>
      <c r="J35" s="119">
        <f t="shared" si="2"/>
        <v>26550</v>
      </c>
      <c r="K35" s="83">
        <f t="shared" si="0"/>
        <v>584.91</v>
      </c>
    </row>
    <row r="36" spans="1:12" ht="13.5" customHeight="1" x14ac:dyDescent="0.3">
      <c r="A36" s="12" t="s">
        <v>25</v>
      </c>
      <c r="B36" s="152"/>
      <c r="C36" s="144"/>
      <c r="D36" s="12"/>
      <c r="E36" s="12"/>
      <c r="F36" s="12"/>
      <c r="G36" s="12"/>
      <c r="H36" s="81">
        <v>451</v>
      </c>
      <c r="I36" s="154">
        <f t="shared" si="1"/>
        <v>3</v>
      </c>
      <c r="J36" s="119">
        <f t="shared" si="2"/>
        <v>26099</v>
      </c>
      <c r="K36" s="83">
        <f t="shared" si="0"/>
        <v>574.98799999999994</v>
      </c>
    </row>
    <row r="37" spans="1:12" ht="14.4" x14ac:dyDescent="0.3">
      <c r="A37" s="12" t="s">
        <v>26</v>
      </c>
      <c r="B37" s="134"/>
      <c r="C37" s="134"/>
      <c r="D37" s="12"/>
      <c r="E37" s="12"/>
      <c r="F37" s="12"/>
      <c r="G37" s="12"/>
      <c r="H37" s="81">
        <v>610</v>
      </c>
      <c r="I37" s="154">
        <f t="shared" si="1"/>
        <v>3</v>
      </c>
      <c r="J37" s="119">
        <f t="shared" si="2"/>
        <v>25489</v>
      </c>
      <c r="K37" s="83">
        <f t="shared" si="0"/>
        <v>561.56799999999987</v>
      </c>
    </row>
    <row r="38" spans="1:12" x14ac:dyDescent="0.25">
      <c r="A38" s="12" t="s">
        <v>27</v>
      </c>
      <c r="B38" s="81"/>
      <c r="C38" s="81"/>
      <c r="D38" s="12"/>
      <c r="E38" s="12"/>
      <c r="F38" s="12"/>
      <c r="G38" s="12"/>
      <c r="H38" s="81">
        <v>1777</v>
      </c>
      <c r="I38" s="154">
        <f t="shared" si="1"/>
        <v>3</v>
      </c>
      <c r="J38" s="119">
        <f t="shared" si="2"/>
        <v>23712</v>
      </c>
      <c r="K38" s="83">
        <f t="shared" si="0"/>
        <v>522.47399999999993</v>
      </c>
    </row>
    <row r="39" spans="1:12" ht="14.4" x14ac:dyDescent="0.3">
      <c r="A39" s="12" t="s">
        <v>28</v>
      </c>
      <c r="B39" s="134"/>
      <c r="C39" s="144"/>
      <c r="D39" s="12"/>
      <c r="E39" s="12"/>
      <c r="F39" s="81"/>
      <c r="G39" s="12"/>
      <c r="H39" s="81">
        <v>911</v>
      </c>
      <c r="I39" s="154">
        <f t="shared" si="1"/>
        <v>3</v>
      </c>
      <c r="J39" s="119">
        <f t="shared" si="2"/>
        <v>22801</v>
      </c>
      <c r="K39" s="83">
        <f t="shared" si="0"/>
        <v>502.43199999999996</v>
      </c>
    </row>
    <row r="40" spans="1:12" ht="14.4" x14ac:dyDescent="0.3">
      <c r="A40" s="12" t="s">
        <v>29</v>
      </c>
      <c r="B40" s="134"/>
      <c r="C40" s="144"/>
      <c r="D40" s="12"/>
      <c r="E40" s="12"/>
      <c r="F40" s="81"/>
      <c r="G40" s="12"/>
      <c r="H40" s="81">
        <v>1139</v>
      </c>
      <c r="I40" s="154">
        <f t="shared" si="1"/>
        <v>3</v>
      </c>
      <c r="J40" s="119">
        <f t="shared" si="2"/>
        <v>21662</v>
      </c>
      <c r="K40" s="83">
        <f t="shared" si="0"/>
        <v>477.37399999999997</v>
      </c>
    </row>
    <row r="41" spans="1:12" ht="14.4" x14ac:dyDescent="0.3">
      <c r="A41" s="12" t="s">
        <v>30</v>
      </c>
      <c r="B41" s="134"/>
      <c r="C41" s="144"/>
      <c r="D41" s="12"/>
      <c r="E41" s="12"/>
      <c r="F41" s="81"/>
      <c r="G41" s="12"/>
      <c r="H41" s="81">
        <v>0</v>
      </c>
      <c r="I41" s="154">
        <f t="shared" si="1"/>
        <v>3</v>
      </c>
      <c r="J41" s="119">
        <f t="shared" si="2"/>
        <v>21662</v>
      </c>
      <c r="K41" s="83">
        <f t="shared" si="0"/>
        <v>477.37399999999997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12783</v>
      </c>
      <c r="E42" s="121">
        <f>SUM(E11:E41)</f>
        <v>8</v>
      </c>
      <c r="F42" s="120">
        <v>0</v>
      </c>
      <c r="G42" s="121">
        <f>SUM(G10:G41)</f>
        <v>8</v>
      </c>
      <c r="H42" s="121">
        <f>SUM(H10:H41)</f>
        <v>8138</v>
      </c>
      <c r="I42" s="121">
        <f>AVERAGE(I11:I41)</f>
        <v>4.225806451612903</v>
      </c>
      <c r="J42" s="69">
        <f>AVERAGE(J11:J41)</f>
        <v>22273.483870967742</v>
      </c>
      <c r="K42" s="32">
        <f>SUM(K11:K41)</f>
        <v>15225.885999999997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12791</v>
      </c>
      <c r="I45" s="59">
        <v>0.31</v>
      </c>
      <c r="J45" s="48">
        <f>H45*I45</f>
        <v>3965.21</v>
      </c>
      <c r="K45" s="50">
        <f>kurs*J45</f>
        <v>465537.06613400002</v>
      </c>
    </row>
    <row r="46" spans="1:12" x14ac:dyDescent="0.25">
      <c r="E46" s="42" t="s">
        <v>54</v>
      </c>
      <c r="F46" s="43"/>
      <c r="G46" s="43"/>
      <c r="H46" s="44">
        <f>H42</f>
        <v>8138</v>
      </c>
      <c r="I46" s="59">
        <v>0.22</v>
      </c>
      <c r="J46" s="48">
        <f>H46*I46</f>
        <v>1790.36</v>
      </c>
      <c r="K46" s="50">
        <f t="shared" ref="K46" si="3">kurs*J46</f>
        <v>210197.93194399998</v>
      </c>
      <c r="L46" s="61"/>
    </row>
    <row r="47" spans="1:12" x14ac:dyDescent="0.25">
      <c r="E47" s="42" t="s">
        <v>581</v>
      </c>
      <c r="F47" s="43"/>
      <c r="G47" s="43"/>
      <c r="H47" s="44">
        <f>E42</f>
        <v>8</v>
      </c>
      <c r="I47" s="59">
        <v>1.65</v>
      </c>
      <c r="J47" s="48">
        <f t="shared" ref="J47:J51" si="4">H47*I47</f>
        <v>13.2</v>
      </c>
      <c r="K47" s="50">
        <f t="shared" ref="K47:K48" si="5">kurs*J47</f>
        <v>1549.75128</v>
      </c>
    </row>
    <row r="48" spans="1:12" x14ac:dyDescent="0.25">
      <c r="E48" s="42" t="s">
        <v>582</v>
      </c>
      <c r="F48" s="43"/>
      <c r="G48" s="43"/>
      <c r="H48" s="44">
        <f>G42</f>
        <v>8</v>
      </c>
      <c r="I48" s="59">
        <v>1.65</v>
      </c>
      <c r="J48" s="48">
        <f t="shared" si="4"/>
        <v>13.2</v>
      </c>
      <c r="K48" s="50">
        <f t="shared" si="5"/>
        <v>1549.75128</v>
      </c>
    </row>
    <row r="49" spans="3:12" x14ac:dyDescent="0.25">
      <c r="E49" s="45" t="s">
        <v>360</v>
      </c>
      <c r="F49" s="46"/>
      <c r="G49" s="46"/>
      <c r="H49" s="47">
        <v>4890</v>
      </c>
      <c r="I49" s="60">
        <v>0.12</v>
      </c>
      <c r="J49" s="48">
        <f t="shared" si="4"/>
        <v>586.79999999999995</v>
      </c>
      <c r="K49" s="50">
        <f>kurs*J49</f>
        <v>68893.488719999994</v>
      </c>
    </row>
    <row r="50" spans="3:12" x14ac:dyDescent="0.25">
      <c r="E50" s="45" t="s">
        <v>629</v>
      </c>
      <c r="F50" s="46"/>
      <c r="G50" s="46"/>
      <c r="H50" s="47">
        <v>0</v>
      </c>
      <c r="I50" s="60">
        <v>0.08</v>
      </c>
      <c r="J50" s="48">
        <f t="shared" si="4"/>
        <v>0</v>
      </c>
      <c r="K50" s="50">
        <f>kurs*J50</f>
        <v>0</v>
      </c>
    </row>
    <row r="51" spans="3:12" x14ac:dyDescent="0.25">
      <c r="E51" s="45" t="s">
        <v>656</v>
      </c>
      <c r="F51" s="46"/>
      <c r="G51" s="46"/>
      <c r="H51" s="47">
        <v>0</v>
      </c>
      <c r="I51" s="60">
        <v>200</v>
      </c>
      <c r="J51" s="48">
        <f t="shared" si="4"/>
        <v>0</v>
      </c>
      <c r="K51" s="50">
        <f>kurs*J51</f>
        <v>0</v>
      </c>
    </row>
    <row r="52" spans="3:12" x14ac:dyDescent="0.25">
      <c r="E52" s="45" t="s">
        <v>1043</v>
      </c>
      <c r="F52" s="46"/>
      <c r="G52" s="46"/>
      <c r="H52" s="47">
        <v>0</v>
      </c>
      <c r="I52" s="60">
        <v>200</v>
      </c>
      <c r="J52" s="48">
        <f>H52*I52</f>
        <v>0</v>
      </c>
      <c r="K52" s="50">
        <f>kurs*J52</f>
        <v>0</v>
      </c>
    </row>
    <row r="53" spans="3:12" x14ac:dyDescent="0.25">
      <c r="E53" s="45" t="s">
        <v>55</v>
      </c>
      <c r="F53" s="46"/>
      <c r="G53" s="46"/>
      <c r="H53" s="46"/>
      <c r="I53" s="60"/>
      <c r="J53" s="49">
        <f>K42</f>
        <v>15225.885999999997</v>
      </c>
      <c r="K53" s="50">
        <f>kurs*J53</f>
        <v>1787601.2361843996</v>
      </c>
      <c r="L53" s="61"/>
    </row>
    <row r="54" spans="3:12" x14ac:dyDescent="0.25">
      <c r="E54" s="22"/>
      <c r="I54" t="s">
        <v>56</v>
      </c>
      <c r="J54" s="52">
        <f>SUM(J45:J53)</f>
        <v>21594.655999999995</v>
      </c>
      <c r="K54" s="51">
        <f>SUM(K45:K53)</f>
        <v>2535329.2255423996</v>
      </c>
      <c r="L54" s="62"/>
    </row>
    <row r="55" spans="3:12" ht="13.5" customHeight="1" x14ac:dyDescent="0.3">
      <c r="F55" s="23"/>
      <c r="G55" s="24" t="s">
        <v>32</v>
      </c>
    </row>
    <row r="56" spans="3:12" ht="11.25" customHeight="1" x14ac:dyDescent="0.25"/>
    <row r="57" spans="3:12" x14ac:dyDescent="0.25">
      <c r="H57" s="25"/>
      <c r="I57" s="25"/>
      <c r="J57" s="26"/>
      <c r="K57" s="25"/>
    </row>
    <row r="58" spans="3:12" x14ac:dyDescent="0.25">
      <c r="C58" s="2" t="s">
        <v>34</v>
      </c>
      <c r="H58" s="25"/>
      <c r="I58" s="25"/>
      <c r="J58" s="25"/>
      <c r="K58" s="25"/>
    </row>
    <row r="59" spans="3:12" ht="12.75" customHeight="1" x14ac:dyDescent="0.25">
      <c r="C59" s="2" t="s">
        <v>33</v>
      </c>
      <c r="H59" s="25"/>
      <c r="I59" s="27"/>
      <c r="J59" s="25"/>
      <c r="K59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8AA5-B1D3-4610-847A-A8BB85D20AF8}">
  <dimension ref="A1:L61"/>
  <sheetViews>
    <sheetView view="pageBreakPreview" topLeftCell="A36" zoomScaleNormal="100" zoomScaleSheetLayoutView="100" workbookViewId="0">
      <selection activeCell="G52" sqref="G52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1092</v>
      </c>
      <c r="H3" s="4"/>
      <c r="I3" s="4"/>
    </row>
    <row r="4" spans="1:11" x14ac:dyDescent="0.25">
      <c r="B4" s="2"/>
      <c r="C4" s="6"/>
      <c r="F4" s="3" t="s">
        <v>1093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148">
        <v>117.3771</v>
      </c>
      <c r="F6" t="s">
        <v>42</v>
      </c>
      <c r="G6" s="88">
        <v>2604008521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ht="14.4" x14ac:dyDescent="0.3">
      <c r="A10" s="158" t="s">
        <v>62</v>
      </c>
      <c r="B10" s="159"/>
      <c r="C10" s="55"/>
      <c r="D10" s="8">
        <v>24375</v>
      </c>
      <c r="E10" s="9"/>
      <c r="F10" s="7"/>
      <c r="G10" s="8"/>
      <c r="H10" s="103"/>
      <c r="I10" s="136"/>
      <c r="J10" s="38"/>
      <c r="K10" s="40"/>
    </row>
    <row r="11" spans="1:11" ht="13.5" customHeight="1" x14ac:dyDescent="0.3">
      <c r="A11" s="96" t="s">
        <v>0</v>
      </c>
      <c r="B11" s="134" t="s">
        <v>1094</v>
      </c>
      <c r="C11" s="138" t="s">
        <v>1095</v>
      </c>
      <c r="D11" s="12">
        <v>123</v>
      </c>
      <c r="E11" s="56"/>
      <c r="F11" s="12"/>
      <c r="G11" s="12"/>
      <c r="H11" s="151">
        <v>0</v>
      </c>
      <c r="I11" s="153"/>
      <c r="J11" s="119">
        <f>D10+D11+E11-H11-I11</f>
        <v>24498</v>
      </c>
      <c r="K11" s="83">
        <f>0.022*J11</f>
        <v>538.95600000000002</v>
      </c>
    </row>
    <row r="12" spans="1:11" ht="14.25" customHeight="1" x14ac:dyDescent="0.3">
      <c r="A12" s="12" t="s">
        <v>1</v>
      </c>
      <c r="B12" s="152"/>
      <c r="C12"/>
      <c r="D12" s="12"/>
      <c r="E12" s="12"/>
      <c r="F12" s="12"/>
      <c r="G12" s="12"/>
      <c r="H12" s="81">
        <v>1153</v>
      </c>
      <c r="I12" s="131"/>
      <c r="J12" s="119">
        <f>J11+D12+E12-H12-I12</f>
        <v>23345</v>
      </c>
      <c r="K12" s="83">
        <f t="shared" ref="K12:K41" si="0">0.022*J12</f>
        <v>513.58999999999992</v>
      </c>
    </row>
    <row r="13" spans="1:11" ht="13.5" customHeight="1" x14ac:dyDescent="0.3">
      <c r="A13" s="12" t="s">
        <v>2</v>
      </c>
      <c r="B13" s="135"/>
      <c r="C13" s="150"/>
      <c r="D13" s="56"/>
      <c r="E13" s="56"/>
      <c r="F13" s="12"/>
      <c r="G13" s="12"/>
      <c r="H13" s="81">
        <v>1575</v>
      </c>
      <c r="I13" s="131"/>
      <c r="J13" s="119">
        <f t="shared" ref="J13:J40" si="1">J12+D13+E13-H13-I13</f>
        <v>21770</v>
      </c>
      <c r="K13" s="83">
        <f t="shared" si="0"/>
        <v>478.94</v>
      </c>
    </row>
    <row r="14" spans="1:11" ht="14.4" x14ac:dyDescent="0.3">
      <c r="A14" s="12" t="s">
        <v>3</v>
      </c>
      <c r="B14" s="134"/>
      <c r="C14" s="137"/>
      <c r="D14" s="12"/>
      <c r="E14" s="12"/>
      <c r="F14" s="12"/>
      <c r="G14" s="12"/>
      <c r="H14" s="81">
        <v>922</v>
      </c>
      <c r="I14" s="131"/>
      <c r="J14" s="119">
        <f>J13+D14+E14-H14-I14</f>
        <v>20848</v>
      </c>
      <c r="K14" s="83">
        <f t="shared" si="0"/>
        <v>458.65599999999995</v>
      </c>
    </row>
    <row r="15" spans="1:11" ht="14.4" x14ac:dyDescent="0.3">
      <c r="A15" s="12" t="s">
        <v>4</v>
      </c>
      <c r="B15" s="135"/>
      <c r="C15" s="150"/>
      <c r="D15" s="12"/>
      <c r="E15" s="12"/>
      <c r="F15" s="12"/>
      <c r="G15" s="12"/>
      <c r="H15" s="81">
        <v>0</v>
      </c>
      <c r="I15" s="131"/>
      <c r="J15" s="119">
        <f t="shared" si="1"/>
        <v>20848</v>
      </c>
      <c r="K15" s="83">
        <f t="shared" si="0"/>
        <v>458.65599999999995</v>
      </c>
    </row>
    <row r="16" spans="1:11" ht="14.4" x14ac:dyDescent="0.3">
      <c r="A16" s="12" t="s">
        <v>5</v>
      </c>
      <c r="B16" s="134" t="s">
        <v>1096</v>
      </c>
      <c r="C16" s="143" t="s">
        <v>1097</v>
      </c>
      <c r="D16" s="12">
        <v>3433</v>
      </c>
      <c r="E16" s="12"/>
      <c r="F16" s="12"/>
      <c r="G16" s="12"/>
      <c r="H16" s="81">
        <v>0</v>
      </c>
      <c r="I16" s="131"/>
      <c r="J16" s="119">
        <f t="shared" si="1"/>
        <v>24281</v>
      </c>
      <c r="K16" s="83">
        <f t="shared" si="0"/>
        <v>534.18200000000002</v>
      </c>
    </row>
    <row r="17" spans="1:11" ht="14.4" x14ac:dyDescent="0.3">
      <c r="A17" s="12" t="s">
        <v>6</v>
      </c>
      <c r="B17" s="73"/>
      <c r="C17" s="144"/>
      <c r="D17" s="12"/>
      <c r="E17" s="12"/>
      <c r="F17" s="81"/>
      <c r="G17" s="12"/>
      <c r="H17" s="81">
        <v>1650</v>
      </c>
      <c r="I17" s="131"/>
      <c r="J17" s="119">
        <f>J16+D17+E17-H17-I17</f>
        <v>22631</v>
      </c>
      <c r="K17" s="83">
        <f t="shared" si="0"/>
        <v>497.88199999999995</v>
      </c>
    </row>
    <row r="18" spans="1:11" ht="14.4" x14ac:dyDescent="0.3">
      <c r="A18" s="12" t="s">
        <v>7</v>
      </c>
      <c r="B18" s="144"/>
      <c r="C18" s="134"/>
      <c r="D18" s="12"/>
      <c r="E18" s="12"/>
      <c r="F18" s="12"/>
      <c r="G18" s="12"/>
      <c r="H18" s="81">
        <v>1768</v>
      </c>
      <c r="I18" s="131"/>
      <c r="J18" s="119">
        <f>J17+D18+E18-H18-I18</f>
        <v>20863</v>
      </c>
      <c r="K18" s="83">
        <f t="shared" si="0"/>
        <v>458.98599999999999</v>
      </c>
    </row>
    <row r="19" spans="1:11" ht="13.5" customHeight="1" x14ac:dyDescent="0.25">
      <c r="A19" s="12" t="s">
        <v>8</v>
      </c>
      <c r="C19"/>
      <c r="D19" s="12"/>
      <c r="E19" s="12"/>
      <c r="F19" s="81"/>
      <c r="G19" s="131"/>
      <c r="H19" s="81">
        <v>629</v>
      </c>
      <c r="I19" s="131"/>
      <c r="J19" s="119">
        <f t="shared" si="1"/>
        <v>20234</v>
      </c>
      <c r="K19" s="83">
        <f t="shared" si="0"/>
        <v>445.14799999999997</v>
      </c>
    </row>
    <row r="20" spans="1:11" ht="14.4" x14ac:dyDescent="0.3">
      <c r="A20" s="12" t="s">
        <v>9</v>
      </c>
      <c r="B20" s="137"/>
      <c r="C20" s="137"/>
      <c r="D20" s="12"/>
      <c r="E20" s="12"/>
      <c r="F20" s="81"/>
      <c r="G20" s="131"/>
      <c r="H20" s="81">
        <v>0</v>
      </c>
      <c r="I20" s="131"/>
      <c r="J20" s="119">
        <f t="shared" si="1"/>
        <v>20234</v>
      </c>
      <c r="K20" s="83">
        <f t="shared" si="0"/>
        <v>445.14799999999997</v>
      </c>
    </row>
    <row r="21" spans="1:11" ht="14.4" x14ac:dyDescent="0.3">
      <c r="A21" s="12" t="s">
        <v>10</v>
      </c>
      <c r="B21" s="145"/>
      <c r="C21" s="145"/>
      <c r="D21" s="12"/>
      <c r="E21" s="12"/>
      <c r="F21" s="81"/>
      <c r="G21" s="131"/>
      <c r="H21" s="81">
        <v>0</v>
      </c>
      <c r="I21" s="131"/>
      <c r="J21" s="119">
        <f t="shared" si="1"/>
        <v>20234</v>
      </c>
      <c r="K21" s="83">
        <f t="shared" si="0"/>
        <v>445.14799999999997</v>
      </c>
    </row>
    <row r="22" spans="1:11" ht="14.4" x14ac:dyDescent="0.3">
      <c r="A22" s="12" t="s">
        <v>11</v>
      </c>
      <c r="B22" s="151"/>
      <c r="C22" s="151"/>
      <c r="D22" s="12"/>
      <c r="E22" s="12"/>
      <c r="F22" s="81"/>
      <c r="G22" s="131"/>
      <c r="H22" s="81">
        <v>0</v>
      </c>
      <c r="I22" s="131"/>
      <c r="J22" s="119">
        <f t="shared" si="1"/>
        <v>20234</v>
      </c>
      <c r="K22" s="83">
        <f t="shared" si="0"/>
        <v>445.14799999999997</v>
      </c>
    </row>
    <row r="23" spans="1:11" x14ac:dyDescent="0.25">
      <c r="A23" s="12" t="s">
        <v>12</v>
      </c>
      <c r="C23"/>
      <c r="D23" s="12"/>
      <c r="E23" s="12"/>
      <c r="F23" s="81"/>
      <c r="G23" s="131"/>
      <c r="H23" s="81">
        <v>0</v>
      </c>
      <c r="I23" s="131"/>
      <c r="J23" s="119">
        <f>J22+D23+E23-H23-I23</f>
        <v>20234</v>
      </c>
      <c r="K23" s="83">
        <f t="shared" si="0"/>
        <v>445.14799999999997</v>
      </c>
    </row>
    <row r="24" spans="1:11" ht="14.4" x14ac:dyDescent="0.3">
      <c r="A24" s="12" t="s">
        <v>13</v>
      </c>
      <c r="B24" t="s">
        <v>1098</v>
      </c>
      <c r="C24" s="134" t="s">
        <v>1099</v>
      </c>
      <c r="D24" s="12">
        <v>2030</v>
      </c>
      <c r="E24" s="12"/>
      <c r="F24" s="81"/>
      <c r="G24" s="131"/>
      <c r="H24" s="81">
        <v>0</v>
      </c>
      <c r="I24" s="131"/>
      <c r="J24" s="119">
        <f t="shared" si="1"/>
        <v>22264</v>
      </c>
      <c r="K24" s="83">
        <f t="shared" si="0"/>
        <v>489.80799999999999</v>
      </c>
    </row>
    <row r="25" spans="1:11" ht="14.4" x14ac:dyDescent="0.3">
      <c r="A25" s="12" t="s">
        <v>14</v>
      </c>
      <c r="B25" s="134" t="s">
        <v>1100</v>
      </c>
      <c r="C25" t="s">
        <v>1101</v>
      </c>
      <c r="D25" s="12">
        <v>1085</v>
      </c>
      <c r="E25" s="12"/>
      <c r="F25" s="81"/>
      <c r="G25" s="131"/>
      <c r="H25" s="81">
        <v>0</v>
      </c>
      <c r="I25" s="131"/>
      <c r="J25" s="119">
        <f t="shared" si="1"/>
        <v>23349</v>
      </c>
      <c r="K25" s="83">
        <f t="shared" si="0"/>
        <v>513.678</v>
      </c>
    </row>
    <row r="26" spans="1:11" ht="13.5" customHeight="1" x14ac:dyDescent="0.3">
      <c r="A26" s="12" t="s">
        <v>15</v>
      </c>
      <c r="B26" s="134"/>
      <c r="C26" s="143"/>
      <c r="D26" s="12"/>
      <c r="E26" s="12"/>
      <c r="F26" s="81"/>
      <c r="G26" s="131"/>
      <c r="H26" s="81">
        <v>623</v>
      </c>
      <c r="I26" s="131"/>
      <c r="J26" s="119">
        <f t="shared" si="1"/>
        <v>22726</v>
      </c>
      <c r="K26" s="83">
        <f t="shared" si="0"/>
        <v>499.97199999999998</v>
      </c>
    </row>
    <row r="27" spans="1:11" x14ac:dyDescent="0.25">
      <c r="A27" s="12" t="s">
        <v>16</v>
      </c>
      <c r="B27" t="s">
        <v>1102</v>
      </c>
      <c r="C27" s="73"/>
      <c r="D27" s="12">
        <v>1168</v>
      </c>
      <c r="E27" s="12"/>
      <c r="F27" s="81"/>
      <c r="G27" s="131"/>
      <c r="H27" s="81">
        <v>678</v>
      </c>
      <c r="I27" s="131"/>
      <c r="J27" s="119">
        <f t="shared" si="1"/>
        <v>23216</v>
      </c>
      <c r="K27" s="83">
        <f t="shared" si="0"/>
        <v>510.75199999999995</v>
      </c>
    </row>
    <row r="28" spans="1:11" ht="14.4" x14ac:dyDescent="0.3">
      <c r="A28" s="12" t="s">
        <v>17</v>
      </c>
      <c r="B28" s="144"/>
      <c r="C28" s="144"/>
      <c r="D28" s="12"/>
      <c r="E28" s="12"/>
      <c r="F28" s="81"/>
      <c r="G28" s="12"/>
      <c r="H28" s="81">
        <v>2185</v>
      </c>
      <c r="I28" s="131"/>
      <c r="J28" s="119">
        <f t="shared" si="1"/>
        <v>21031</v>
      </c>
      <c r="K28" s="83">
        <f t="shared" si="0"/>
        <v>462.68199999999996</v>
      </c>
    </row>
    <row r="29" spans="1:11" ht="14.4" x14ac:dyDescent="0.3">
      <c r="A29" s="12" t="s">
        <v>18</v>
      </c>
      <c r="B29" s="144"/>
      <c r="C29" s="144"/>
      <c r="D29" s="12"/>
      <c r="E29" s="12"/>
      <c r="F29" s="81"/>
      <c r="G29" s="133"/>
      <c r="H29" s="81">
        <v>0</v>
      </c>
      <c r="I29" s="131"/>
      <c r="J29" s="119">
        <f t="shared" si="1"/>
        <v>21031</v>
      </c>
      <c r="K29" s="83">
        <f t="shared" si="0"/>
        <v>462.68199999999996</v>
      </c>
    </row>
    <row r="30" spans="1:11" ht="14.4" x14ac:dyDescent="0.3">
      <c r="A30" s="12" t="s">
        <v>19</v>
      </c>
      <c r="B30" t="s">
        <v>1103</v>
      </c>
      <c r="C30" s="134" t="s">
        <v>1104</v>
      </c>
      <c r="D30" s="12">
        <v>3078</v>
      </c>
      <c r="E30" s="12"/>
      <c r="F30" s="81"/>
      <c r="G30" s="131"/>
      <c r="H30" s="81"/>
      <c r="I30" s="131">
        <v>1557</v>
      </c>
      <c r="J30" s="119">
        <f>J29+D30+E30-H30-I30</f>
        <v>22552</v>
      </c>
      <c r="K30" s="83">
        <f t="shared" si="0"/>
        <v>496.14399999999995</v>
      </c>
    </row>
    <row r="31" spans="1:11" ht="14.4" x14ac:dyDescent="0.3">
      <c r="A31" s="12" t="s">
        <v>20</v>
      </c>
      <c r="B31" s="135"/>
      <c r="C31" s="146"/>
      <c r="D31" s="12"/>
      <c r="E31" s="106"/>
      <c r="F31" s="81"/>
      <c r="G31" s="131"/>
      <c r="H31" s="81">
        <v>0</v>
      </c>
      <c r="I31" s="131"/>
      <c r="J31" s="119">
        <f t="shared" si="1"/>
        <v>22552</v>
      </c>
      <c r="K31" s="83">
        <f t="shared" si="0"/>
        <v>496.14399999999995</v>
      </c>
    </row>
    <row r="32" spans="1:11" ht="14.4" x14ac:dyDescent="0.3">
      <c r="A32" s="12" t="s">
        <v>21</v>
      </c>
      <c r="B32" s="134"/>
      <c r="C32" s="134"/>
      <c r="D32" s="12"/>
      <c r="E32" s="12"/>
      <c r="F32" s="81"/>
      <c r="G32" s="131"/>
      <c r="H32" s="81">
        <v>0</v>
      </c>
      <c r="I32" s="131"/>
      <c r="J32" s="119">
        <f>J31+D32+E32-H32-I32</f>
        <v>22552</v>
      </c>
      <c r="K32" s="83">
        <f t="shared" si="0"/>
        <v>496.14399999999995</v>
      </c>
    </row>
    <row r="33" spans="1:12" ht="14.4" x14ac:dyDescent="0.3">
      <c r="A33" s="12" t="s">
        <v>22</v>
      </c>
      <c r="C33" s="147"/>
      <c r="D33" s="12"/>
      <c r="E33" s="12"/>
      <c r="F33" s="81"/>
      <c r="G33" s="131"/>
      <c r="H33" s="81">
        <v>925</v>
      </c>
      <c r="I33" s="131"/>
      <c r="J33" s="119">
        <f>J32+D33+E33-H33-I33</f>
        <v>21627</v>
      </c>
      <c r="K33" s="83">
        <f t="shared" si="0"/>
        <v>475.79399999999998</v>
      </c>
    </row>
    <row r="34" spans="1:12" x14ac:dyDescent="0.25">
      <c r="A34" s="12" t="s">
        <v>23</v>
      </c>
      <c r="B34" t="s">
        <v>1105</v>
      </c>
      <c r="C34"/>
      <c r="D34" s="12">
        <v>34</v>
      </c>
      <c r="E34" s="12"/>
      <c r="F34" s="81"/>
      <c r="G34" s="131"/>
      <c r="H34" s="81">
        <v>673</v>
      </c>
      <c r="I34" s="131"/>
      <c r="J34" s="119">
        <f>J33+D34+E34-H34-I34</f>
        <v>20988</v>
      </c>
      <c r="K34" s="83">
        <f t="shared" si="0"/>
        <v>461.73599999999999</v>
      </c>
    </row>
    <row r="35" spans="1:12" ht="14.4" x14ac:dyDescent="0.3">
      <c r="A35" s="12" t="s">
        <v>24</v>
      </c>
      <c r="B35" s="81"/>
      <c r="C35" s="138"/>
      <c r="D35" s="12"/>
      <c r="E35" s="12"/>
      <c r="F35" s="81"/>
      <c r="G35" s="131"/>
      <c r="H35" s="81">
        <v>885</v>
      </c>
      <c r="I35" s="131"/>
      <c r="J35" s="119">
        <f t="shared" si="1"/>
        <v>20103</v>
      </c>
      <c r="K35" s="83">
        <f t="shared" si="0"/>
        <v>442.26599999999996</v>
      </c>
    </row>
    <row r="36" spans="1:12" ht="13.5" customHeight="1" x14ac:dyDescent="0.3">
      <c r="A36" s="12" t="s">
        <v>25</v>
      </c>
      <c r="B36" s="152"/>
      <c r="C36" s="144"/>
      <c r="D36" s="12"/>
      <c r="E36" s="12"/>
      <c r="F36" s="12"/>
      <c r="G36" s="12"/>
      <c r="H36" s="81">
        <v>0</v>
      </c>
      <c r="I36" s="131"/>
      <c r="J36" s="119">
        <f t="shared" si="1"/>
        <v>20103</v>
      </c>
      <c r="K36" s="83">
        <f t="shared" si="0"/>
        <v>442.26599999999996</v>
      </c>
    </row>
    <row r="37" spans="1:12" ht="14.4" x14ac:dyDescent="0.3">
      <c r="A37" s="12" t="s">
        <v>26</v>
      </c>
      <c r="B37" s="134"/>
      <c r="C37" s="134"/>
      <c r="D37" s="12"/>
      <c r="E37" s="12"/>
      <c r="F37" s="12"/>
      <c r="G37" s="12"/>
      <c r="H37" s="81">
        <v>1450</v>
      </c>
      <c r="I37" s="131"/>
      <c r="J37" s="119">
        <f t="shared" si="1"/>
        <v>18653</v>
      </c>
      <c r="K37" s="83">
        <f t="shared" si="0"/>
        <v>410.36599999999999</v>
      </c>
    </row>
    <row r="38" spans="1:12" x14ac:dyDescent="0.25">
      <c r="A38" s="12" t="s">
        <v>27</v>
      </c>
      <c r="B38" s="81"/>
      <c r="C38" s="81"/>
      <c r="D38" s="12"/>
      <c r="E38" s="12"/>
      <c r="F38" s="12"/>
      <c r="G38" s="12"/>
      <c r="H38" s="81">
        <v>586</v>
      </c>
      <c r="I38" s="131"/>
      <c r="J38" s="119">
        <f t="shared" si="1"/>
        <v>18067</v>
      </c>
      <c r="K38" s="83">
        <f t="shared" si="0"/>
        <v>397.47399999999999</v>
      </c>
    </row>
    <row r="39" spans="1:12" ht="14.4" x14ac:dyDescent="0.3">
      <c r="A39" s="12" t="s">
        <v>28</v>
      </c>
      <c r="B39" s="134"/>
      <c r="C39" s="144"/>
      <c r="D39" s="12"/>
      <c r="E39" s="12"/>
      <c r="F39" s="81"/>
      <c r="G39" s="12"/>
      <c r="H39" s="81">
        <v>1050</v>
      </c>
      <c r="I39" s="131"/>
      <c r="J39" s="119">
        <f t="shared" si="1"/>
        <v>17017</v>
      </c>
      <c r="K39" s="83">
        <f t="shared" si="0"/>
        <v>374.37399999999997</v>
      </c>
    </row>
    <row r="40" spans="1:12" ht="14.4" x14ac:dyDescent="0.3">
      <c r="A40" s="12" t="s">
        <v>29</v>
      </c>
      <c r="B40" s="134"/>
      <c r="C40" s="144"/>
      <c r="D40" s="12"/>
      <c r="E40" s="12"/>
      <c r="F40" s="81"/>
      <c r="G40" s="12"/>
      <c r="H40" s="81">
        <v>0</v>
      </c>
      <c r="I40" s="131"/>
      <c r="J40" s="119">
        <f t="shared" si="1"/>
        <v>17017</v>
      </c>
      <c r="K40" s="83">
        <f t="shared" si="0"/>
        <v>374.37399999999997</v>
      </c>
    </row>
    <row r="41" spans="1:12" ht="14.4" x14ac:dyDescent="0.3">
      <c r="A41" s="12" t="s">
        <v>30</v>
      </c>
      <c r="B41" s="134"/>
      <c r="C41" s="144"/>
      <c r="D41" s="12"/>
      <c r="E41" s="12"/>
      <c r="F41" s="81"/>
      <c r="G41" s="12"/>
      <c r="H41" s="131"/>
      <c r="I41" s="131"/>
      <c r="J41" s="119">
        <v>0</v>
      </c>
      <c r="K41" s="83">
        <f t="shared" si="0"/>
        <v>0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10951</v>
      </c>
      <c r="E42" s="121">
        <f>SUM(E11:E41)</f>
        <v>0</v>
      </c>
      <c r="F42" s="120">
        <v>0</v>
      </c>
      <c r="G42" s="120"/>
      <c r="H42" s="121">
        <f>SUM(H10:H41)</f>
        <v>16752</v>
      </c>
      <c r="I42" s="121">
        <f>SUM(I11:I41)</f>
        <v>1557</v>
      </c>
      <c r="J42" s="69">
        <f>AVERAGE(J11:J41)</f>
        <v>20487.16129032258</v>
      </c>
      <c r="K42" s="32">
        <f>SUM(K11:K41)</f>
        <v>13972.244000000001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10951</v>
      </c>
      <c r="I45" s="59">
        <v>0.31</v>
      </c>
      <c r="J45" s="48">
        <f>H45*I45</f>
        <v>3394.81</v>
      </c>
      <c r="K45" s="50">
        <f>kurs*J45</f>
        <v>398472.95285100001</v>
      </c>
    </row>
    <row r="46" spans="1:12" x14ac:dyDescent="0.25">
      <c r="E46" s="42" t="s">
        <v>54</v>
      </c>
      <c r="F46" s="43"/>
      <c r="G46" s="43"/>
      <c r="H46" s="44">
        <f>H42</f>
        <v>16752</v>
      </c>
      <c r="I46" s="59">
        <v>0.22</v>
      </c>
      <c r="J46" s="48">
        <f>H46*I46</f>
        <v>3685.44</v>
      </c>
      <c r="K46" s="50">
        <f t="shared" ref="K46" si="2">kurs*J46</f>
        <v>432586.25942399999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1557</v>
      </c>
      <c r="I50" s="60">
        <v>0.2</v>
      </c>
      <c r="J50" s="48">
        <f t="shared" si="3"/>
        <v>311.40000000000003</v>
      </c>
      <c r="K50" s="50">
        <f t="shared" si="4"/>
        <v>36551.228940000001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656</v>
      </c>
      <c r="F53" s="46"/>
      <c r="G53" s="46"/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1043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13972.244000000001</v>
      </c>
      <c r="K55" s="50">
        <f>kurs*J55</f>
        <v>1640021.4812124001</v>
      </c>
      <c r="L55" s="61"/>
    </row>
    <row r="56" spans="3:12" x14ac:dyDescent="0.25">
      <c r="E56" s="22"/>
      <c r="I56" t="s">
        <v>56</v>
      </c>
      <c r="J56" s="52">
        <f>SUM(J45:J55)</f>
        <v>21363.894</v>
      </c>
      <c r="K56" s="51">
        <f>SUM(K45:K55)</f>
        <v>2507631.9224274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280B-5F10-407E-AE08-4CC30B7D930E}">
  <dimension ref="A1:L61"/>
  <sheetViews>
    <sheetView view="pageBreakPreview" topLeftCell="A31" zoomScaleNormal="100" zoomScaleSheetLayoutView="100" workbookViewId="0">
      <selection activeCell="F5" sqref="F5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1080</v>
      </c>
      <c r="H3" s="4"/>
      <c r="I3" s="4"/>
    </row>
    <row r="4" spans="1:11" x14ac:dyDescent="0.25">
      <c r="B4" s="2"/>
      <c r="C4" s="6"/>
      <c r="F4" s="3" t="s">
        <v>1081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148">
        <v>117.3849</v>
      </c>
      <c r="F6" t="s">
        <v>42</v>
      </c>
      <c r="G6" s="88">
        <v>2603006321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ht="14.4" x14ac:dyDescent="0.3">
      <c r="A10" s="158" t="s">
        <v>62</v>
      </c>
      <c r="B10" s="159"/>
      <c r="C10" s="55"/>
      <c r="D10" s="8">
        <v>26491</v>
      </c>
      <c r="E10" s="9"/>
      <c r="F10" s="7"/>
      <c r="G10" s="8"/>
      <c r="H10" s="103"/>
      <c r="I10" s="136"/>
      <c r="J10" s="38"/>
      <c r="K10" s="40"/>
    </row>
    <row r="11" spans="1:11" ht="13.5" customHeight="1" x14ac:dyDescent="0.3">
      <c r="A11" s="96" t="s">
        <v>0</v>
      </c>
      <c r="B11" s="134"/>
      <c r="C11" s="138"/>
      <c r="D11" s="12"/>
      <c r="E11" s="56"/>
      <c r="F11" s="12"/>
      <c r="G11" s="12"/>
      <c r="H11" s="153">
        <v>0</v>
      </c>
      <c r="I11" s="153"/>
      <c r="J11" s="119">
        <f>D10+D11+E11-H11-I11</f>
        <v>26491</v>
      </c>
      <c r="K11" s="83">
        <f>0.022*J11</f>
        <v>582.80200000000002</v>
      </c>
    </row>
    <row r="12" spans="1:11" ht="14.25" customHeight="1" x14ac:dyDescent="0.3">
      <c r="A12" s="12" t="s">
        <v>1</v>
      </c>
      <c r="B12" s="152" t="s">
        <v>1082</v>
      </c>
      <c r="C12" t="s">
        <v>1083</v>
      </c>
      <c r="D12" s="12">
        <v>947</v>
      </c>
      <c r="E12" s="12"/>
      <c r="F12" s="12"/>
      <c r="G12" s="12"/>
      <c r="H12" s="131">
        <v>0</v>
      </c>
      <c r="I12" s="131"/>
      <c r="J12" s="119">
        <f>J11+D12+E12-H12-I12</f>
        <v>27438</v>
      </c>
      <c r="K12" s="83">
        <f t="shared" ref="K12:K38" si="0">0.022*J12</f>
        <v>603.63599999999997</v>
      </c>
    </row>
    <row r="13" spans="1:11" ht="13.5" customHeight="1" x14ac:dyDescent="0.3">
      <c r="A13" s="12" t="s">
        <v>2</v>
      </c>
      <c r="B13" s="135"/>
      <c r="C13" s="150"/>
      <c r="D13" s="56"/>
      <c r="E13" s="56"/>
      <c r="F13" s="12"/>
      <c r="G13" s="12"/>
      <c r="H13" s="131">
        <v>1138</v>
      </c>
      <c r="I13" s="131"/>
      <c r="J13" s="119">
        <f t="shared" ref="J13:J38" si="1">J12+D13+E13-H13-I13</f>
        <v>26300</v>
      </c>
      <c r="K13" s="83">
        <f t="shared" si="0"/>
        <v>578.6</v>
      </c>
    </row>
    <row r="14" spans="1:11" ht="14.4" x14ac:dyDescent="0.3">
      <c r="A14" s="12" t="s">
        <v>3</v>
      </c>
      <c r="B14" s="134"/>
      <c r="C14" s="137"/>
      <c r="D14" s="12"/>
      <c r="E14" s="12"/>
      <c r="F14" s="12"/>
      <c r="G14" s="12"/>
      <c r="H14" s="131">
        <v>1129</v>
      </c>
      <c r="I14" s="131"/>
      <c r="J14" s="119">
        <f>J13+D14+E14-H14-I14</f>
        <v>25171</v>
      </c>
      <c r="K14" s="83">
        <f t="shared" si="0"/>
        <v>553.76199999999994</v>
      </c>
    </row>
    <row r="15" spans="1:11" ht="14.4" x14ac:dyDescent="0.3">
      <c r="A15" s="12" t="s">
        <v>4</v>
      </c>
      <c r="B15" s="135"/>
      <c r="C15" s="150"/>
      <c r="D15" s="12"/>
      <c r="E15" s="12"/>
      <c r="F15" s="12"/>
      <c r="G15" s="12"/>
      <c r="H15" s="131">
        <v>0</v>
      </c>
      <c r="I15" s="131"/>
      <c r="J15" s="119">
        <f t="shared" si="1"/>
        <v>25171</v>
      </c>
      <c r="K15" s="83">
        <f t="shared" si="0"/>
        <v>553.76199999999994</v>
      </c>
    </row>
    <row r="16" spans="1:11" ht="14.4" x14ac:dyDescent="0.3">
      <c r="A16" s="12" t="s">
        <v>5</v>
      </c>
      <c r="B16" s="134"/>
      <c r="C16" s="143"/>
      <c r="D16" s="12"/>
      <c r="E16" s="12"/>
      <c r="F16" s="12"/>
      <c r="G16" s="12"/>
      <c r="H16" s="131">
        <v>0</v>
      </c>
      <c r="I16" s="131"/>
      <c r="J16" s="119">
        <f t="shared" si="1"/>
        <v>25171</v>
      </c>
      <c r="K16" s="83">
        <f t="shared" si="0"/>
        <v>553.76199999999994</v>
      </c>
    </row>
    <row r="17" spans="1:11" ht="14.4" x14ac:dyDescent="0.3">
      <c r="A17" s="12" t="s">
        <v>6</v>
      </c>
      <c r="B17" s="73"/>
      <c r="C17" s="144"/>
      <c r="D17" s="12"/>
      <c r="E17" s="12"/>
      <c r="F17" s="81"/>
      <c r="G17" s="12"/>
      <c r="H17" s="131">
        <v>0</v>
      </c>
      <c r="I17" s="131"/>
      <c r="J17" s="119">
        <f>J16+D17+E17-H17-I17</f>
        <v>25171</v>
      </c>
      <c r="K17" s="83">
        <f t="shared" si="0"/>
        <v>553.76199999999994</v>
      </c>
    </row>
    <row r="18" spans="1:11" ht="14.4" x14ac:dyDescent="0.3">
      <c r="A18" s="12" t="s">
        <v>7</v>
      </c>
      <c r="B18" s="144"/>
      <c r="C18" s="134"/>
      <c r="D18" s="12"/>
      <c r="E18" s="12"/>
      <c r="F18" s="12"/>
      <c r="G18" s="12"/>
      <c r="H18" s="131">
        <v>0</v>
      </c>
      <c r="I18" s="131"/>
      <c r="J18" s="119">
        <f>J17+D18+E18-H18-I18</f>
        <v>25171</v>
      </c>
      <c r="K18" s="83">
        <f t="shared" si="0"/>
        <v>553.76199999999994</v>
      </c>
    </row>
    <row r="19" spans="1:11" ht="13.5" customHeight="1" x14ac:dyDescent="0.25">
      <c r="A19" s="12" t="s">
        <v>8</v>
      </c>
      <c r="B19" t="s">
        <v>1084</v>
      </c>
      <c r="C19" t="s">
        <v>1091</v>
      </c>
      <c r="D19" s="12">
        <v>1820</v>
      </c>
      <c r="E19" s="12"/>
      <c r="F19" s="81"/>
      <c r="G19" s="131"/>
      <c r="H19" s="131">
        <v>0</v>
      </c>
      <c r="I19" s="131"/>
      <c r="J19" s="119">
        <f t="shared" si="1"/>
        <v>26991</v>
      </c>
      <c r="K19" s="83">
        <f t="shared" si="0"/>
        <v>593.80200000000002</v>
      </c>
    </row>
    <row r="20" spans="1:11" ht="14.4" x14ac:dyDescent="0.3">
      <c r="A20" s="12" t="s">
        <v>9</v>
      </c>
      <c r="B20" s="137"/>
      <c r="C20" s="137"/>
      <c r="D20" s="12"/>
      <c r="E20" s="12"/>
      <c r="F20" s="81"/>
      <c r="G20" s="131"/>
      <c r="H20" s="131">
        <v>938</v>
      </c>
      <c r="I20" s="131"/>
      <c r="J20" s="119">
        <f t="shared" si="1"/>
        <v>26053</v>
      </c>
      <c r="K20" s="83">
        <f t="shared" si="0"/>
        <v>573.16599999999994</v>
      </c>
    </row>
    <row r="21" spans="1:11" ht="14.4" x14ac:dyDescent="0.3">
      <c r="A21" s="12" t="s">
        <v>10</v>
      </c>
      <c r="B21" s="145"/>
      <c r="C21" s="145"/>
      <c r="D21" s="12"/>
      <c r="E21" s="12"/>
      <c r="F21" s="81"/>
      <c r="G21" s="131"/>
      <c r="H21" s="131">
        <v>1009</v>
      </c>
      <c r="I21" s="131"/>
      <c r="J21" s="119">
        <f t="shared" si="1"/>
        <v>25044</v>
      </c>
      <c r="K21" s="83">
        <f t="shared" si="0"/>
        <v>550.96799999999996</v>
      </c>
    </row>
    <row r="22" spans="1:11" ht="14.4" x14ac:dyDescent="0.3">
      <c r="A22" s="12" t="s">
        <v>11</v>
      </c>
      <c r="B22" s="151"/>
      <c r="C22" s="151"/>
      <c r="D22" s="12"/>
      <c r="E22" s="12"/>
      <c r="F22" s="81"/>
      <c r="G22" s="131"/>
      <c r="H22" s="131">
        <v>225</v>
      </c>
      <c r="I22" s="131"/>
      <c r="J22" s="119">
        <f t="shared" si="1"/>
        <v>24819</v>
      </c>
      <c r="K22" s="83">
        <f t="shared" si="0"/>
        <v>546.01799999999992</v>
      </c>
    </row>
    <row r="23" spans="1:11" x14ac:dyDescent="0.25">
      <c r="A23" s="12" t="s">
        <v>12</v>
      </c>
      <c r="B23" t="s">
        <v>1085</v>
      </c>
      <c r="C23" t="s">
        <v>1086</v>
      </c>
      <c r="D23" s="12">
        <v>1661</v>
      </c>
      <c r="E23" s="12"/>
      <c r="F23" s="81"/>
      <c r="G23" s="131"/>
      <c r="H23" s="131">
        <v>0</v>
      </c>
      <c r="I23" s="131"/>
      <c r="J23" s="119">
        <f>J22+D23+E23-H23-I23</f>
        <v>26480</v>
      </c>
      <c r="K23" s="83">
        <f t="shared" si="0"/>
        <v>582.55999999999995</v>
      </c>
    </row>
    <row r="24" spans="1:11" ht="14.4" x14ac:dyDescent="0.3">
      <c r="A24" s="12" t="s">
        <v>13</v>
      </c>
      <c r="B24" s="134"/>
      <c r="C24" s="134"/>
      <c r="D24" s="12"/>
      <c r="E24" s="12"/>
      <c r="F24" s="81"/>
      <c r="G24" s="131"/>
      <c r="H24" s="131">
        <v>0</v>
      </c>
      <c r="I24" s="131"/>
      <c r="J24" s="119">
        <f t="shared" si="1"/>
        <v>26480</v>
      </c>
      <c r="K24" s="83">
        <f t="shared" si="0"/>
        <v>582.55999999999995</v>
      </c>
    </row>
    <row r="25" spans="1:11" ht="14.4" x14ac:dyDescent="0.3">
      <c r="A25" s="12" t="s">
        <v>14</v>
      </c>
      <c r="B25" s="134"/>
      <c r="C25" s="134"/>
      <c r="D25" s="12"/>
      <c r="E25" s="12"/>
      <c r="F25" s="81"/>
      <c r="G25" s="131"/>
      <c r="H25" s="131">
        <v>0</v>
      </c>
      <c r="I25" s="131"/>
      <c r="J25" s="119">
        <f t="shared" si="1"/>
        <v>26480</v>
      </c>
      <c r="K25" s="83">
        <f t="shared" si="0"/>
        <v>582.55999999999995</v>
      </c>
    </row>
    <row r="26" spans="1:11" ht="13.5" customHeight="1" x14ac:dyDescent="0.3">
      <c r="A26" s="12" t="s">
        <v>15</v>
      </c>
      <c r="B26" s="134"/>
      <c r="C26" s="143"/>
      <c r="D26" s="12"/>
      <c r="E26" s="12"/>
      <c r="F26" s="81"/>
      <c r="G26" s="131"/>
      <c r="H26" s="131">
        <v>0</v>
      </c>
      <c r="I26" s="131"/>
      <c r="J26" s="119">
        <f t="shared" si="1"/>
        <v>26480</v>
      </c>
      <c r="K26" s="83">
        <f t="shared" si="0"/>
        <v>582.55999999999995</v>
      </c>
    </row>
    <row r="27" spans="1:11" ht="14.4" x14ac:dyDescent="0.3">
      <c r="A27" s="12" t="s">
        <v>16</v>
      </c>
      <c r="B27" s="144"/>
      <c r="C27" s="73"/>
      <c r="D27" s="12"/>
      <c r="E27" s="12"/>
      <c r="F27" s="81"/>
      <c r="G27" s="131"/>
      <c r="H27" s="131">
        <v>270</v>
      </c>
      <c r="I27" s="131"/>
      <c r="J27" s="119">
        <f t="shared" si="1"/>
        <v>26210</v>
      </c>
      <c r="K27" s="83">
        <f t="shared" si="0"/>
        <v>576.62</v>
      </c>
    </row>
    <row r="28" spans="1:11" ht="14.4" x14ac:dyDescent="0.3">
      <c r="A28" s="12" t="s">
        <v>17</v>
      </c>
      <c r="B28" s="144"/>
      <c r="C28" s="144"/>
      <c r="D28" s="12"/>
      <c r="E28" s="12"/>
      <c r="F28" s="81"/>
      <c r="G28" s="131"/>
      <c r="H28" s="131">
        <v>1276</v>
      </c>
      <c r="I28" s="131"/>
      <c r="J28" s="119">
        <f t="shared" si="1"/>
        <v>24934</v>
      </c>
      <c r="K28" s="83">
        <f t="shared" si="0"/>
        <v>548.548</v>
      </c>
    </row>
    <row r="29" spans="1:11" ht="14.4" x14ac:dyDescent="0.3">
      <c r="A29" s="12" t="s">
        <v>18</v>
      </c>
      <c r="B29" s="144"/>
      <c r="C29" s="144"/>
      <c r="D29" s="12"/>
      <c r="E29" s="12"/>
      <c r="F29" s="81"/>
      <c r="G29" s="133"/>
      <c r="H29" s="131">
        <v>777</v>
      </c>
      <c r="I29" s="131"/>
      <c r="J29" s="119">
        <f t="shared" si="1"/>
        <v>24157</v>
      </c>
      <c r="K29" s="83">
        <f t="shared" si="0"/>
        <v>531.45399999999995</v>
      </c>
    </row>
    <row r="30" spans="1:11" ht="14.4" x14ac:dyDescent="0.3">
      <c r="A30" s="12" t="s">
        <v>19</v>
      </c>
      <c r="B30" s="134"/>
      <c r="C30" s="134"/>
      <c r="D30" s="12"/>
      <c r="E30" s="12"/>
      <c r="F30" s="81"/>
      <c r="G30" s="131"/>
      <c r="H30" s="131">
        <v>1112</v>
      </c>
      <c r="I30" s="131"/>
      <c r="J30" s="119">
        <f>J29+D30+E30-H30-I30</f>
        <v>23045</v>
      </c>
      <c r="K30" s="83">
        <f t="shared" si="0"/>
        <v>506.98999999999995</v>
      </c>
    </row>
    <row r="31" spans="1:11" ht="14.4" x14ac:dyDescent="0.3">
      <c r="A31" s="12" t="s">
        <v>20</v>
      </c>
      <c r="B31" s="135"/>
      <c r="C31" s="146"/>
      <c r="D31" s="12"/>
      <c r="E31" s="106"/>
      <c r="F31" s="81"/>
      <c r="G31" s="131"/>
      <c r="H31" s="131">
        <v>0</v>
      </c>
      <c r="I31" s="131"/>
      <c r="J31" s="119">
        <f t="shared" si="1"/>
        <v>23045</v>
      </c>
      <c r="K31" s="83">
        <f t="shared" si="0"/>
        <v>506.98999999999995</v>
      </c>
    </row>
    <row r="32" spans="1:11" ht="14.4" x14ac:dyDescent="0.3">
      <c r="A32" s="12" t="s">
        <v>21</v>
      </c>
      <c r="B32" s="134"/>
      <c r="C32" s="134"/>
      <c r="D32" s="12"/>
      <c r="E32" s="12"/>
      <c r="F32" s="81"/>
      <c r="G32" s="131"/>
      <c r="H32" s="131">
        <v>0</v>
      </c>
      <c r="I32" s="131"/>
      <c r="J32" s="119">
        <f>J31+D32+E32-H32-I32</f>
        <v>23045</v>
      </c>
      <c r="K32" s="83">
        <f t="shared" si="0"/>
        <v>506.98999999999995</v>
      </c>
    </row>
    <row r="33" spans="1:12" ht="14.4" x14ac:dyDescent="0.3">
      <c r="A33" s="12" t="s">
        <v>22</v>
      </c>
      <c r="B33" t="s">
        <v>1087</v>
      </c>
      <c r="C33" s="147" t="s">
        <v>1088</v>
      </c>
      <c r="D33" s="12">
        <v>4216</v>
      </c>
      <c r="E33" s="12"/>
      <c r="F33" s="81"/>
      <c r="G33" s="131"/>
      <c r="H33" s="131">
        <v>1982</v>
      </c>
      <c r="I33" s="131"/>
      <c r="J33" s="119">
        <f>J32+D33+E33-H33-I33</f>
        <v>25279</v>
      </c>
      <c r="K33" s="83">
        <f t="shared" si="0"/>
        <v>556.13799999999992</v>
      </c>
    </row>
    <row r="34" spans="1:12" ht="14.4" x14ac:dyDescent="0.3">
      <c r="A34" s="12" t="s">
        <v>23</v>
      </c>
      <c r="B34" s="134"/>
      <c r="C34"/>
      <c r="D34" s="12"/>
      <c r="E34" s="12"/>
      <c r="F34" s="81"/>
      <c r="G34" s="131"/>
      <c r="H34" s="131">
        <v>0</v>
      </c>
      <c r="I34" s="131"/>
      <c r="J34" s="119">
        <f>J33+D34+E34-H34-I34</f>
        <v>25279</v>
      </c>
      <c r="K34" s="83">
        <f t="shared" si="0"/>
        <v>556.13799999999992</v>
      </c>
    </row>
    <row r="35" spans="1:12" ht="14.4" x14ac:dyDescent="0.3">
      <c r="A35" s="12" t="s">
        <v>24</v>
      </c>
      <c r="B35" s="81"/>
      <c r="C35" s="138"/>
      <c r="D35" s="12"/>
      <c r="E35" s="12"/>
      <c r="F35" s="81"/>
      <c r="G35" s="131"/>
      <c r="H35" s="131">
        <v>836</v>
      </c>
      <c r="I35" s="131"/>
      <c r="J35" s="119">
        <f t="shared" si="1"/>
        <v>24443</v>
      </c>
      <c r="K35" s="83">
        <f t="shared" si="0"/>
        <v>537.74599999999998</v>
      </c>
    </row>
    <row r="36" spans="1:12" ht="13.5" customHeight="1" x14ac:dyDescent="0.3">
      <c r="A36" s="12" t="s">
        <v>25</v>
      </c>
      <c r="B36" s="152" t="s">
        <v>1089</v>
      </c>
      <c r="C36" s="144" t="s">
        <v>1090</v>
      </c>
      <c r="D36" s="12">
        <v>2128</v>
      </c>
      <c r="E36" s="12"/>
      <c r="F36" s="12"/>
      <c r="G36" s="12"/>
      <c r="H36" s="131">
        <v>0</v>
      </c>
      <c r="I36" s="131"/>
      <c r="J36" s="119">
        <f t="shared" si="1"/>
        <v>26571</v>
      </c>
      <c r="K36" s="83">
        <f t="shared" si="0"/>
        <v>584.56200000000001</v>
      </c>
    </row>
    <row r="37" spans="1:12" ht="14.4" x14ac:dyDescent="0.3">
      <c r="A37" s="12" t="s">
        <v>26</v>
      </c>
      <c r="B37" s="134"/>
      <c r="C37" s="134"/>
      <c r="D37" s="12"/>
      <c r="E37" s="12"/>
      <c r="F37" s="12"/>
      <c r="G37" s="12"/>
      <c r="H37" s="131">
        <v>812</v>
      </c>
      <c r="I37" s="131"/>
      <c r="J37" s="119">
        <f t="shared" si="1"/>
        <v>25759</v>
      </c>
      <c r="K37" s="83">
        <f t="shared" si="0"/>
        <v>566.69799999999998</v>
      </c>
    </row>
    <row r="38" spans="1:12" x14ac:dyDescent="0.25">
      <c r="A38" s="12" t="s">
        <v>27</v>
      </c>
      <c r="B38" s="81"/>
      <c r="C38" s="81"/>
      <c r="D38" s="12"/>
      <c r="E38" s="12"/>
      <c r="F38" s="12"/>
      <c r="G38" s="12"/>
      <c r="H38" s="131">
        <v>583</v>
      </c>
      <c r="I38" s="131"/>
      <c r="J38" s="119">
        <f t="shared" si="1"/>
        <v>25176</v>
      </c>
      <c r="K38" s="83">
        <f t="shared" si="0"/>
        <v>553.87199999999996</v>
      </c>
    </row>
    <row r="39" spans="1:12" ht="14.4" x14ac:dyDescent="0.3">
      <c r="A39" s="12" t="s">
        <v>28</v>
      </c>
      <c r="B39" s="134"/>
      <c r="C39" s="144"/>
      <c r="D39" s="12"/>
      <c r="E39" s="12"/>
      <c r="F39" s="81"/>
      <c r="G39" s="12"/>
      <c r="H39" s="131">
        <v>0</v>
      </c>
      <c r="I39" s="131"/>
      <c r="J39" s="119">
        <f t="shared" ref="J39:J41" si="2">J38+D39+E39-H39-I39</f>
        <v>25176</v>
      </c>
      <c r="K39" s="83">
        <f t="shared" ref="K39:K41" si="3">0.022*J39</f>
        <v>553.87199999999996</v>
      </c>
    </row>
    <row r="40" spans="1:12" ht="14.4" x14ac:dyDescent="0.3">
      <c r="A40" s="12" t="s">
        <v>29</v>
      </c>
      <c r="B40" s="134"/>
      <c r="C40" s="144"/>
      <c r="D40" s="12"/>
      <c r="E40" s="12"/>
      <c r="F40" s="81"/>
      <c r="G40" s="12"/>
      <c r="H40" s="131">
        <v>0</v>
      </c>
      <c r="I40" s="131"/>
      <c r="J40" s="119">
        <f t="shared" si="2"/>
        <v>25176</v>
      </c>
      <c r="K40" s="83">
        <f t="shared" si="3"/>
        <v>553.87199999999996</v>
      </c>
    </row>
    <row r="41" spans="1:12" ht="14.4" x14ac:dyDescent="0.3">
      <c r="A41" s="12" t="s">
        <v>30</v>
      </c>
      <c r="B41" s="134"/>
      <c r="C41" s="144"/>
      <c r="D41" s="12"/>
      <c r="E41" s="12"/>
      <c r="F41" s="81"/>
      <c r="G41" s="12"/>
      <c r="H41" s="131">
        <v>801</v>
      </c>
      <c r="I41" s="131"/>
      <c r="J41" s="119">
        <f t="shared" si="2"/>
        <v>24375</v>
      </c>
      <c r="K41" s="83">
        <f t="shared" si="3"/>
        <v>536.25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10772</v>
      </c>
      <c r="E42" s="121">
        <f>SUM(E11:E41)</f>
        <v>0</v>
      </c>
      <c r="F42" s="120">
        <v>0</v>
      </c>
      <c r="G42" s="120"/>
      <c r="H42" s="121">
        <f>SUM(H10:H41)</f>
        <v>12888</v>
      </c>
      <c r="I42" s="121">
        <f>SUM(I11:I41)</f>
        <v>0</v>
      </c>
      <c r="J42" s="69">
        <f>AVERAGE(J11:J41)</f>
        <v>25373.580645161292</v>
      </c>
      <c r="K42" s="32">
        <f>SUM(K11:K41)</f>
        <v>17304.781999999996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10772</v>
      </c>
      <c r="I45" s="59">
        <v>0.31</v>
      </c>
      <c r="J45" s="48">
        <f>H45*I45</f>
        <v>3339.32</v>
      </c>
      <c r="K45" s="50">
        <f>kurs*J45</f>
        <v>391985.74426800001</v>
      </c>
    </row>
    <row r="46" spans="1:12" x14ac:dyDescent="0.25">
      <c r="E46" s="42" t="s">
        <v>54</v>
      </c>
      <c r="F46" s="43"/>
      <c r="G46" s="43"/>
      <c r="H46" s="44">
        <f>H42</f>
        <v>12888</v>
      </c>
      <c r="I46" s="59">
        <v>0.22</v>
      </c>
      <c r="J46" s="48">
        <f>H46*I46</f>
        <v>2835.36</v>
      </c>
      <c r="K46" s="50">
        <f t="shared" ref="K46" si="4">kurs*J46</f>
        <v>332828.45006400003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5">H47*I47</f>
        <v>0</v>
      </c>
      <c r="K47" s="50">
        <f t="shared" ref="K47:K50" si="6">kurs*J47</f>
        <v>0</v>
      </c>
    </row>
    <row r="48" spans="1:12" x14ac:dyDescent="0.25">
      <c r="E48" s="42" t="s">
        <v>581</v>
      </c>
      <c r="F48" s="43"/>
      <c r="G48" s="43"/>
      <c r="H48" s="44">
        <v>27</v>
      </c>
      <c r="I48" s="59">
        <v>1.65</v>
      </c>
      <c r="J48" s="48">
        <f t="shared" si="5"/>
        <v>44.55</v>
      </c>
      <c r="K48" s="50">
        <f t="shared" ref="K48:K49" si="7">kurs*J48</f>
        <v>5229.4972950000001</v>
      </c>
    </row>
    <row r="49" spans="3:12" x14ac:dyDescent="0.25">
      <c r="E49" s="42" t="s">
        <v>582</v>
      </c>
      <c r="F49" s="43"/>
      <c r="G49" s="43"/>
      <c r="H49" s="44">
        <v>27</v>
      </c>
      <c r="I49" s="59">
        <v>1.65</v>
      </c>
      <c r="J49" s="48">
        <f t="shared" si="5"/>
        <v>44.55</v>
      </c>
      <c r="K49" s="50">
        <f t="shared" si="7"/>
        <v>5229.4972950000001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5"/>
        <v>0</v>
      </c>
      <c r="K50" s="50">
        <f t="shared" si="6"/>
        <v>0</v>
      </c>
    </row>
    <row r="51" spans="3:12" x14ac:dyDescent="0.25">
      <c r="E51" s="45" t="s">
        <v>360</v>
      </c>
      <c r="F51" s="46"/>
      <c r="G51" s="46"/>
      <c r="H51" s="47">
        <v>8433</v>
      </c>
      <c r="I51" s="60">
        <v>0.12</v>
      </c>
      <c r="J51" s="48">
        <f t="shared" si="5"/>
        <v>1011.9599999999999</v>
      </c>
      <c r="K51" s="50">
        <f>kurs*J51</f>
        <v>118788.823404</v>
      </c>
    </row>
    <row r="52" spans="3:12" x14ac:dyDescent="0.25">
      <c r="E52" s="45" t="s">
        <v>629</v>
      </c>
      <c r="F52" s="46"/>
      <c r="G52" s="46"/>
      <c r="H52" s="47">
        <v>805</v>
      </c>
      <c r="I52" s="60">
        <v>0.08</v>
      </c>
      <c r="J52" s="48">
        <f t="shared" si="5"/>
        <v>64.400000000000006</v>
      </c>
      <c r="K52" s="50">
        <f>kurs*J52</f>
        <v>7559.5875600000008</v>
      </c>
    </row>
    <row r="53" spans="3:12" x14ac:dyDescent="0.25">
      <c r="E53" s="45" t="s">
        <v>656</v>
      </c>
      <c r="F53" s="46"/>
      <c r="G53" s="46"/>
      <c r="H53" s="47">
        <v>0</v>
      </c>
      <c r="I53" s="60">
        <v>200</v>
      </c>
      <c r="J53" s="48">
        <f t="shared" si="5"/>
        <v>0</v>
      </c>
      <c r="K53" s="50">
        <f>kurs*J53</f>
        <v>0</v>
      </c>
    </row>
    <row r="54" spans="3:12" x14ac:dyDescent="0.25">
      <c r="E54" s="45" t="s">
        <v>1043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17304.781999999996</v>
      </c>
      <c r="K55" s="50">
        <f>kurs*J55</f>
        <v>2031320.1045917994</v>
      </c>
      <c r="L55" s="61"/>
    </row>
    <row r="56" spans="3:12" x14ac:dyDescent="0.25">
      <c r="E56" s="22"/>
      <c r="I56" t="s">
        <v>56</v>
      </c>
      <c r="J56" s="52">
        <f>SUM(J45:J55)</f>
        <v>24644.921999999995</v>
      </c>
      <c r="K56" s="51">
        <f>SUM(K45:K55)</f>
        <v>2892941.7044777996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9331-C62C-4C89-ACEE-F69D695066C9}">
  <dimension ref="A1:L61"/>
  <sheetViews>
    <sheetView view="pageBreakPreview" topLeftCell="A16" zoomScaleNormal="100" zoomScaleSheetLayoutView="100" workbookViewId="0">
      <selection activeCell="H29" sqref="H29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1077</v>
      </c>
      <c r="H3" s="4"/>
      <c r="I3" s="4"/>
    </row>
    <row r="4" spans="1:11" x14ac:dyDescent="0.25">
      <c r="B4" s="2"/>
      <c r="C4" s="6"/>
      <c r="F4" s="3" t="s">
        <v>1078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148">
        <v>117.401</v>
      </c>
      <c r="F6" t="s">
        <v>42</v>
      </c>
      <c r="G6" s="102">
        <v>2602004005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ht="14.4" x14ac:dyDescent="0.3">
      <c r="A10" s="158" t="s">
        <v>62</v>
      </c>
      <c r="B10" s="159"/>
      <c r="C10" s="55"/>
      <c r="D10" s="8">
        <v>38458</v>
      </c>
      <c r="E10" s="9"/>
      <c r="F10" s="7"/>
      <c r="G10" s="8"/>
      <c r="H10" s="103"/>
      <c r="I10" s="136"/>
      <c r="J10" s="38"/>
      <c r="K10" s="40"/>
    </row>
    <row r="11" spans="1:11" ht="13.5" customHeight="1" x14ac:dyDescent="0.3">
      <c r="A11" s="96" t="s">
        <v>0</v>
      </c>
      <c r="B11" s="134"/>
      <c r="C11" s="138"/>
      <c r="D11" s="12"/>
      <c r="E11" s="56"/>
      <c r="F11" s="12"/>
      <c r="G11" s="12"/>
      <c r="H11" s="81">
        <v>0</v>
      </c>
      <c r="I11" s="136"/>
      <c r="J11" s="119">
        <f>D10+D11+E11-H11-I11</f>
        <v>38458</v>
      </c>
      <c r="K11" s="83">
        <f>0.022*J11</f>
        <v>846.07599999999991</v>
      </c>
    </row>
    <row r="12" spans="1:11" ht="14.25" customHeight="1" x14ac:dyDescent="0.3">
      <c r="A12" s="12" t="s">
        <v>1</v>
      </c>
      <c r="B12" s="149" t="s">
        <v>1075</v>
      </c>
      <c r="C12" s="140"/>
      <c r="D12" s="12">
        <v>8</v>
      </c>
      <c r="E12" s="12"/>
      <c r="F12" s="12"/>
      <c r="G12" s="12"/>
      <c r="H12" s="81">
        <v>0</v>
      </c>
      <c r="I12" s="136"/>
      <c r="J12" s="119">
        <f>J11+D12+E12-H12-I12</f>
        <v>38466</v>
      </c>
      <c r="K12" s="83">
        <f t="shared" ref="K12:K38" si="0">0.022*J12</f>
        <v>846.25199999999995</v>
      </c>
    </row>
    <row r="13" spans="1:11" ht="13.5" customHeight="1" x14ac:dyDescent="0.3">
      <c r="A13" s="12" t="s">
        <v>2</v>
      </c>
      <c r="B13" s="135"/>
      <c r="C13" s="150"/>
      <c r="D13" s="56"/>
      <c r="E13" s="56"/>
      <c r="F13" s="12"/>
      <c r="G13" s="12"/>
      <c r="H13" s="81">
        <v>0</v>
      </c>
      <c r="I13" s="136"/>
      <c r="J13" s="119">
        <f t="shared" ref="J13:J38" si="1">J12+D13+E13-H13-I13</f>
        <v>38466</v>
      </c>
      <c r="K13" s="83">
        <f t="shared" si="0"/>
        <v>846.25199999999995</v>
      </c>
    </row>
    <row r="14" spans="1:11" ht="14.4" x14ac:dyDescent="0.3">
      <c r="A14" s="12" t="s">
        <v>3</v>
      </c>
      <c r="B14" s="134"/>
      <c r="C14" s="137"/>
      <c r="D14" s="12"/>
      <c r="E14" s="12"/>
      <c r="F14" s="12"/>
      <c r="G14" s="12"/>
      <c r="H14" s="81">
        <v>0</v>
      </c>
      <c r="I14" s="136"/>
      <c r="J14" s="119">
        <f>J13+D14+E14-H14-I14</f>
        <v>38466</v>
      </c>
      <c r="K14" s="83">
        <f t="shared" si="0"/>
        <v>846.25199999999995</v>
      </c>
    </row>
    <row r="15" spans="1:11" ht="14.4" x14ac:dyDescent="0.3">
      <c r="A15" s="12" t="s">
        <v>4</v>
      </c>
      <c r="B15" s="135"/>
      <c r="C15" s="150"/>
      <c r="D15" s="12"/>
      <c r="E15" s="12"/>
      <c r="F15" s="12"/>
      <c r="G15" s="12"/>
      <c r="H15" s="81">
        <v>0</v>
      </c>
      <c r="I15" s="136"/>
      <c r="J15" s="119">
        <f t="shared" si="1"/>
        <v>38466</v>
      </c>
      <c r="K15" s="83">
        <f t="shared" si="0"/>
        <v>846.25199999999995</v>
      </c>
    </row>
    <row r="16" spans="1:11" ht="14.4" x14ac:dyDescent="0.3">
      <c r="A16" s="12" t="s">
        <v>5</v>
      </c>
      <c r="B16" s="134"/>
      <c r="C16" s="143"/>
      <c r="D16" s="12"/>
      <c r="E16" s="12"/>
      <c r="F16" s="12"/>
      <c r="G16" s="12"/>
      <c r="H16" s="81">
        <v>0</v>
      </c>
      <c r="I16" s="136"/>
      <c r="J16" s="119">
        <f t="shared" si="1"/>
        <v>38466</v>
      </c>
      <c r="K16" s="83">
        <f t="shared" si="0"/>
        <v>846.25199999999995</v>
      </c>
    </row>
    <row r="17" spans="1:11" ht="14.4" x14ac:dyDescent="0.3">
      <c r="A17" s="12" t="s">
        <v>6</v>
      </c>
      <c r="B17" s="73"/>
      <c r="C17" s="144"/>
      <c r="D17" s="12"/>
      <c r="E17" s="12"/>
      <c r="F17" s="81"/>
      <c r="G17" s="12"/>
      <c r="H17" s="81">
        <v>0</v>
      </c>
      <c r="I17" s="136"/>
      <c r="J17" s="119">
        <f>J16+D17+E17-H17-I17</f>
        <v>38466</v>
      </c>
      <c r="K17" s="83">
        <f t="shared" si="0"/>
        <v>846.25199999999995</v>
      </c>
    </row>
    <row r="18" spans="1:11" ht="14.4" x14ac:dyDescent="0.3">
      <c r="A18" s="12" t="s">
        <v>7</v>
      </c>
      <c r="B18" s="144"/>
      <c r="C18" s="134"/>
      <c r="D18" s="12"/>
      <c r="E18" s="12"/>
      <c r="F18" s="12"/>
      <c r="G18" s="12"/>
      <c r="H18" s="81">
        <v>0</v>
      </c>
      <c r="I18" s="136"/>
      <c r="J18" s="119">
        <f>J17+D18+E18-H18-I18</f>
        <v>38466</v>
      </c>
      <c r="K18" s="83">
        <f t="shared" si="0"/>
        <v>846.25199999999995</v>
      </c>
    </row>
    <row r="19" spans="1:11" ht="13.5" customHeight="1" x14ac:dyDescent="0.3">
      <c r="A19" s="12" t="s">
        <v>8</v>
      </c>
      <c r="B19" s="144"/>
      <c r="C19" s="144"/>
      <c r="D19" s="12"/>
      <c r="E19" s="12"/>
      <c r="F19" s="81"/>
      <c r="G19" s="131"/>
      <c r="H19" s="81">
        <v>0</v>
      </c>
      <c r="I19" s="136"/>
      <c r="J19" s="119">
        <f t="shared" si="1"/>
        <v>38466</v>
      </c>
      <c r="K19" s="83">
        <f t="shared" si="0"/>
        <v>846.25199999999995</v>
      </c>
    </row>
    <row r="20" spans="1:11" ht="14.4" x14ac:dyDescent="0.3">
      <c r="A20" s="12" t="s">
        <v>9</v>
      </c>
      <c r="B20" s="137"/>
      <c r="C20" s="137"/>
      <c r="D20" s="12"/>
      <c r="E20" s="12"/>
      <c r="F20" s="81"/>
      <c r="G20" s="131"/>
      <c r="H20" s="81">
        <v>0</v>
      </c>
      <c r="I20" s="136"/>
      <c r="J20" s="119">
        <f t="shared" si="1"/>
        <v>38466</v>
      </c>
      <c r="K20" s="83">
        <f t="shared" si="0"/>
        <v>846.25199999999995</v>
      </c>
    </row>
    <row r="21" spans="1:11" ht="14.4" x14ac:dyDescent="0.3">
      <c r="A21" s="12" t="s">
        <v>10</v>
      </c>
      <c r="B21" s="145"/>
      <c r="C21" s="145"/>
      <c r="D21" s="12"/>
      <c r="E21" s="12"/>
      <c r="F21" s="81"/>
      <c r="G21" s="131"/>
      <c r="H21" s="81">
        <v>1174</v>
      </c>
      <c r="I21" s="136"/>
      <c r="J21" s="119">
        <f t="shared" si="1"/>
        <v>37292</v>
      </c>
      <c r="K21" s="83">
        <f t="shared" si="0"/>
        <v>820.42399999999998</v>
      </c>
    </row>
    <row r="22" spans="1:11" ht="14.4" x14ac:dyDescent="0.3">
      <c r="A22" s="12" t="s">
        <v>11</v>
      </c>
      <c r="B22" s="151"/>
      <c r="C22" s="151"/>
      <c r="D22" s="12"/>
      <c r="E22" s="12"/>
      <c r="F22" s="81"/>
      <c r="G22" s="131"/>
      <c r="H22" s="81">
        <v>1424</v>
      </c>
      <c r="I22" s="136"/>
      <c r="J22" s="119">
        <f t="shared" si="1"/>
        <v>35868</v>
      </c>
      <c r="K22" s="83">
        <f t="shared" si="0"/>
        <v>789.096</v>
      </c>
    </row>
    <row r="23" spans="1:11" ht="14.4" x14ac:dyDescent="0.3">
      <c r="A23" s="12" t="s">
        <v>12</v>
      </c>
      <c r="B23" s="151"/>
      <c r="C23" s="151"/>
      <c r="D23" s="12"/>
      <c r="E23" s="12"/>
      <c r="F23" s="81"/>
      <c r="G23" s="131"/>
      <c r="H23" s="81">
        <v>1539</v>
      </c>
      <c r="I23" s="136"/>
      <c r="J23" s="119">
        <f>J22+D23+E23-H23-I23</f>
        <v>34329</v>
      </c>
      <c r="K23" s="83">
        <f t="shared" si="0"/>
        <v>755.23799999999994</v>
      </c>
    </row>
    <row r="24" spans="1:11" ht="14.4" x14ac:dyDescent="0.3">
      <c r="A24" s="12" t="s">
        <v>13</v>
      </c>
      <c r="B24" s="134"/>
      <c r="C24" s="134"/>
      <c r="D24" s="12"/>
      <c r="E24" s="12"/>
      <c r="F24" s="81"/>
      <c r="G24" s="131"/>
      <c r="H24" s="81">
        <v>1307</v>
      </c>
      <c r="I24" s="136"/>
      <c r="J24" s="119">
        <f t="shared" si="1"/>
        <v>33022</v>
      </c>
      <c r="K24" s="83">
        <f t="shared" si="0"/>
        <v>726.48399999999992</v>
      </c>
    </row>
    <row r="25" spans="1:11" ht="14.4" x14ac:dyDescent="0.3">
      <c r="A25" s="12" t="s">
        <v>14</v>
      </c>
      <c r="B25" s="134"/>
      <c r="C25" s="134"/>
      <c r="D25" s="12"/>
      <c r="E25" s="12"/>
      <c r="F25" s="81"/>
      <c r="G25" s="131"/>
      <c r="H25" s="81">
        <v>0</v>
      </c>
      <c r="I25" s="136"/>
      <c r="J25" s="119">
        <f t="shared" si="1"/>
        <v>33022</v>
      </c>
      <c r="K25" s="83">
        <f t="shared" si="0"/>
        <v>726.48399999999992</v>
      </c>
    </row>
    <row r="26" spans="1:11" ht="13.5" customHeight="1" x14ac:dyDescent="0.3">
      <c r="A26" s="12" t="s">
        <v>15</v>
      </c>
      <c r="B26" s="134" t="s">
        <v>1079</v>
      </c>
      <c r="C26" s="143"/>
      <c r="D26" s="12">
        <v>4</v>
      </c>
      <c r="E26" s="12"/>
      <c r="F26" s="81"/>
      <c r="G26" s="131"/>
      <c r="H26" s="81">
        <v>0</v>
      </c>
      <c r="I26" s="136"/>
      <c r="J26" s="119">
        <f t="shared" si="1"/>
        <v>33026</v>
      </c>
      <c r="K26" s="83">
        <f t="shared" si="0"/>
        <v>726.572</v>
      </c>
    </row>
    <row r="27" spans="1:11" ht="14.4" x14ac:dyDescent="0.3">
      <c r="A27" s="12" t="s">
        <v>16</v>
      </c>
      <c r="B27" s="144"/>
      <c r="C27" s="73"/>
      <c r="D27" s="12"/>
      <c r="E27" s="12"/>
      <c r="F27" s="81"/>
      <c r="G27" s="131"/>
      <c r="H27" s="81">
        <v>0</v>
      </c>
      <c r="I27" s="136"/>
      <c r="J27" s="119">
        <f t="shared" si="1"/>
        <v>33026</v>
      </c>
      <c r="K27" s="83">
        <f t="shared" si="0"/>
        <v>726.572</v>
      </c>
    </row>
    <row r="28" spans="1:11" ht="14.4" x14ac:dyDescent="0.3">
      <c r="A28" s="12" t="s">
        <v>17</v>
      </c>
      <c r="B28" s="144"/>
      <c r="C28" s="144"/>
      <c r="D28" s="12"/>
      <c r="E28" s="12"/>
      <c r="F28" s="81"/>
      <c r="G28" s="131"/>
      <c r="H28" s="81">
        <v>801</v>
      </c>
      <c r="I28" s="136"/>
      <c r="J28" s="119">
        <f t="shared" si="1"/>
        <v>32225</v>
      </c>
      <c r="K28" s="83">
        <f t="shared" si="0"/>
        <v>708.94999999999993</v>
      </c>
    </row>
    <row r="29" spans="1:11" ht="14.4" x14ac:dyDescent="0.3">
      <c r="A29" s="12" t="s">
        <v>18</v>
      </c>
      <c r="B29" s="144"/>
      <c r="C29" s="144"/>
      <c r="D29" s="12"/>
      <c r="E29" s="12"/>
      <c r="F29" s="81"/>
      <c r="G29" s="133"/>
      <c r="H29" s="81">
        <v>1676</v>
      </c>
      <c r="I29" s="136"/>
      <c r="J29" s="119">
        <f t="shared" si="1"/>
        <v>30549</v>
      </c>
      <c r="K29" s="83">
        <f t="shared" si="0"/>
        <v>672.07799999999997</v>
      </c>
    </row>
    <row r="30" spans="1:11" ht="14.4" x14ac:dyDescent="0.3">
      <c r="A30" s="12" t="s">
        <v>19</v>
      </c>
      <c r="B30" s="134"/>
      <c r="C30" s="134"/>
      <c r="D30" s="12"/>
      <c r="E30" s="12"/>
      <c r="F30" s="81"/>
      <c r="G30" s="131"/>
      <c r="H30" s="81">
        <v>781</v>
      </c>
      <c r="I30" s="136"/>
      <c r="J30" s="119">
        <f>J29+D30+E30-H30-I30</f>
        <v>29768</v>
      </c>
      <c r="K30" s="83">
        <f t="shared" si="0"/>
        <v>654.89599999999996</v>
      </c>
    </row>
    <row r="31" spans="1:11" ht="14.4" x14ac:dyDescent="0.3">
      <c r="A31" s="12" t="s">
        <v>20</v>
      </c>
      <c r="B31" s="135"/>
      <c r="C31" s="146"/>
      <c r="D31" s="12"/>
      <c r="E31" s="106"/>
      <c r="F31" s="81"/>
      <c r="G31" s="131"/>
      <c r="H31" s="81">
        <v>0</v>
      </c>
      <c r="I31" s="136"/>
      <c r="J31" s="119">
        <f t="shared" si="1"/>
        <v>29768</v>
      </c>
      <c r="K31" s="83">
        <f t="shared" si="0"/>
        <v>654.89599999999996</v>
      </c>
    </row>
    <row r="32" spans="1:11" ht="14.4" x14ac:dyDescent="0.3">
      <c r="A32" s="12" t="s">
        <v>21</v>
      </c>
      <c r="B32" s="134"/>
      <c r="C32" s="134"/>
      <c r="D32" s="12"/>
      <c r="E32" s="12"/>
      <c r="F32" s="81"/>
      <c r="G32" s="131"/>
      <c r="H32" s="81">
        <v>0</v>
      </c>
      <c r="I32" s="136"/>
      <c r="J32" s="119">
        <f>J31+D32+E32-H32-I32</f>
        <v>29768</v>
      </c>
      <c r="K32" s="83">
        <f t="shared" si="0"/>
        <v>654.89599999999996</v>
      </c>
    </row>
    <row r="33" spans="1:12" ht="14.4" x14ac:dyDescent="0.3">
      <c r="A33" s="12" t="s">
        <v>22</v>
      </c>
      <c r="B33" s="134"/>
      <c r="C33" s="147"/>
      <c r="D33" s="12"/>
      <c r="E33" s="12"/>
      <c r="F33" s="81"/>
      <c r="G33" s="131"/>
      <c r="H33" s="81">
        <v>0</v>
      </c>
      <c r="I33" s="136"/>
      <c r="J33" s="119">
        <f>J32+D33+E33-H33-I33</f>
        <v>29768</v>
      </c>
      <c r="K33" s="83">
        <f t="shared" si="0"/>
        <v>654.89599999999996</v>
      </c>
    </row>
    <row r="34" spans="1:12" ht="14.4" x14ac:dyDescent="0.3">
      <c r="A34" s="12" t="s">
        <v>23</v>
      </c>
      <c r="B34" s="134"/>
      <c r="C34"/>
      <c r="D34" s="12"/>
      <c r="E34" s="12"/>
      <c r="F34" s="81"/>
      <c r="G34" s="131"/>
      <c r="H34" s="81">
        <v>0</v>
      </c>
      <c r="I34" s="136"/>
      <c r="J34" s="119">
        <f>J33+D34+E34-H34-I34</f>
        <v>29768</v>
      </c>
      <c r="K34" s="83">
        <f t="shared" si="0"/>
        <v>654.89599999999996</v>
      </c>
    </row>
    <row r="35" spans="1:12" ht="14.4" x14ac:dyDescent="0.3">
      <c r="A35" s="12" t="s">
        <v>24</v>
      </c>
      <c r="B35" s="81"/>
      <c r="C35" s="138"/>
      <c r="D35" s="12"/>
      <c r="E35" s="12"/>
      <c r="F35" s="81"/>
      <c r="G35" s="131"/>
      <c r="H35" s="81">
        <v>0</v>
      </c>
      <c r="I35" s="136"/>
      <c r="J35" s="119">
        <f t="shared" si="1"/>
        <v>29768</v>
      </c>
      <c r="K35" s="83">
        <f t="shared" si="0"/>
        <v>654.89599999999996</v>
      </c>
    </row>
    <row r="36" spans="1:12" ht="13.5" customHeight="1" x14ac:dyDescent="0.3">
      <c r="A36" s="12" t="s">
        <v>25</v>
      </c>
      <c r="B36" s="144"/>
      <c r="C36" s="144"/>
      <c r="D36" s="12"/>
      <c r="E36" s="12"/>
      <c r="F36" s="12"/>
      <c r="G36" s="12"/>
      <c r="H36" s="81">
        <v>0</v>
      </c>
      <c r="I36" s="136"/>
      <c r="J36" s="119">
        <f t="shared" si="1"/>
        <v>29768</v>
      </c>
      <c r="K36" s="83">
        <f t="shared" si="0"/>
        <v>654.89599999999996</v>
      </c>
    </row>
    <row r="37" spans="1:12" ht="14.4" x14ac:dyDescent="0.3">
      <c r="A37" s="12" t="s">
        <v>26</v>
      </c>
      <c r="B37" s="134"/>
      <c r="C37" s="134"/>
      <c r="D37" s="12"/>
      <c r="E37" s="12"/>
      <c r="F37" s="12"/>
      <c r="G37" s="12"/>
      <c r="H37" s="81">
        <v>2377</v>
      </c>
      <c r="I37" s="136"/>
      <c r="J37" s="119">
        <f t="shared" si="1"/>
        <v>27391</v>
      </c>
      <c r="K37" s="83">
        <f t="shared" si="0"/>
        <v>602.60199999999998</v>
      </c>
    </row>
    <row r="38" spans="1:12" ht="14.4" x14ac:dyDescent="0.3">
      <c r="A38" s="12" t="s">
        <v>27</v>
      </c>
      <c r="B38" s="81"/>
      <c r="C38" s="81"/>
      <c r="D38" s="12"/>
      <c r="E38" s="12"/>
      <c r="F38" s="12"/>
      <c r="G38" s="12"/>
      <c r="H38" s="81">
        <v>900</v>
      </c>
      <c r="I38" s="136"/>
      <c r="J38" s="119">
        <f t="shared" si="1"/>
        <v>26491</v>
      </c>
      <c r="K38" s="83">
        <f t="shared" si="0"/>
        <v>582.80200000000002</v>
      </c>
    </row>
    <row r="39" spans="1:12" ht="14.4" x14ac:dyDescent="0.3">
      <c r="A39" s="12"/>
      <c r="B39" s="134"/>
      <c r="C39" s="144"/>
      <c r="D39" s="12"/>
      <c r="E39" s="12"/>
      <c r="F39" s="81"/>
      <c r="G39" s="12"/>
      <c r="H39" s="81"/>
      <c r="I39" s="136"/>
      <c r="J39" s="119"/>
      <c r="K39" s="83"/>
    </row>
    <row r="40" spans="1:12" ht="14.4" x14ac:dyDescent="0.3">
      <c r="A40" s="12"/>
      <c r="B40" s="134"/>
      <c r="C40" s="144"/>
      <c r="D40" s="12"/>
      <c r="E40" s="12"/>
      <c r="F40" s="81"/>
      <c r="G40" s="12"/>
      <c r="H40" s="81"/>
      <c r="I40" s="136"/>
      <c r="J40" s="119"/>
      <c r="K40" s="83"/>
    </row>
    <row r="41" spans="1:12" ht="14.4" x14ac:dyDescent="0.3">
      <c r="A41" s="12"/>
      <c r="B41" s="134"/>
      <c r="C41" s="144"/>
      <c r="D41" s="12"/>
      <c r="E41" s="12"/>
      <c r="F41" s="81"/>
      <c r="G41" s="12"/>
      <c r="H41" s="81"/>
      <c r="I41" s="136"/>
      <c r="J41" s="119"/>
      <c r="K41" s="83"/>
    </row>
    <row r="42" spans="1:12" ht="15" thickBot="1" x14ac:dyDescent="0.35">
      <c r="A42" s="160"/>
      <c r="B42" s="160"/>
      <c r="C42" s="120" t="s">
        <v>31</v>
      </c>
      <c r="D42" s="121">
        <f>SUM(D11:D41)</f>
        <v>12</v>
      </c>
      <c r="E42" s="121">
        <f>SUM(E11:E41)</f>
        <v>0</v>
      </c>
      <c r="F42" s="120">
        <v>0</v>
      </c>
      <c r="G42" s="120"/>
      <c r="H42" s="121">
        <f>SUM(H10:H41)</f>
        <v>11979</v>
      </c>
      <c r="I42" s="121">
        <f>SUM(I11:I41)</f>
        <v>0</v>
      </c>
      <c r="J42" s="69">
        <f>AVERAGE(J11:J41)</f>
        <v>33902.464285714283</v>
      </c>
      <c r="K42" s="32">
        <f>SUM(K11:K41)</f>
        <v>20883.918000000001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12</v>
      </c>
      <c r="I45" s="59">
        <v>0.31</v>
      </c>
      <c r="J45" s="48">
        <f>H45*I45</f>
        <v>3.7199999999999998</v>
      </c>
      <c r="K45" s="50">
        <f>kurs*J45</f>
        <v>436.73171999999994</v>
      </c>
    </row>
    <row r="46" spans="1:12" x14ac:dyDescent="0.25">
      <c r="E46" s="42" t="s">
        <v>54</v>
      </c>
      <c r="F46" s="43"/>
      <c r="G46" s="43"/>
      <c r="H46" s="44">
        <f>H42+I42</f>
        <v>11979</v>
      </c>
      <c r="I46" s="59">
        <v>0.22</v>
      </c>
      <c r="J46" s="48">
        <f>H46*I46</f>
        <v>2635.38</v>
      </c>
      <c r="K46" s="50">
        <f t="shared" ref="K46" si="2">kurs*J46</f>
        <v>309396.24738000002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656</v>
      </c>
      <c r="F53" s="46"/>
      <c r="G53" s="46"/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1043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20883.918000000001</v>
      </c>
      <c r="K55" s="50">
        <f>kurs*J55</f>
        <v>2451792.8571180003</v>
      </c>
      <c r="L55" s="61"/>
    </row>
    <row r="56" spans="3:12" x14ac:dyDescent="0.25">
      <c r="E56" s="22"/>
      <c r="I56" t="s">
        <v>56</v>
      </c>
      <c r="J56" s="52">
        <f>SUM(J45:J55)</f>
        <v>23523.018</v>
      </c>
      <c r="K56" s="51">
        <f>SUM(K45:K55)</f>
        <v>2761625.8362180004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E995-3E69-4472-A9E9-0A89F55F3F91}">
  <dimension ref="A1:L61"/>
  <sheetViews>
    <sheetView view="pageBreakPreview" topLeftCell="A34" zoomScaleNormal="100" zoomScaleSheetLayoutView="100" workbookViewId="0">
      <selection activeCell="C44" sqref="C44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1068</v>
      </c>
      <c r="H3" s="4"/>
      <c r="I3" s="4"/>
    </row>
    <row r="4" spans="1:11" x14ac:dyDescent="0.25">
      <c r="B4" s="2"/>
      <c r="C4" s="6"/>
      <c r="F4" s="3" t="s">
        <v>1069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148">
        <v>117.414</v>
      </c>
      <c r="F6" t="s">
        <v>42</v>
      </c>
      <c r="G6" s="102">
        <v>2601001648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ht="14.4" x14ac:dyDescent="0.3">
      <c r="A10" s="158" t="s">
        <v>62</v>
      </c>
      <c r="B10" s="159"/>
      <c r="C10" s="55"/>
      <c r="D10" s="8">
        <v>36284</v>
      </c>
      <c r="E10" s="9"/>
      <c r="F10" s="7"/>
      <c r="G10" s="8"/>
      <c r="H10" s="103"/>
      <c r="I10" s="136"/>
      <c r="J10" s="38"/>
      <c r="K10" s="40"/>
    </row>
    <row r="11" spans="1:11" ht="13.5" customHeight="1" x14ac:dyDescent="0.3">
      <c r="A11" s="96" t="s">
        <v>0</v>
      </c>
      <c r="B11" s="134"/>
      <c r="C11" s="138"/>
      <c r="D11" s="12"/>
      <c r="E11" s="56"/>
      <c r="F11" s="12"/>
      <c r="G11" s="12"/>
      <c r="H11" s="81">
        <v>0</v>
      </c>
      <c r="I11" s="136"/>
      <c r="J11" s="119">
        <f>D10+D11+E11-H11-I11</f>
        <v>36284</v>
      </c>
      <c r="K11" s="83">
        <f>0.022*J11</f>
        <v>798.24799999999993</v>
      </c>
    </row>
    <row r="12" spans="1:11" ht="14.25" customHeight="1" x14ac:dyDescent="0.3">
      <c r="A12" s="12" t="s">
        <v>1</v>
      </c>
      <c r="B12" s="149"/>
      <c r="C12" s="140"/>
      <c r="D12" s="12"/>
      <c r="E12" s="12"/>
      <c r="F12" s="12"/>
      <c r="G12" s="12"/>
      <c r="H12" s="81">
        <v>0</v>
      </c>
      <c r="I12" s="136"/>
      <c r="J12" s="119">
        <f>J11+D12+E12-H12-I12</f>
        <v>36284</v>
      </c>
      <c r="K12" s="83">
        <f t="shared" ref="K12:K41" si="0">0.022*J12</f>
        <v>798.24799999999993</v>
      </c>
    </row>
    <row r="13" spans="1:11" ht="13.5" customHeight="1" x14ac:dyDescent="0.3">
      <c r="A13" s="12" t="s">
        <v>2</v>
      </c>
      <c r="B13" s="135"/>
      <c r="C13" s="150"/>
      <c r="D13" s="56"/>
      <c r="E13" s="56"/>
      <c r="F13" s="12"/>
      <c r="G13" s="12"/>
      <c r="H13" s="81">
        <v>0</v>
      </c>
      <c r="I13" s="136"/>
      <c r="J13" s="119">
        <f t="shared" ref="J13:J41" si="1">J12+D13+E13-H13-I13</f>
        <v>36284</v>
      </c>
      <c r="K13" s="83">
        <f t="shared" si="0"/>
        <v>798.24799999999993</v>
      </c>
    </row>
    <row r="14" spans="1:11" ht="14.4" x14ac:dyDescent="0.3">
      <c r="A14" s="12" t="s">
        <v>3</v>
      </c>
      <c r="B14" s="134"/>
      <c r="C14" s="137"/>
      <c r="D14" s="12"/>
      <c r="E14" s="12"/>
      <c r="F14" s="12"/>
      <c r="G14" s="12"/>
      <c r="H14" s="81">
        <v>0</v>
      </c>
      <c r="I14" s="136"/>
      <c r="J14" s="119">
        <f>J13+D14+E14-H14-I14</f>
        <v>36284</v>
      </c>
      <c r="K14" s="83">
        <f t="shared" si="0"/>
        <v>798.24799999999993</v>
      </c>
    </row>
    <row r="15" spans="1:11" ht="14.4" x14ac:dyDescent="0.3">
      <c r="A15" s="12" t="s">
        <v>4</v>
      </c>
      <c r="B15" s="135"/>
      <c r="C15" s="150"/>
      <c r="D15" s="12"/>
      <c r="E15" s="12"/>
      <c r="F15" s="12"/>
      <c r="G15" s="12"/>
      <c r="H15" s="81">
        <v>0</v>
      </c>
      <c r="I15" s="136"/>
      <c r="J15" s="119">
        <f t="shared" si="1"/>
        <v>36284</v>
      </c>
      <c r="K15" s="83">
        <f t="shared" si="0"/>
        <v>798.24799999999993</v>
      </c>
    </row>
    <row r="16" spans="1:11" ht="14.4" x14ac:dyDescent="0.3">
      <c r="A16" s="12" t="s">
        <v>5</v>
      </c>
      <c r="B16" s="134"/>
      <c r="C16" s="143"/>
      <c r="D16" s="12"/>
      <c r="E16" s="12"/>
      <c r="F16" s="12"/>
      <c r="G16" s="12"/>
      <c r="H16" s="81">
        <v>0</v>
      </c>
      <c r="I16" s="136"/>
      <c r="J16" s="119">
        <f t="shared" si="1"/>
        <v>36284</v>
      </c>
      <c r="K16" s="83">
        <f t="shared" si="0"/>
        <v>798.24799999999993</v>
      </c>
    </row>
    <row r="17" spans="1:11" ht="14.4" x14ac:dyDescent="0.3">
      <c r="A17" s="12" t="s">
        <v>6</v>
      </c>
      <c r="B17" s="73"/>
      <c r="C17" s="144"/>
      <c r="D17" s="12"/>
      <c r="E17" s="12"/>
      <c r="F17" s="81"/>
      <c r="G17" s="12"/>
      <c r="H17" s="81">
        <v>0</v>
      </c>
      <c r="I17" s="136"/>
      <c r="J17" s="119">
        <f>J16+D17+E17-H17-I17</f>
        <v>36284</v>
      </c>
      <c r="K17" s="83">
        <f t="shared" si="0"/>
        <v>798.24799999999993</v>
      </c>
    </row>
    <row r="18" spans="1:11" ht="14.4" x14ac:dyDescent="0.3">
      <c r="A18" s="12" t="s">
        <v>7</v>
      </c>
      <c r="B18" s="144"/>
      <c r="C18" s="134"/>
      <c r="D18" s="12"/>
      <c r="E18" s="12"/>
      <c r="F18" s="12"/>
      <c r="G18" s="12"/>
      <c r="H18" s="81">
        <v>0</v>
      </c>
      <c r="I18" s="136"/>
      <c r="J18" s="119">
        <f>J17+D18+E18-H18-I18</f>
        <v>36284</v>
      </c>
      <c r="K18" s="83">
        <f t="shared" si="0"/>
        <v>798.24799999999993</v>
      </c>
    </row>
    <row r="19" spans="1:11" ht="13.5" customHeight="1" x14ac:dyDescent="0.3">
      <c r="A19" s="12" t="s">
        <v>8</v>
      </c>
      <c r="B19" s="144"/>
      <c r="C19" s="144"/>
      <c r="D19" s="12"/>
      <c r="E19" s="12"/>
      <c r="F19" s="81"/>
      <c r="G19" s="131"/>
      <c r="H19" s="81">
        <v>0</v>
      </c>
      <c r="I19" s="136"/>
      <c r="J19" s="119">
        <f t="shared" si="1"/>
        <v>36284</v>
      </c>
      <c r="K19" s="83">
        <f t="shared" si="0"/>
        <v>798.24799999999993</v>
      </c>
    </row>
    <row r="20" spans="1:11" ht="14.4" x14ac:dyDescent="0.3">
      <c r="A20" s="12" t="s">
        <v>9</v>
      </c>
      <c r="B20" s="137"/>
      <c r="C20" s="137"/>
      <c r="D20" s="12"/>
      <c r="E20" s="12"/>
      <c r="F20" s="81"/>
      <c r="G20" s="131"/>
      <c r="H20" s="81">
        <v>2045</v>
      </c>
      <c r="I20" s="136"/>
      <c r="J20" s="119">
        <f t="shared" si="1"/>
        <v>34239</v>
      </c>
      <c r="K20" s="83">
        <f t="shared" si="0"/>
        <v>753.25799999999992</v>
      </c>
    </row>
    <row r="21" spans="1:11" ht="14.4" x14ac:dyDescent="0.3">
      <c r="A21" s="12" t="s">
        <v>10</v>
      </c>
      <c r="B21" s="145"/>
      <c r="C21" s="145"/>
      <c r="D21" s="12"/>
      <c r="E21" s="12"/>
      <c r="F21" s="81"/>
      <c r="G21" s="131"/>
      <c r="H21" s="81">
        <v>0</v>
      </c>
      <c r="I21" s="136"/>
      <c r="J21" s="119">
        <f t="shared" si="1"/>
        <v>34239</v>
      </c>
      <c r="K21" s="83">
        <f t="shared" si="0"/>
        <v>753.25799999999992</v>
      </c>
    </row>
    <row r="22" spans="1:11" ht="14.4" x14ac:dyDescent="0.3">
      <c r="A22" s="12" t="s">
        <v>11</v>
      </c>
      <c r="B22" s="151" t="s">
        <v>1070</v>
      </c>
      <c r="C22" s="151" t="s">
        <v>1071</v>
      </c>
      <c r="D22" s="12">
        <v>1084</v>
      </c>
      <c r="E22" s="12"/>
      <c r="F22" s="81"/>
      <c r="G22" s="131"/>
      <c r="H22" s="81">
        <v>0</v>
      </c>
      <c r="I22" s="136"/>
      <c r="J22" s="119">
        <f t="shared" si="1"/>
        <v>35323</v>
      </c>
      <c r="K22" s="83">
        <f t="shared" si="0"/>
        <v>777.10599999999999</v>
      </c>
    </row>
    <row r="23" spans="1:11" ht="14.4" x14ac:dyDescent="0.3">
      <c r="A23" s="12" t="s">
        <v>12</v>
      </c>
      <c r="B23" s="151" t="s">
        <v>1072</v>
      </c>
      <c r="C23" s="151" t="s">
        <v>1076</v>
      </c>
      <c r="D23" s="12">
        <v>3771</v>
      </c>
      <c r="E23" s="12"/>
      <c r="F23" s="81"/>
      <c r="G23" s="131"/>
      <c r="H23" s="81">
        <v>1159</v>
      </c>
      <c r="I23" s="136"/>
      <c r="J23" s="119">
        <f>J22+D23+E23-H23-I23</f>
        <v>37935</v>
      </c>
      <c r="K23" s="83">
        <f t="shared" si="0"/>
        <v>834.56999999999994</v>
      </c>
    </row>
    <row r="24" spans="1:11" ht="14.4" x14ac:dyDescent="0.3">
      <c r="A24" s="12" t="s">
        <v>13</v>
      </c>
      <c r="B24" s="134"/>
      <c r="C24" s="134"/>
      <c r="D24" s="12"/>
      <c r="E24" s="12"/>
      <c r="F24" s="81"/>
      <c r="G24" s="131"/>
      <c r="H24" s="81">
        <v>0</v>
      </c>
      <c r="I24" s="136"/>
      <c r="J24" s="119">
        <f t="shared" si="1"/>
        <v>37935</v>
      </c>
      <c r="K24" s="83">
        <f t="shared" si="0"/>
        <v>834.56999999999994</v>
      </c>
    </row>
    <row r="25" spans="1:11" ht="14.4" x14ac:dyDescent="0.3">
      <c r="A25" s="12" t="s">
        <v>14</v>
      </c>
      <c r="B25" s="134" t="s">
        <v>1073</v>
      </c>
      <c r="C25" s="134" t="s">
        <v>1075</v>
      </c>
      <c r="D25" s="12">
        <v>1467</v>
      </c>
      <c r="E25" s="12"/>
      <c r="F25" s="81"/>
      <c r="G25" s="131"/>
      <c r="H25" s="81">
        <v>0</v>
      </c>
      <c r="I25" s="136"/>
      <c r="J25" s="119">
        <f t="shared" si="1"/>
        <v>39402</v>
      </c>
      <c r="K25" s="83">
        <f t="shared" si="0"/>
        <v>866.84399999999994</v>
      </c>
    </row>
    <row r="26" spans="1:11" ht="13.5" customHeight="1" x14ac:dyDescent="0.3">
      <c r="A26" s="12" t="s">
        <v>15</v>
      </c>
      <c r="B26" s="134"/>
      <c r="C26" s="143"/>
      <c r="D26" s="12"/>
      <c r="E26" s="12"/>
      <c r="F26" s="81"/>
      <c r="G26" s="131"/>
      <c r="H26" s="81">
        <v>0</v>
      </c>
      <c r="I26" s="136"/>
      <c r="J26" s="119">
        <f t="shared" si="1"/>
        <v>39402</v>
      </c>
      <c r="K26" s="83">
        <f t="shared" si="0"/>
        <v>866.84399999999994</v>
      </c>
    </row>
    <row r="27" spans="1:11" ht="14.4" x14ac:dyDescent="0.3">
      <c r="A27" s="12" t="s">
        <v>16</v>
      </c>
      <c r="B27" s="144"/>
      <c r="C27" s="73"/>
      <c r="D27" s="12"/>
      <c r="E27" s="12"/>
      <c r="F27" s="81"/>
      <c r="G27" s="131"/>
      <c r="H27" s="81">
        <v>0</v>
      </c>
      <c r="I27" s="136"/>
      <c r="J27" s="119">
        <f t="shared" si="1"/>
        <v>39402</v>
      </c>
      <c r="K27" s="83">
        <f t="shared" si="0"/>
        <v>866.84399999999994</v>
      </c>
    </row>
    <row r="28" spans="1:11" ht="14.4" x14ac:dyDescent="0.3">
      <c r="A28" s="12" t="s">
        <v>17</v>
      </c>
      <c r="B28" s="144"/>
      <c r="C28" s="144"/>
      <c r="D28" s="12"/>
      <c r="E28" s="12"/>
      <c r="F28" s="81"/>
      <c r="G28" s="131"/>
      <c r="H28" s="81">
        <v>0</v>
      </c>
      <c r="I28" s="136"/>
      <c r="J28" s="119">
        <f t="shared" si="1"/>
        <v>39402</v>
      </c>
      <c r="K28" s="83">
        <f t="shared" si="0"/>
        <v>866.84399999999994</v>
      </c>
    </row>
    <row r="29" spans="1:11" ht="14.4" x14ac:dyDescent="0.3">
      <c r="A29" s="12" t="s">
        <v>18</v>
      </c>
      <c r="B29" s="144" t="s">
        <v>1074</v>
      </c>
      <c r="C29" s="144"/>
      <c r="D29" s="12">
        <v>1434</v>
      </c>
      <c r="E29" s="12"/>
      <c r="F29" s="81"/>
      <c r="G29" s="133"/>
      <c r="H29" s="81">
        <v>0</v>
      </c>
      <c r="I29" s="136"/>
      <c r="J29" s="119">
        <f t="shared" si="1"/>
        <v>40836</v>
      </c>
      <c r="K29" s="83">
        <f t="shared" si="0"/>
        <v>898.39199999999994</v>
      </c>
    </row>
    <row r="30" spans="1:11" ht="14.4" x14ac:dyDescent="0.3">
      <c r="A30" s="12" t="s">
        <v>19</v>
      </c>
      <c r="B30" s="134"/>
      <c r="C30" s="134"/>
      <c r="D30" s="12"/>
      <c r="E30" s="12"/>
      <c r="F30" s="81"/>
      <c r="G30" s="131"/>
      <c r="H30" s="81">
        <v>0</v>
      </c>
      <c r="I30" s="136"/>
      <c r="J30" s="119">
        <f>J29+D30+E30-H30-I30</f>
        <v>40836</v>
      </c>
      <c r="K30" s="83">
        <f t="shared" si="0"/>
        <v>898.39199999999994</v>
      </c>
    </row>
    <row r="31" spans="1:11" ht="14.4" x14ac:dyDescent="0.3">
      <c r="A31" s="12" t="s">
        <v>20</v>
      </c>
      <c r="B31" s="135"/>
      <c r="C31" s="146"/>
      <c r="D31" s="12"/>
      <c r="E31" s="106"/>
      <c r="F31" s="81"/>
      <c r="G31" s="131"/>
      <c r="H31" s="81">
        <v>0</v>
      </c>
      <c r="I31" s="136"/>
      <c r="J31" s="119">
        <f t="shared" si="1"/>
        <v>40836</v>
      </c>
      <c r="K31" s="83">
        <f t="shared" si="0"/>
        <v>898.39199999999994</v>
      </c>
    </row>
    <row r="32" spans="1:11" ht="14.4" x14ac:dyDescent="0.3">
      <c r="A32" s="12" t="s">
        <v>21</v>
      </c>
      <c r="B32" s="134"/>
      <c r="C32" s="134"/>
      <c r="D32" s="12"/>
      <c r="E32" s="12"/>
      <c r="F32" s="81"/>
      <c r="G32" s="131"/>
      <c r="H32" s="81">
        <v>0</v>
      </c>
      <c r="I32" s="136"/>
      <c r="J32" s="119">
        <f>J31+D32+E32-H32-I32</f>
        <v>40836</v>
      </c>
      <c r="K32" s="83">
        <f t="shared" si="0"/>
        <v>898.39199999999994</v>
      </c>
    </row>
    <row r="33" spans="1:12" ht="14.4" x14ac:dyDescent="0.3">
      <c r="A33" s="12" t="s">
        <v>22</v>
      </c>
      <c r="B33" s="134"/>
      <c r="C33" s="147"/>
      <c r="D33" s="12"/>
      <c r="E33" s="12"/>
      <c r="F33" s="81"/>
      <c r="G33" s="131"/>
      <c r="H33" s="81">
        <v>0</v>
      </c>
      <c r="I33" s="136"/>
      <c r="J33" s="119">
        <f>J32+D33+E33-H33-I33</f>
        <v>40836</v>
      </c>
      <c r="K33" s="83">
        <f t="shared" si="0"/>
        <v>898.39199999999994</v>
      </c>
    </row>
    <row r="34" spans="1:12" ht="14.4" x14ac:dyDescent="0.3">
      <c r="A34" s="12" t="s">
        <v>23</v>
      </c>
      <c r="B34" s="134"/>
      <c r="C34"/>
      <c r="D34" s="12"/>
      <c r="E34" s="12"/>
      <c r="F34" s="81"/>
      <c r="G34" s="131"/>
      <c r="H34" s="81">
        <v>0</v>
      </c>
      <c r="I34" s="136"/>
      <c r="J34" s="119">
        <f>J33+D34+E34-H34-I34</f>
        <v>40836</v>
      </c>
      <c r="K34" s="83">
        <f t="shared" si="0"/>
        <v>898.39199999999994</v>
      </c>
    </row>
    <row r="35" spans="1:12" ht="14.4" x14ac:dyDescent="0.3">
      <c r="A35" s="12" t="s">
        <v>24</v>
      </c>
      <c r="B35" s="81"/>
      <c r="C35" s="138"/>
      <c r="D35" s="12"/>
      <c r="E35" s="12"/>
      <c r="F35" s="81"/>
      <c r="G35" s="131"/>
      <c r="H35" s="81">
        <v>0</v>
      </c>
      <c r="I35" s="136"/>
      <c r="J35" s="119">
        <f t="shared" si="1"/>
        <v>40836</v>
      </c>
      <c r="K35" s="83">
        <f t="shared" si="0"/>
        <v>898.39199999999994</v>
      </c>
    </row>
    <row r="36" spans="1:12" ht="13.5" customHeight="1" x14ac:dyDescent="0.3">
      <c r="A36" s="12" t="s">
        <v>25</v>
      </c>
      <c r="B36" s="144"/>
      <c r="C36" s="144"/>
      <c r="D36" s="12"/>
      <c r="E36" s="12"/>
      <c r="F36" s="12"/>
      <c r="G36" s="12"/>
      <c r="H36" s="81">
        <v>0</v>
      </c>
      <c r="I36" s="136"/>
      <c r="J36" s="119">
        <f t="shared" si="1"/>
        <v>40836</v>
      </c>
      <c r="K36" s="83">
        <f t="shared" si="0"/>
        <v>898.39199999999994</v>
      </c>
    </row>
    <row r="37" spans="1:12" ht="14.4" x14ac:dyDescent="0.3">
      <c r="A37" s="12" t="s">
        <v>26</v>
      </c>
      <c r="B37" s="134"/>
      <c r="C37" s="134"/>
      <c r="D37" s="12"/>
      <c r="E37" s="12"/>
      <c r="F37" s="12"/>
      <c r="G37" s="12"/>
      <c r="H37" s="81">
        <v>0</v>
      </c>
      <c r="I37" s="136"/>
      <c r="J37" s="119">
        <f t="shared" si="1"/>
        <v>40836</v>
      </c>
      <c r="K37" s="83">
        <f t="shared" si="0"/>
        <v>898.39199999999994</v>
      </c>
    </row>
    <row r="38" spans="1:12" ht="14.4" x14ac:dyDescent="0.3">
      <c r="A38" s="12" t="s">
        <v>27</v>
      </c>
      <c r="B38" s="81"/>
      <c r="C38" s="81"/>
      <c r="D38" s="12"/>
      <c r="E38" s="12"/>
      <c r="F38" s="12"/>
      <c r="G38" s="12"/>
      <c r="H38" s="81">
        <v>1647</v>
      </c>
      <c r="I38" s="136"/>
      <c r="J38" s="119">
        <f t="shared" si="1"/>
        <v>39189</v>
      </c>
      <c r="K38" s="83">
        <f t="shared" si="0"/>
        <v>862.1579999999999</v>
      </c>
    </row>
    <row r="39" spans="1:12" ht="14.4" x14ac:dyDescent="0.3">
      <c r="A39" s="12" t="s">
        <v>28</v>
      </c>
      <c r="B39" s="134"/>
      <c r="C39" s="144"/>
      <c r="D39" s="12"/>
      <c r="E39" s="12"/>
      <c r="F39" s="81"/>
      <c r="G39" s="12"/>
      <c r="H39" s="81">
        <v>731</v>
      </c>
      <c r="I39" s="136"/>
      <c r="J39" s="119">
        <f t="shared" si="1"/>
        <v>38458</v>
      </c>
      <c r="K39" s="83">
        <f t="shared" si="0"/>
        <v>846.07599999999991</v>
      </c>
    </row>
    <row r="40" spans="1:12" ht="14.4" x14ac:dyDescent="0.3">
      <c r="A40" s="12" t="s">
        <v>29</v>
      </c>
      <c r="B40" s="134"/>
      <c r="C40" s="144"/>
      <c r="D40" s="12"/>
      <c r="E40" s="12"/>
      <c r="F40" s="81"/>
      <c r="G40" s="12"/>
      <c r="H40" s="81">
        <v>0</v>
      </c>
      <c r="I40" s="136"/>
      <c r="J40" s="119">
        <f t="shared" si="1"/>
        <v>38458</v>
      </c>
      <c r="K40" s="83">
        <f t="shared" si="0"/>
        <v>846.07599999999991</v>
      </c>
    </row>
    <row r="41" spans="1:12" ht="14.4" x14ac:dyDescent="0.3">
      <c r="A41" s="12" t="s">
        <v>30</v>
      </c>
      <c r="B41" s="134"/>
      <c r="C41" s="144"/>
      <c r="D41" s="12"/>
      <c r="E41" s="12"/>
      <c r="F41" s="81"/>
      <c r="G41" s="12"/>
      <c r="H41" s="81">
        <v>0</v>
      </c>
      <c r="I41" s="136"/>
      <c r="J41" s="119">
        <f t="shared" si="1"/>
        <v>38458</v>
      </c>
      <c r="K41" s="83">
        <f t="shared" si="0"/>
        <v>846.07599999999991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7756</v>
      </c>
      <c r="E42" s="121">
        <f>SUM(E11:E41)</f>
        <v>0</v>
      </c>
      <c r="F42" s="120">
        <v>0</v>
      </c>
      <c r="G42" s="120"/>
      <c r="H42" s="121">
        <f>SUM(H10:H41)</f>
        <v>5582</v>
      </c>
      <c r="I42" s="121">
        <f>SUM(I11:I41)</f>
        <v>0</v>
      </c>
      <c r="J42" s="69">
        <f>AVERAGE(J11:J41)</f>
        <v>38255.548387096773</v>
      </c>
      <c r="K42" s="32">
        <f>SUM(K11:K41)</f>
        <v>26090.283999999996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7756</v>
      </c>
      <c r="I45" s="59">
        <v>0.31</v>
      </c>
      <c r="J45" s="48">
        <f>H45*I45</f>
        <v>2404.36</v>
      </c>
      <c r="K45" s="50">
        <f>kurs*J45</f>
        <v>282305.52504000004</v>
      </c>
    </row>
    <row r="46" spans="1:12" x14ac:dyDescent="0.25">
      <c r="E46" s="42" t="s">
        <v>54</v>
      </c>
      <c r="F46" s="43"/>
      <c r="G46" s="43"/>
      <c r="H46" s="44">
        <f>H42+I42</f>
        <v>5582</v>
      </c>
      <c r="I46" s="59">
        <v>0.22</v>
      </c>
      <c r="J46" s="48">
        <f>H46*I46</f>
        <v>1228.04</v>
      </c>
      <c r="K46" s="50">
        <f t="shared" ref="K46" si="2">kurs*J46</f>
        <v>144189.08856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11672</v>
      </c>
      <c r="I51" s="60">
        <v>0.12</v>
      </c>
      <c r="J51" s="48">
        <f t="shared" si="3"/>
        <v>1400.6399999999999</v>
      </c>
      <c r="K51" s="50">
        <f>kurs*J51</f>
        <v>164454.74495999998</v>
      </c>
    </row>
    <row r="52" spans="3:12" x14ac:dyDescent="0.25">
      <c r="E52" s="45" t="s">
        <v>629</v>
      </c>
      <c r="F52" s="46"/>
      <c r="G52" s="46"/>
      <c r="H52" s="47">
        <v>1122</v>
      </c>
      <c r="I52" s="60">
        <v>0.08</v>
      </c>
      <c r="J52" s="48">
        <f t="shared" si="3"/>
        <v>89.76</v>
      </c>
      <c r="K52" s="50">
        <f>kurs*J52</f>
        <v>10539.08064</v>
      </c>
    </row>
    <row r="53" spans="3:12" x14ac:dyDescent="0.25">
      <c r="E53" s="45" t="s">
        <v>656</v>
      </c>
      <c r="F53" s="46"/>
      <c r="G53" s="46"/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1043</v>
      </c>
      <c r="F54" s="46"/>
      <c r="G54" s="46"/>
      <c r="H54" s="47"/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26090.283999999996</v>
      </c>
      <c r="K55" s="50">
        <f>kurs*J55</f>
        <v>3063364.6055759997</v>
      </c>
      <c r="L55" s="61"/>
    </row>
    <row r="56" spans="3:12" x14ac:dyDescent="0.25">
      <c r="E56" s="22"/>
      <c r="I56" t="s">
        <v>56</v>
      </c>
      <c r="J56" s="52">
        <f>SUM(J45:J55)</f>
        <v>31213.083999999995</v>
      </c>
      <c r="K56" s="51">
        <f>SUM(K45:K55)</f>
        <v>3664853.0447760001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278E-0B4E-47FD-92CF-E87E3EC0D14F}">
  <dimension ref="A1:L61"/>
  <sheetViews>
    <sheetView view="pageBreakPreview" topLeftCell="A31" zoomScaleNormal="100" zoomScaleSheetLayoutView="100" workbookViewId="0">
      <selection activeCell="K11" sqref="K11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1045</v>
      </c>
      <c r="H3" s="4"/>
      <c r="I3" s="4"/>
    </row>
    <row r="4" spans="1:11" x14ac:dyDescent="0.25">
      <c r="B4" s="2"/>
      <c r="C4" s="6"/>
      <c r="F4" s="3" t="s">
        <v>1046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148">
        <v>117.3227</v>
      </c>
      <c r="F6" t="s">
        <v>42</v>
      </c>
      <c r="G6" s="102">
        <v>2512027271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ht="14.4" x14ac:dyDescent="0.3">
      <c r="A10" s="158" t="s">
        <v>62</v>
      </c>
      <c r="B10" s="159"/>
      <c r="C10" s="55"/>
      <c r="D10" s="8">
        <v>48180</v>
      </c>
      <c r="E10" s="9"/>
      <c r="F10" s="7"/>
      <c r="G10" s="8"/>
      <c r="H10" s="103"/>
      <c r="I10" s="136"/>
      <c r="J10" s="38"/>
      <c r="K10" s="40"/>
    </row>
    <row r="11" spans="1:11" ht="13.5" customHeight="1" x14ac:dyDescent="0.3">
      <c r="A11" s="96" t="s">
        <v>0</v>
      </c>
      <c r="B11" s="134" t="s">
        <v>1047</v>
      </c>
      <c r="C11" s="138" t="s">
        <v>1048</v>
      </c>
      <c r="D11" s="12">
        <v>3987</v>
      </c>
      <c r="E11" s="56"/>
      <c r="F11" s="12"/>
      <c r="G11" s="12"/>
      <c r="H11" s="134">
        <v>2724</v>
      </c>
      <c r="I11" s="136"/>
      <c r="J11" s="119">
        <f>D10+D11+E11-H11-I11</f>
        <v>49443</v>
      </c>
      <c r="K11" s="83">
        <f>0.022*J11</f>
        <v>1087.7459999999999</v>
      </c>
    </row>
    <row r="12" spans="1:11" ht="14.25" customHeight="1" x14ac:dyDescent="0.3">
      <c r="A12" s="12" t="s">
        <v>1</v>
      </c>
      <c r="B12" s="149" t="s">
        <v>1049</v>
      </c>
      <c r="C12" s="140" t="s">
        <v>1050</v>
      </c>
      <c r="D12" s="12">
        <v>1926</v>
      </c>
      <c r="E12" s="12"/>
      <c r="F12" s="12"/>
      <c r="G12" s="12"/>
      <c r="H12" s="81">
        <v>399</v>
      </c>
      <c r="I12" s="136"/>
      <c r="J12" s="119">
        <f>J11+D12+E12-H12-I12</f>
        <v>50970</v>
      </c>
      <c r="K12" s="83">
        <f t="shared" ref="K12:K40" si="0">0.022*J12</f>
        <v>1121.3399999999999</v>
      </c>
    </row>
    <row r="13" spans="1:11" ht="13.5" customHeight="1" x14ac:dyDescent="0.3">
      <c r="A13" s="12" t="s">
        <v>2</v>
      </c>
      <c r="B13" s="135"/>
      <c r="C13" s="150"/>
      <c r="D13" s="56"/>
      <c r="E13" s="56"/>
      <c r="F13" s="12"/>
      <c r="G13" s="12"/>
      <c r="H13" s="81">
        <v>2761</v>
      </c>
      <c r="I13" s="136"/>
      <c r="J13" s="119">
        <f t="shared" ref="J13:J40" si="1">J12+D13+E13-H13-I13</f>
        <v>48209</v>
      </c>
      <c r="K13" s="83">
        <f t="shared" si="0"/>
        <v>1060.598</v>
      </c>
    </row>
    <row r="14" spans="1:11" ht="14.4" x14ac:dyDescent="0.3">
      <c r="A14" s="12" t="s">
        <v>3</v>
      </c>
      <c r="B14" s="134"/>
      <c r="C14" s="137"/>
      <c r="D14" s="12"/>
      <c r="E14" s="12"/>
      <c r="F14" s="12"/>
      <c r="G14" s="12"/>
      <c r="H14" s="81">
        <v>1793</v>
      </c>
      <c r="I14" s="136"/>
      <c r="J14" s="119">
        <f>J13+D14+E14-H14-I14</f>
        <v>46416</v>
      </c>
      <c r="K14" s="83">
        <f t="shared" si="0"/>
        <v>1021.1519999999999</v>
      </c>
    </row>
    <row r="15" spans="1:11" ht="14.4" x14ac:dyDescent="0.3">
      <c r="A15" s="12" t="s">
        <v>4</v>
      </c>
      <c r="B15" s="135" t="s">
        <v>1051</v>
      </c>
      <c r="C15" s="150" t="s">
        <v>1052</v>
      </c>
      <c r="D15" s="12">
        <v>2650</v>
      </c>
      <c r="E15" s="12"/>
      <c r="F15" s="12"/>
      <c r="G15" s="12"/>
      <c r="H15" s="81">
        <v>1537</v>
      </c>
      <c r="I15" s="136"/>
      <c r="J15" s="119">
        <f t="shared" si="1"/>
        <v>47529</v>
      </c>
      <c r="K15" s="83">
        <f t="shared" si="0"/>
        <v>1045.6379999999999</v>
      </c>
    </row>
    <row r="16" spans="1:11" ht="14.4" x14ac:dyDescent="0.3">
      <c r="A16" s="12" t="s">
        <v>5</v>
      </c>
      <c r="B16" s="134"/>
      <c r="C16" s="143"/>
      <c r="D16" s="12"/>
      <c r="E16" s="12"/>
      <c r="F16" s="12"/>
      <c r="G16" s="12"/>
      <c r="H16" s="81">
        <v>0</v>
      </c>
      <c r="I16" s="136"/>
      <c r="J16" s="119">
        <f t="shared" si="1"/>
        <v>47529</v>
      </c>
      <c r="K16" s="83">
        <f t="shared" si="0"/>
        <v>1045.6379999999999</v>
      </c>
    </row>
    <row r="17" spans="1:11" ht="14.4" x14ac:dyDescent="0.3">
      <c r="A17" s="12" t="s">
        <v>6</v>
      </c>
      <c r="B17" s="73"/>
      <c r="C17" s="144"/>
      <c r="D17" s="12"/>
      <c r="E17" s="12"/>
      <c r="F17" s="81"/>
      <c r="G17" s="12"/>
      <c r="H17" s="81">
        <v>0</v>
      </c>
      <c r="I17" s="136"/>
      <c r="J17" s="119">
        <f>J16+D17+E17-H17-I17</f>
        <v>47529</v>
      </c>
      <c r="K17" s="83">
        <f t="shared" si="0"/>
        <v>1045.6379999999999</v>
      </c>
    </row>
    <row r="18" spans="1:11" ht="14.4" x14ac:dyDescent="0.3">
      <c r="A18" s="12" t="s">
        <v>7</v>
      </c>
      <c r="B18" s="144" t="s">
        <v>1053</v>
      </c>
      <c r="C18" s="134" t="s">
        <v>1054</v>
      </c>
      <c r="D18" s="12">
        <v>1511</v>
      </c>
      <c r="E18" s="12"/>
      <c r="F18" s="12"/>
      <c r="G18" s="12"/>
      <c r="H18" s="81">
        <v>0</v>
      </c>
      <c r="I18" s="136"/>
      <c r="J18" s="119">
        <f>J17+D18+E18-H18-I18</f>
        <v>49040</v>
      </c>
      <c r="K18" s="83">
        <f t="shared" si="0"/>
        <v>1078.8799999999999</v>
      </c>
    </row>
    <row r="19" spans="1:11" ht="13.5" customHeight="1" x14ac:dyDescent="0.3">
      <c r="A19" s="12" t="s">
        <v>8</v>
      </c>
      <c r="B19" s="144" t="s">
        <v>1055</v>
      </c>
      <c r="C19" s="144"/>
      <c r="D19" s="12">
        <v>687</v>
      </c>
      <c r="E19" s="12"/>
      <c r="F19" s="81"/>
      <c r="G19" s="131"/>
      <c r="H19" s="81">
        <v>613</v>
      </c>
      <c r="I19" s="136"/>
      <c r="J19" s="119">
        <f t="shared" si="1"/>
        <v>49114</v>
      </c>
      <c r="K19" s="83">
        <f t="shared" si="0"/>
        <v>1080.508</v>
      </c>
    </row>
    <row r="20" spans="1:11" ht="14.4" x14ac:dyDescent="0.3">
      <c r="A20" s="12" t="s">
        <v>9</v>
      </c>
      <c r="B20" s="137" t="s">
        <v>1056</v>
      </c>
      <c r="C20" s="137"/>
      <c r="D20" s="12">
        <v>1325</v>
      </c>
      <c r="E20" s="12"/>
      <c r="F20" s="81"/>
      <c r="G20" s="131"/>
      <c r="H20" s="81">
        <v>2888</v>
      </c>
      <c r="I20" s="136"/>
      <c r="J20" s="119">
        <f t="shared" si="1"/>
        <v>47551</v>
      </c>
      <c r="K20" s="83">
        <f t="shared" si="0"/>
        <v>1046.1219999999998</v>
      </c>
    </row>
    <row r="21" spans="1:11" ht="14.4" x14ac:dyDescent="0.3">
      <c r="A21" s="12" t="s">
        <v>10</v>
      </c>
      <c r="B21" s="145" t="s">
        <v>1057</v>
      </c>
      <c r="C21" s="145"/>
      <c r="D21" s="12">
        <v>18</v>
      </c>
      <c r="E21" s="12"/>
      <c r="F21" s="81"/>
      <c r="G21" s="131"/>
      <c r="H21" s="81">
        <v>2130</v>
      </c>
      <c r="I21" s="136"/>
      <c r="J21" s="119">
        <f t="shared" si="1"/>
        <v>45439</v>
      </c>
      <c r="K21" s="83">
        <f t="shared" si="0"/>
        <v>999.6579999999999</v>
      </c>
    </row>
    <row r="22" spans="1:11" ht="14.4" x14ac:dyDescent="0.3">
      <c r="A22" s="12" t="s">
        <v>11</v>
      </c>
      <c r="B22" s="73"/>
      <c r="C22" s="73"/>
      <c r="D22" s="12"/>
      <c r="E22" s="12"/>
      <c r="F22" s="81"/>
      <c r="G22" s="131"/>
      <c r="H22" s="81">
        <v>465</v>
      </c>
      <c r="I22" s="136"/>
      <c r="J22" s="119">
        <f t="shared" si="1"/>
        <v>44974</v>
      </c>
      <c r="K22" s="83">
        <f t="shared" si="0"/>
        <v>989.428</v>
      </c>
    </row>
    <row r="23" spans="1:11" ht="14.4" x14ac:dyDescent="0.3">
      <c r="A23" s="12" t="s">
        <v>12</v>
      </c>
      <c r="B23" s="134"/>
      <c r="C23" s="134"/>
      <c r="D23" s="12"/>
      <c r="E23" s="12"/>
      <c r="F23" s="81"/>
      <c r="G23" s="131"/>
      <c r="H23" s="81">
        <v>0</v>
      </c>
      <c r="I23" s="136"/>
      <c r="J23" s="119">
        <f>J22+D23+E23-H23-I23</f>
        <v>44974</v>
      </c>
      <c r="K23" s="83">
        <f t="shared" si="0"/>
        <v>989.428</v>
      </c>
    </row>
    <row r="24" spans="1:11" ht="14.4" x14ac:dyDescent="0.3">
      <c r="A24" s="12" t="s">
        <v>13</v>
      </c>
      <c r="B24" s="134"/>
      <c r="C24" s="134"/>
      <c r="D24" s="12"/>
      <c r="E24" s="12"/>
      <c r="F24" s="81"/>
      <c r="G24" s="131"/>
      <c r="H24" s="81">
        <v>0</v>
      </c>
      <c r="I24" s="136"/>
      <c r="J24" s="119">
        <f t="shared" si="1"/>
        <v>44974</v>
      </c>
      <c r="K24" s="83">
        <f t="shared" si="0"/>
        <v>989.428</v>
      </c>
    </row>
    <row r="25" spans="1:11" ht="14.4" x14ac:dyDescent="0.3">
      <c r="A25" s="12" t="s">
        <v>14</v>
      </c>
      <c r="B25" s="134" t="s">
        <v>1058</v>
      </c>
      <c r="C25" s="134" t="s">
        <v>1059</v>
      </c>
      <c r="D25" s="12">
        <v>1950</v>
      </c>
      <c r="E25" s="12"/>
      <c r="F25" s="81"/>
      <c r="G25" s="131"/>
      <c r="H25" s="81">
        <v>0</v>
      </c>
      <c r="I25" s="136"/>
      <c r="J25" s="119">
        <f t="shared" si="1"/>
        <v>46924</v>
      </c>
      <c r="K25" s="83">
        <f t="shared" si="0"/>
        <v>1032.328</v>
      </c>
    </row>
    <row r="26" spans="1:11" ht="13.5" customHeight="1" x14ac:dyDescent="0.3">
      <c r="A26" s="12" t="s">
        <v>15</v>
      </c>
      <c r="B26" s="134" t="s">
        <v>1060</v>
      </c>
      <c r="C26" s="143" t="s">
        <v>1061</v>
      </c>
      <c r="D26" s="12">
        <v>2090</v>
      </c>
      <c r="E26" s="12"/>
      <c r="F26" s="81"/>
      <c r="G26" s="131"/>
      <c r="H26" s="81">
        <v>433</v>
      </c>
      <c r="I26" s="136"/>
      <c r="J26" s="119">
        <f t="shared" si="1"/>
        <v>48581</v>
      </c>
      <c r="K26" s="83">
        <f t="shared" si="0"/>
        <v>1068.7819999999999</v>
      </c>
    </row>
    <row r="27" spans="1:11" ht="14.4" x14ac:dyDescent="0.3">
      <c r="A27" s="12" t="s">
        <v>16</v>
      </c>
      <c r="B27" s="144"/>
      <c r="C27" s="73"/>
      <c r="D27" s="12"/>
      <c r="E27" s="12"/>
      <c r="F27" s="81"/>
      <c r="G27" s="131"/>
      <c r="H27" s="81">
        <v>326</v>
      </c>
      <c r="I27" s="136"/>
      <c r="J27" s="119">
        <f t="shared" si="1"/>
        <v>48255</v>
      </c>
      <c r="K27" s="83">
        <f t="shared" si="0"/>
        <v>1061.6099999999999</v>
      </c>
    </row>
    <row r="28" spans="1:11" ht="14.4" x14ac:dyDescent="0.3">
      <c r="A28" s="12" t="s">
        <v>17</v>
      </c>
      <c r="B28" s="144"/>
      <c r="C28" s="144"/>
      <c r="D28" s="12"/>
      <c r="E28" s="12"/>
      <c r="F28" s="81"/>
      <c r="G28" s="131"/>
      <c r="H28" s="81">
        <v>2221</v>
      </c>
      <c r="I28" s="136"/>
      <c r="J28" s="119">
        <f t="shared" si="1"/>
        <v>46034</v>
      </c>
      <c r="K28" s="83">
        <f t="shared" si="0"/>
        <v>1012.7479999999999</v>
      </c>
    </row>
    <row r="29" spans="1:11" ht="14.4" x14ac:dyDescent="0.3">
      <c r="A29" s="12" t="s">
        <v>18</v>
      </c>
      <c r="B29" s="144" t="s">
        <v>1062</v>
      </c>
      <c r="C29" s="144" t="s">
        <v>1063</v>
      </c>
      <c r="D29" s="12">
        <v>1237</v>
      </c>
      <c r="E29" s="12"/>
      <c r="F29" s="81"/>
      <c r="G29" s="133"/>
      <c r="H29" s="81">
        <v>1205</v>
      </c>
      <c r="I29" s="136"/>
      <c r="J29" s="119">
        <f t="shared" si="1"/>
        <v>46066</v>
      </c>
      <c r="K29" s="83">
        <f t="shared" si="0"/>
        <v>1013.4519999999999</v>
      </c>
    </row>
    <row r="30" spans="1:11" ht="14.4" x14ac:dyDescent="0.3">
      <c r="A30" s="12" t="s">
        <v>19</v>
      </c>
      <c r="B30" s="134"/>
      <c r="C30" s="134"/>
      <c r="D30" s="12"/>
      <c r="E30" s="12"/>
      <c r="F30" s="81"/>
      <c r="G30" s="131"/>
      <c r="H30" s="81">
        <v>937</v>
      </c>
      <c r="I30" s="136"/>
      <c r="J30" s="119">
        <f>J29+D30+E30-H30-I30</f>
        <v>45129</v>
      </c>
      <c r="K30" s="83">
        <f t="shared" si="0"/>
        <v>992.83799999999997</v>
      </c>
    </row>
    <row r="31" spans="1:11" ht="14.4" x14ac:dyDescent="0.3">
      <c r="A31" s="12" t="s">
        <v>20</v>
      </c>
      <c r="B31" s="135"/>
      <c r="C31" s="146"/>
      <c r="D31" s="12"/>
      <c r="E31" s="106"/>
      <c r="F31" s="81"/>
      <c r="G31" s="131"/>
      <c r="H31" s="81">
        <v>1638</v>
      </c>
      <c r="I31" s="136"/>
      <c r="J31" s="119">
        <f t="shared" si="1"/>
        <v>43491</v>
      </c>
      <c r="K31" s="83">
        <f t="shared" si="0"/>
        <v>956.80199999999991</v>
      </c>
    </row>
    <row r="32" spans="1:11" ht="14.4" x14ac:dyDescent="0.3">
      <c r="A32" s="12" t="s">
        <v>21</v>
      </c>
      <c r="B32" s="134"/>
      <c r="C32" s="134"/>
      <c r="D32" s="12"/>
      <c r="E32" s="12"/>
      <c r="F32" s="81"/>
      <c r="G32" s="131"/>
      <c r="H32" s="81">
        <v>866</v>
      </c>
      <c r="I32" s="136"/>
      <c r="J32" s="119">
        <f>J31+D32+E32-H32-I32</f>
        <v>42625</v>
      </c>
      <c r="K32" s="83">
        <f t="shared" si="0"/>
        <v>937.75</v>
      </c>
    </row>
    <row r="33" spans="1:12" ht="14.4" x14ac:dyDescent="0.3">
      <c r="A33" s="12" t="s">
        <v>22</v>
      </c>
      <c r="B33" s="134"/>
      <c r="C33" s="147"/>
      <c r="D33" s="12"/>
      <c r="E33" s="12"/>
      <c r="F33" s="81"/>
      <c r="G33" s="131"/>
      <c r="H33" s="81">
        <v>1681</v>
      </c>
      <c r="I33" s="136"/>
      <c r="J33" s="119">
        <f>J32+D33+E33-H33-I33</f>
        <v>40944</v>
      </c>
      <c r="K33" s="83">
        <f t="shared" si="0"/>
        <v>900.76799999999992</v>
      </c>
    </row>
    <row r="34" spans="1:12" ht="14.4" x14ac:dyDescent="0.3">
      <c r="A34" s="12" t="s">
        <v>23</v>
      </c>
      <c r="B34" s="134" t="s">
        <v>1064</v>
      </c>
      <c r="C34" t="s">
        <v>1065</v>
      </c>
      <c r="D34" s="12">
        <v>981</v>
      </c>
      <c r="E34" s="12"/>
      <c r="F34" s="81"/>
      <c r="G34" s="131"/>
      <c r="H34" s="81">
        <v>1410</v>
      </c>
      <c r="I34" s="136"/>
      <c r="J34" s="119">
        <f>J33+D34+E34-H34-I34</f>
        <v>40515</v>
      </c>
      <c r="K34" s="83">
        <f t="shared" si="0"/>
        <v>891.32999999999993</v>
      </c>
    </row>
    <row r="35" spans="1:12" ht="14.4" x14ac:dyDescent="0.3">
      <c r="A35" s="12" t="s">
        <v>24</v>
      </c>
      <c r="B35" s="81"/>
      <c r="C35" s="138"/>
      <c r="D35" s="12"/>
      <c r="E35" s="12"/>
      <c r="F35" s="81"/>
      <c r="G35" s="131"/>
      <c r="H35" s="81">
        <v>2026</v>
      </c>
      <c r="I35" s="136"/>
      <c r="J35" s="119">
        <f t="shared" si="1"/>
        <v>38489</v>
      </c>
      <c r="K35" s="83">
        <f t="shared" si="0"/>
        <v>846.75799999999992</v>
      </c>
    </row>
    <row r="36" spans="1:12" ht="13.5" customHeight="1" x14ac:dyDescent="0.3">
      <c r="A36" s="12" t="s">
        <v>25</v>
      </c>
      <c r="B36" s="144"/>
      <c r="C36" s="144"/>
      <c r="D36" s="12"/>
      <c r="E36" s="12"/>
      <c r="F36" s="12"/>
      <c r="G36" s="12"/>
      <c r="H36" s="81">
        <v>1984</v>
      </c>
      <c r="I36" s="136"/>
      <c r="J36" s="119">
        <f t="shared" si="1"/>
        <v>36505</v>
      </c>
      <c r="K36" s="83">
        <f t="shared" si="0"/>
        <v>803.1099999999999</v>
      </c>
    </row>
    <row r="37" spans="1:12" ht="14.4" x14ac:dyDescent="0.3">
      <c r="A37" s="12" t="s">
        <v>26</v>
      </c>
      <c r="B37" s="134"/>
      <c r="C37" s="134"/>
      <c r="D37" s="12"/>
      <c r="E37" s="12"/>
      <c r="F37" s="12"/>
      <c r="G37" s="12"/>
      <c r="H37" s="81">
        <v>2166</v>
      </c>
      <c r="I37" s="136"/>
      <c r="J37" s="119">
        <f t="shared" si="1"/>
        <v>34339</v>
      </c>
      <c r="K37" s="83">
        <f t="shared" si="0"/>
        <v>755.45799999999997</v>
      </c>
    </row>
    <row r="38" spans="1:12" ht="14.4" x14ac:dyDescent="0.3">
      <c r="A38" s="12" t="s">
        <v>27</v>
      </c>
      <c r="B38" s="81"/>
      <c r="C38" s="81"/>
      <c r="D38" s="12"/>
      <c r="E38" s="12"/>
      <c r="F38" s="12"/>
      <c r="G38" s="12"/>
      <c r="H38" s="81">
        <v>0</v>
      </c>
      <c r="I38" s="136"/>
      <c r="J38" s="119">
        <f t="shared" si="1"/>
        <v>34339</v>
      </c>
      <c r="K38" s="83">
        <f t="shared" si="0"/>
        <v>755.45799999999997</v>
      </c>
    </row>
    <row r="39" spans="1:12" ht="14.4" x14ac:dyDescent="0.3">
      <c r="A39" s="12" t="s">
        <v>28</v>
      </c>
      <c r="B39" s="134" t="s">
        <v>1066</v>
      </c>
      <c r="C39" s="144" t="s">
        <v>1067</v>
      </c>
      <c r="D39" s="12">
        <v>1945</v>
      </c>
      <c r="E39" s="12"/>
      <c r="F39" s="81"/>
      <c r="G39" s="12"/>
      <c r="H39" s="81">
        <v>0</v>
      </c>
      <c r="I39" s="136"/>
      <c r="J39" s="119">
        <f t="shared" si="1"/>
        <v>36284</v>
      </c>
      <c r="K39" s="83">
        <f t="shared" si="0"/>
        <v>798.24799999999993</v>
      </c>
    </row>
    <row r="40" spans="1:12" ht="14.4" x14ac:dyDescent="0.3">
      <c r="A40" s="12" t="s">
        <v>29</v>
      </c>
      <c r="B40" s="134"/>
      <c r="C40" s="144"/>
      <c r="D40" s="12"/>
      <c r="E40" s="12"/>
      <c r="F40" s="81"/>
      <c r="G40" s="12"/>
      <c r="H40" s="81">
        <v>0</v>
      </c>
      <c r="I40" s="136"/>
      <c r="J40" s="119">
        <f t="shared" si="1"/>
        <v>36284</v>
      </c>
      <c r="K40" s="83">
        <f t="shared" si="0"/>
        <v>798.24799999999993</v>
      </c>
    </row>
    <row r="41" spans="1:12" ht="14.4" x14ac:dyDescent="0.3">
      <c r="A41" s="12" t="s">
        <v>30</v>
      </c>
      <c r="B41" s="134"/>
      <c r="C41" s="144"/>
      <c r="D41" s="12"/>
      <c r="E41" s="12"/>
      <c r="F41" s="81"/>
      <c r="G41" s="12"/>
      <c r="H41" s="81">
        <v>0</v>
      </c>
      <c r="I41" s="136"/>
      <c r="J41" s="119">
        <f t="shared" ref="J41" si="2">J40+D41+E41-H41-I41</f>
        <v>36284</v>
      </c>
      <c r="K41" s="83">
        <f t="shared" ref="K41" si="3">0.022*J41</f>
        <v>798.24799999999993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20307</v>
      </c>
      <c r="E42" s="121">
        <f>SUM(E11:E41)</f>
        <v>0</v>
      </c>
      <c r="F42" s="120">
        <v>0</v>
      </c>
      <c r="G42" s="120"/>
      <c r="H42" s="121">
        <f>SUM(H10:H41)</f>
        <v>32203</v>
      </c>
      <c r="I42" s="121">
        <f>SUM(I11:I41)</f>
        <v>0</v>
      </c>
      <c r="J42" s="69">
        <f>AVERAGE(J11:J41)</f>
        <v>44025.129032258068</v>
      </c>
      <c r="K42" s="32">
        <f>SUM(K11:K41)</f>
        <v>30025.137999999999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20307</v>
      </c>
      <c r="I45" s="59">
        <v>0.31</v>
      </c>
      <c r="J45" s="48">
        <f>H45*I45</f>
        <v>6295.17</v>
      </c>
      <c r="K45" s="50">
        <f>kurs*J45</f>
        <v>738566.34135899995</v>
      </c>
    </row>
    <row r="46" spans="1:12" x14ac:dyDescent="0.25">
      <c r="E46" s="42" t="s">
        <v>54</v>
      </c>
      <c r="F46" s="43"/>
      <c r="G46" s="43"/>
      <c r="H46" s="44">
        <f>H42+I42</f>
        <v>32203</v>
      </c>
      <c r="I46" s="59">
        <v>0.22</v>
      </c>
      <c r="J46" s="48">
        <f>H46*I46</f>
        <v>7084.66</v>
      </c>
      <c r="K46" s="50">
        <f t="shared" ref="K46" si="4">kurs*J46</f>
        <v>831191.43978199991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5">H47*I47</f>
        <v>0</v>
      </c>
      <c r="K47" s="50">
        <f t="shared" ref="K47:K50" si="6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5"/>
        <v>0</v>
      </c>
      <c r="K48" s="50">
        <f t="shared" ref="K48:K49" si="7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5"/>
        <v>0</v>
      </c>
      <c r="K49" s="50">
        <f t="shared" si="7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5"/>
        <v>0</v>
      </c>
      <c r="K50" s="50">
        <f t="shared" si="6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5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5"/>
        <v>0</v>
      </c>
      <c r="K52" s="50">
        <f>kurs*J52</f>
        <v>0</v>
      </c>
    </row>
    <row r="53" spans="3:12" x14ac:dyDescent="0.25">
      <c r="E53" s="45" t="s">
        <v>656</v>
      </c>
      <c r="F53" s="46"/>
      <c r="G53" s="46"/>
      <c r="H53" s="47">
        <v>0.5</v>
      </c>
      <c r="I53" s="60">
        <v>200</v>
      </c>
      <c r="J53" s="48">
        <f t="shared" si="5"/>
        <v>100</v>
      </c>
      <c r="K53" s="50">
        <f>kurs*J53</f>
        <v>11732.27</v>
      </c>
    </row>
    <row r="54" spans="3:12" x14ac:dyDescent="0.25">
      <c r="E54" s="45" t="s">
        <v>1043</v>
      </c>
      <c r="F54" s="46"/>
      <c r="G54" s="46"/>
      <c r="H54" s="47"/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30025.137999999999</v>
      </c>
      <c r="K55" s="50">
        <f>kurs*J55</f>
        <v>3522630.2580325999</v>
      </c>
      <c r="L55" s="61"/>
    </row>
    <row r="56" spans="3:12" x14ac:dyDescent="0.25">
      <c r="E56" s="22"/>
      <c r="I56" t="s">
        <v>56</v>
      </c>
      <c r="J56" s="52">
        <f>SUM(J45:J55)</f>
        <v>43504.968000000001</v>
      </c>
      <c r="K56" s="51">
        <f>SUM(K45:K55)</f>
        <v>5104120.3091735998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1CBF-CB0F-422F-BBD4-1EEFA1DF68D9}">
  <dimension ref="A1:L61"/>
  <sheetViews>
    <sheetView view="pageBreakPreview" topLeftCell="A13" zoomScaleNormal="100" zoomScaleSheetLayoutView="100" workbookViewId="0">
      <selection activeCell="H20" sqref="H20:H21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940</v>
      </c>
      <c r="H3" s="4"/>
      <c r="I3" s="4"/>
    </row>
    <row r="4" spans="1:11" x14ac:dyDescent="0.25">
      <c r="B4" s="2"/>
      <c r="C4" s="6"/>
      <c r="F4" s="3" t="s">
        <v>941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117.16970000000001</v>
      </c>
      <c r="F6" t="s">
        <v>42</v>
      </c>
      <c r="G6" s="102">
        <v>2507016272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28660</v>
      </c>
      <c r="E10" s="9"/>
      <c r="F10" s="7"/>
      <c r="G10" s="8"/>
      <c r="H10" s="129"/>
      <c r="I10" s="70"/>
      <c r="J10" s="38"/>
      <c r="K10" s="40"/>
    </row>
    <row r="11" spans="1:11" ht="13.5" customHeight="1" x14ac:dyDescent="0.25">
      <c r="A11" s="96" t="s">
        <v>0</v>
      </c>
      <c r="B11" t="s">
        <v>942</v>
      </c>
      <c r="C11" s="96"/>
      <c r="D11" s="12">
        <v>2</v>
      </c>
      <c r="E11" s="56"/>
      <c r="F11" s="12"/>
      <c r="G11" s="12"/>
      <c r="H11" s="129"/>
      <c r="I11" s="56"/>
      <c r="J11" s="119">
        <f>D10+D11+E11-H11-I11</f>
        <v>28662</v>
      </c>
      <c r="K11" s="83">
        <f>0.022*J11</f>
        <v>630.56399999999996</v>
      </c>
    </row>
    <row r="12" spans="1:11" ht="14.25" customHeight="1" x14ac:dyDescent="0.25">
      <c r="A12" s="12" t="s">
        <v>1</v>
      </c>
      <c r="B12" s="88"/>
      <c r="C12" s="91"/>
      <c r="D12" s="12"/>
      <c r="E12" s="12"/>
      <c r="F12" s="12"/>
      <c r="G12" s="12"/>
      <c r="H12" s="103">
        <v>1039</v>
      </c>
      <c r="I12" s="56"/>
      <c r="J12" s="119">
        <f>J11+D12+E12-H12-I12</f>
        <v>27623</v>
      </c>
      <c r="K12" s="83">
        <f t="shared" ref="K12:K41" si="0">0.022*J12</f>
        <v>607.70600000000002</v>
      </c>
    </row>
    <row r="13" spans="1:11" ht="13.5" customHeight="1" x14ac:dyDescent="0.3">
      <c r="A13" s="12" t="s">
        <v>2</v>
      </c>
      <c r="B13" s="88"/>
      <c r="C13" s="102"/>
      <c r="D13" s="56"/>
      <c r="E13" s="56"/>
      <c r="F13" s="12"/>
      <c r="G13" s="12"/>
      <c r="H13" s="103">
        <v>894</v>
      </c>
      <c r="I13" s="56"/>
      <c r="J13" s="119">
        <f t="shared" ref="J13:J41" si="1">J12+D13+E13-H13-I13</f>
        <v>26729</v>
      </c>
      <c r="K13" s="83">
        <f t="shared" si="0"/>
        <v>588.03800000000001</v>
      </c>
    </row>
    <row r="14" spans="1:11" ht="14.4" x14ac:dyDescent="0.3">
      <c r="A14" s="12" t="s">
        <v>3</v>
      </c>
      <c r="B14" s="81"/>
      <c r="C14" s="102"/>
      <c r="D14" s="12"/>
      <c r="E14" s="12"/>
      <c r="F14" s="12"/>
      <c r="G14" s="12"/>
      <c r="H14" s="103">
        <v>445</v>
      </c>
      <c r="I14" s="56"/>
      <c r="J14" s="119">
        <f>J13+D14+E14-H14-I14</f>
        <v>26284</v>
      </c>
      <c r="K14" s="83">
        <f t="shared" si="0"/>
        <v>578.24799999999993</v>
      </c>
    </row>
    <row r="15" spans="1:11" ht="14.4" x14ac:dyDescent="0.3">
      <c r="A15" s="12" t="s">
        <v>4</v>
      </c>
      <c r="B15" s="102"/>
      <c r="C15" s="109"/>
      <c r="D15" s="12"/>
      <c r="E15" s="12"/>
      <c r="F15" s="12"/>
      <c r="G15" s="12"/>
      <c r="H15" s="129"/>
      <c r="I15" s="56"/>
      <c r="J15" s="119">
        <f t="shared" si="1"/>
        <v>26284</v>
      </c>
      <c r="K15" s="83">
        <f t="shared" si="0"/>
        <v>578.24799999999993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29"/>
      <c r="I16" s="56"/>
      <c r="J16" s="119">
        <f t="shared" si="1"/>
        <v>26284</v>
      </c>
      <c r="K16" s="83">
        <f t="shared" si="0"/>
        <v>578.24799999999993</v>
      </c>
    </row>
    <row r="17" spans="1:11" x14ac:dyDescent="0.25">
      <c r="A17" s="12" t="s">
        <v>6</v>
      </c>
      <c r="B17" s="116"/>
      <c r="C17" s="81"/>
      <c r="D17" s="12"/>
      <c r="E17" s="12"/>
      <c r="F17" s="81"/>
      <c r="G17" s="12"/>
      <c r="H17" s="129"/>
      <c r="I17" s="12"/>
      <c r="J17" s="119">
        <f>J16+D17+E17-H17-I17</f>
        <v>26284</v>
      </c>
      <c r="K17" s="83">
        <f t="shared" si="0"/>
        <v>578.24799999999993</v>
      </c>
    </row>
    <row r="18" spans="1:11" x14ac:dyDescent="0.25">
      <c r="A18" s="12" t="s">
        <v>7</v>
      </c>
      <c r="B18" s="88"/>
      <c r="C18" s="73"/>
      <c r="D18" s="12"/>
      <c r="E18" s="12"/>
      <c r="F18" s="12"/>
      <c r="G18" s="12"/>
      <c r="H18" s="129"/>
      <c r="I18" s="12"/>
      <c r="J18" s="119">
        <f>J17+D18+E18-H18-I18</f>
        <v>26284</v>
      </c>
      <c r="K18" s="83">
        <f t="shared" si="0"/>
        <v>578.24799999999993</v>
      </c>
    </row>
    <row r="19" spans="1:11" ht="13.5" customHeight="1" x14ac:dyDescent="0.25">
      <c r="A19" s="12" t="s">
        <v>8</v>
      </c>
      <c r="B19" s="81"/>
      <c r="C19" s="81"/>
      <c r="D19" s="12"/>
      <c r="E19" s="12"/>
      <c r="F19" s="81"/>
      <c r="G19" s="12"/>
      <c r="H19" s="129"/>
      <c r="I19" s="12"/>
      <c r="J19" s="119">
        <f t="shared" si="1"/>
        <v>26284</v>
      </c>
      <c r="K19" s="83">
        <f t="shared" si="0"/>
        <v>578.24799999999993</v>
      </c>
    </row>
    <row r="20" spans="1:11" ht="14.4" x14ac:dyDescent="0.3">
      <c r="A20" s="12" t="s">
        <v>9</v>
      </c>
      <c r="B20" s="88"/>
      <c r="C20" s="102"/>
      <c r="D20" s="12"/>
      <c r="E20" s="12"/>
      <c r="F20" s="81"/>
      <c r="G20" s="12"/>
      <c r="H20" s="130">
        <v>703</v>
      </c>
      <c r="I20" s="12"/>
      <c r="J20" s="119">
        <f t="shared" si="1"/>
        <v>25581</v>
      </c>
      <c r="K20" s="83">
        <f t="shared" si="0"/>
        <v>562.78199999999993</v>
      </c>
    </row>
    <row r="21" spans="1:11" ht="14.4" x14ac:dyDescent="0.3">
      <c r="A21" s="12" t="s">
        <v>10</v>
      </c>
      <c r="B21" s="102"/>
      <c r="C21" s="102"/>
      <c r="D21" s="12"/>
      <c r="E21" s="12"/>
      <c r="F21" s="81"/>
      <c r="G21" s="12"/>
      <c r="H21" s="130">
        <v>590</v>
      </c>
      <c r="I21" s="12"/>
      <c r="J21" s="119">
        <f t="shared" si="1"/>
        <v>24991</v>
      </c>
      <c r="K21" s="83">
        <f t="shared" si="0"/>
        <v>549.80200000000002</v>
      </c>
    </row>
    <row r="22" spans="1:11" ht="14.4" x14ac:dyDescent="0.3">
      <c r="A22" s="12" t="s">
        <v>11</v>
      </c>
      <c r="C22" s="109"/>
      <c r="D22" s="12"/>
      <c r="E22" s="12"/>
      <c r="F22" s="81"/>
      <c r="G22" s="12"/>
      <c r="H22" s="130"/>
      <c r="I22" s="12"/>
      <c r="J22" s="119">
        <f t="shared" si="1"/>
        <v>24991</v>
      </c>
      <c r="K22" s="83">
        <f t="shared" si="0"/>
        <v>549.80200000000002</v>
      </c>
    </row>
    <row r="23" spans="1:11" ht="14.4" x14ac:dyDescent="0.3">
      <c r="A23" s="12" t="s">
        <v>12</v>
      </c>
      <c r="B23" s="81"/>
      <c r="C23" s="103"/>
      <c r="D23" s="12"/>
      <c r="E23" s="12"/>
      <c r="F23" s="81"/>
      <c r="G23" s="81"/>
      <c r="H23" s="130"/>
      <c r="I23" s="12"/>
      <c r="J23" s="119">
        <f>J22+D23+E23-H23-I23</f>
        <v>24991</v>
      </c>
      <c r="K23" s="83">
        <f t="shared" si="0"/>
        <v>549.80200000000002</v>
      </c>
    </row>
    <row r="24" spans="1:11" ht="14.4" x14ac:dyDescent="0.3">
      <c r="A24" s="12" t="s">
        <v>13</v>
      </c>
      <c r="B24" s="72" t="s">
        <v>943</v>
      </c>
      <c r="C24" s="128" t="s">
        <v>944</v>
      </c>
      <c r="D24" s="12">
        <v>2174</v>
      </c>
      <c r="E24" s="12"/>
      <c r="F24" s="81"/>
      <c r="G24" s="12"/>
      <c r="H24" s="130"/>
      <c r="I24" s="12"/>
      <c r="J24" s="119">
        <f t="shared" si="1"/>
        <v>27165</v>
      </c>
      <c r="K24" s="83">
        <f t="shared" si="0"/>
        <v>597.63</v>
      </c>
    </row>
    <row r="25" spans="1:11" ht="14.4" x14ac:dyDescent="0.3">
      <c r="A25" s="12" t="s">
        <v>14</v>
      </c>
      <c r="B25" t="s">
        <v>945</v>
      </c>
      <c r="C25" t="s">
        <v>946</v>
      </c>
      <c r="D25" s="12">
        <v>1144</v>
      </c>
      <c r="E25" s="12"/>
      <c r="F25" s="81"/>
      <c r="G25" s="12"/>
      <c r="H25" s="130"/>
      <c r="I25" s="12"/>
      <c r="J25" s="119">
        <f t="shared" si="1"/>
        <v>28309</v>
      </c>
      <c r="K25" s="83">
        <f t="shared" si="0"/>
        <v>622.798</v>
      </c>
    </row>
    <row r="26" spans="1:11" ht="13.5" customHeight="1" x14ac:dyDescent="0.3">
      <c r="A26" s="12" t="s">
        <v>15</v>
      </c>
      <c r="B26" s="88"/>
      <c r="C26" s="111"/>
      <c r="D26" s="12"/>
      <c r="E26" s="12"/>
      <c r="F26" s="81"/>
      <c r="G26" s="12"/>
      <c r="H26" s="130"/>
      <c r="I26" s="12"/>
      <c r="J26" s="119">
        <f t="shared" si="1"/>
        <v>28309</v>
      </c>
      <c r="K26" s="83">
        <f t="shared" si="0"/>
        <v>622.798</v>
      </c>
    </row>
    <row r="27" spans="1:11" ht="14.4" x14ac:dyDescent="0.3">
      <c r="A27" s="12" t="s">
        <v>16</v>
      </c>
      <c r="B27" s="102"/>
      <c r="C27" s="103"/>
      <c r="D27" s="12"/>
      <c r="E27" s="12"/>
      <c r="F27" s="81"/>
      <c r="G27" s="12"/>
      <c r="H27" s="130"/>
      <c r="I27" s="12"/>
      <c r="J27" s="119">
        <f t="shared" si="1"/>
        <v>28309</v>
      </c>
      <c r="K27" s="83">
        <f t="shared" si="0"/>
        <v>622.798</v>
      </c>
    </row>
    <row r="28" spans="1:11" ht="14.4" x14ac:dyDescent="0.3">
      <c r="A28" s="12" t="s">
        <v>17</v>
      </c>
      <c r="C28"/>
      <c r="D28" s="12"/>
      <c r="E28" s="12"/>
      <c r="F28" s="81"/>
      <c r="G28" s="12"/>
      <c r="H28" s="130">
        <v>1596</v>
      </c>
      <c r="I28" s="12"/>
      <c r="J28" s="119">
        <f t="shared" si="1"/>
        <v>26713</v>
      </c>
      <c r="K28" s="83">
        <f t="shared" si="0"/>
        <v>587.68599999999992</v>
      </c>
    </row>
    <row r="29" spans="1:11" ht="14.4" x14ac:dyDescent="0.3">
      <c r="A29" s="12" t="s">
        <v>18</v>
      </c>
      <c r="B29" s="102"/>
      <c r="C29" s="123"/>
      <c r="D29" s="12"/>
      <c r="E29" s="12"/>
      <c r="F29" s="81"/>
      <c r="G29" s="12"/>
      <c r="H29" s="130">
        <v>1130</v>
      </c>
      <c r="I29" s="12"/>
      <c r="J29" s="119">
        <f t="shared" si="1"/>
        <v>25583</v>
      </c>
      <c r="K29" s="83">
        <f t="shared" si="0"/>
        <v>562.82600000000002</v>
      </c>
    </row>
    <row r="30" spans="1:11" ht="14.4" x14ac:dyDescent="0.3">
      <c r="A30" s="12" t="s">
        <v>19</v>
      </c>
      <c r="B30" s="81"/>
      <c r="C30" s="81"/>
      <c r="D30" s="12"/>
      <c r="E30" s="12"/>
      <c r="F30" s="81"/>
      <c r="G30" s="111"/>
      <c r="H30" s="130"/>
      <c r="I30" s="12"/>
      <c r="J30" s="119">
        <f>J29+D30+E30-H30-I30</f>
        <v>25583</v>
      </c>
      <c r="K30" s="83">
        <f t="shared" si="0"/>
        <v>562.82600000000002</v>
      </c>
    </row>
    <row r="31" spans="1:11" ht="14.4" x14ac:dyDescent="0.3">
      <c r="A31" s="12" t="s">
        <v>20</v>
      </c>
      <c r="B31" t="s">
        <v>947</v>
      </c>
      <c r="C31" s="100"/>
      <c r="D31" s="12">
        <v>1056</v>
      </c>
      <c r="E31" s="106"/>
      <c r="F31" s="81"/>
      <c r="G31" s="12"/>
      <c r="H31" s="130">
        <v>2131</v>
      </c>
      <c r="I31" s="12"/>
      <c r="J31" s="119">
        <f t="shared" si="1"/>
        <v>24508</v>
      </c>
      <c r="K31" s="83">
        <f t="shared" si="0"/>
        <v>539.17599999999993</v>
      </c>
    </row>
    <row r="32" spans="1:11" ht="14.4" x14ac:dyDescent="0.3">
      <c r="A32" s="12" t="s">
        <v>21</v>
      </c>
      <c r="B32" s="81"/>
      <c r="C32" s="73"/>
      <c r="D32" s="12"/>
      <c r="E32" s="12"/>
      <c r="F32" s="81"/>
      <c r="G32" s="107"/>
      <c r="H32" s="130"/>
      <c r="I32" s="12"/>
      <c r="J32" s="119">
        <f t="shared" si="1"/>
        <v>24508</v>
      </c>
      <c r="K32" s="83">
        <f t="shared" si="0"/>
        <v>539.17599999999993</v>
      </c>
    </row>
    <row r="33" spans="1:12" ht="14.4" x14ac:dyDescent="0.3">
      <c r="A33" s="12" t="s">
        <v>22</v>
      </c>
      <c r="B33" s="81"/>
      <c r="C33" s="96"/>
      <c r="D33" s="12"/>
      <c r="E33" s="12"/>
      <c r="F33" s="81"/>
      <c r="G33" s="12"/>
      <c r="H33" s="130"/>
      <c r="I33" s="12"/>
      <c r="J33" s="119">
        <f>J32+D33+E33-H33-I33</f>
        <v>24508</v>
      </c>
      <c r="K33" s="83">
        <f t="shared" si="0"/>
        <v>539.17599999999993</v>
      </c>
    </row>
    <row r="34" spans="1:12" ht="14.4" x14ac:dyDescent="0.3">
      <c r="A34" s="12" t="s">
        <v>23</v>
      </c>
      <c r="B34" s="81"/>
      <c r="C34" s="81"/>
      <c r="D34" s="12"/>
      <c r="E34" s="12"/>
      <c r="F34" s="81"/>
      <c r="G34" s="12"/>
      <c r="H34" s="130"/>
      <c r="I34" s="12"/>
      <c r="J34" s="119">
        <f>J33+D34+E34-H34-I34</f>
        <v>24508</v>
      </c>
      <c r="K34" s="83">
        <f t="shared" si="0"/>
        <v>539.17599999999993</v>
      </c>
    </row>
    <row r="35" spans="1:12" ht="14.4" x14ac:dyDescent="0.3">
      <c r="A35" s="12" t="s">
        <v>24</v>
      </c>
      <c r="B35" s="88"/>
      <c r="C35" s="96"/>
      <c r="D35" s="12"/>
      <c r="E35" s="12"/>
      <c r="F35" s="81"/>
      <c r="G35" s="12"/>
      <c r="H35" s="130"/>
      <c r="I35" s="12"/>
      <c r="J35" s="119">
        <f t="shared" si="1"/>
        <v>24508</v>
      </c>
      <c r="K35" s="83">
        <f t="shared" si="0"/>
        <v>539.17599999999993</v>
      </c>
    </row>
    <row r="36" spans="1:12" ht="13.5" customHeight="1" x14ac:dyDescent="0.3">
      <c r="A36" s="12" t="s">
        <v>25</v>
      </c>
      <c r="B36" s="81"/>
      <c r="C36" s="81"/>
      <c r="D36" s="12"/>
      <c r="E36" s="12"/>
      <c r="F36" s="12"/>
      <c r="G36" s="12"/>
      <c r="H36" s="130"/>
      <c r="I36" s="108"/>
      <c r="J36" s="119">
        <f t="shared" si="1"/>
        <v>24508</v>
      </c>
      <c r="K36" s="83">
        <f t="shared" si="0"/>
        <v>539.17599999999993</v>
      </c>
    </row>
    <row r="37" spans="1:12" ht="14.4" x14ac:dyDescent="0.3">
      <c r="A37" s="12" t="s">
        <v>26</v>
      </c>
      <c r="B37" s="81"/>
      <c r="C37" s="100"/>
      <c r="D37" s="12"/>
      <c r="E37" s="12"/>
      <c r="F37" s="12"/>
      <c r="G37" s="12"/>
      <c r="H37" s="130"/>
      <c r="I37" s="12"/>
      <c r="J37" s="119">
        <f t="shared" si="1"/>
        <v>24508</v>
      </c>
      <c r="K37" s="83">
        <f t="shared" si="0"/>
        <v>539.17599999999993</v>
      </c>
    </row>
    <row r="38" spans="1:12" ht="14.4" x14ac:dyDescent="0.3">
      <c r="A38" s="12" t="s">
        <v>27</v>
      </c>
      <c r="B38" t="s">
        <v>948</v>
      </c>
      <c r="C38" t="s">
        <v>949</v>
      </c>
      <c r="D38" s="12">
        <v>1028</v>
      </c>
      <c r="E38" s="12"/>
      <c r="F38" s="12"/>
      <c r="G38" s="12"/>
      <c r="H38" s="130"/>
      <c r="I38" s="12"/>
      <c r="J38" s="119">
        <f t="shared" si="1"/>
        <v>25536</v>
      </c>
      <c r="K38" s="83">
        <f t="shared" si="0"/>
        <v>561.79199999999992</v>
      </c>
    </row>
    <row r="39" spans="1:12" x14ac:dyDescent="0.25">
      <c r="A39" s="12" t="s">
        <v>28</v>
      </c>
      <c r="B39" s="88"/>
      <c r="C39" s="81"/>
      <c r="D39" s="12"/>
      <c r="E39" s="12"/>
      <c r="F39" s="81"/>
      <c r="G39" s="12"/>
      <c r="H39" s="103"/>
      <c r="I39" s="12"/>
      <c r="J39" s="119">
        <f t="shared" si="1"/>
        <v>25536</v>
      </c>
      <c r="K39" s="83">
        <f t="shared" si="0"/>
        <v>561.79199999999992</v>
      </c>
    </row>
    <row r="40" spans="1:12" x14ac:dyDescent="0.25">
      <c r="A40" s="12" t="s">
        <v>29</v>
      </c>
      <c r="B40" t="s">
        <v>950</v>
      </c>
      <c r="C40" s="96"/>
      <c r="D40" s="12">
        <v>989</v>
      </c>
      <c r="E40" s="12"/>
      <c r="F40" s="81"/>
      <c r="G40" s="12"/>
      <c r="H40" s="103">
        <v>1771</v>
      </c>
      <c r="I40" s="12"/>
      <c r="J40" s="119">
        <f t="shared" si="1"/>
        <v>24754</v>
      </c>
      <c r="K40" s="83">
        <f t="shared" si="0"/>
        <v>544.58799999999997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03">
        <v>736</v>
      </c>
      <c r="I41" s="12"/>
      <c r="J41" s="119">
        <f t="shared" si="1"/>
        <v>24018</v>
      </c>
      <c r="K41" s="83">
        <f t="shared" si="0"/>
        <v>528.39599999999996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6393</v>
      </c>
      <c r="E42" s="121">
        <f>SUM(E11:E41)</f>
        <v>0</v>
      </c>
      <c r="F42" s="120">
        <v>0</v>
      </c>
      <c r="G42" s="120"/>
      <c r="H42" s="121">
        <f>SUM(H11:H41)</f>
        <v>11035</v>
      </c>
      <c r="I42" s="121">
        <f>SUM(I11:I41)</f>
        <v>0</v>
      </c>
      <c r="J42" s="69">
        <f>AVERAGE(J11:J41)</f>
        <v>25891.709677419356</v>
      </c>
      <c r="K42" s="32">
        <f>SUM(K11:K41)</f>
        <v>17658.145999999997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6393</v>
      </c>
      <c r="I45" s="59">
        <v>0.31</v>
      </c>
      <c r="J45" s="48">
        <f>H45*I45</f>
        <v>1981.83</v>
      </c>
      <c r="K45" s="50">
        <f>kurs*J45</f>
        <v>232210.42655100001</v>
      </c>
    </row>
    <row r="46" spans="1:12" x14ac:dyDescent="0.25">
      <c r="E46" s="42" t="s">
        <v>54</v>
      </c>
      <c r="F46" s="43"/>
      <c r="G46" s="43"/>
      <c r="H46" s="44">
        <f>H42+I42</f>
        <v>11035</v>
      </c>
      <c r="I46" s="59">
        <v>0.22</v>
      </c>
      <c r="J46" s="48">
        <f>H46*I46</f>
        <v>2427.6999999999998</v>
      </c>
      <c r="K46" s="50">
        <f t="shared" ref="K46" si="2">kurs*J46</f>
        <v>284452.88069000002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829</v>
      </c>
      <c r="F53" s="46"/>
      <c r="G53" s="46"/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17658.145999999997</v>
      </c>
      <c r="K55" s="50">
        <f>kurs*J55</f>
        <v>2068999.6693761998</v>
      </c>
      <c r="L55" s="61"/>
    </row>
    <row r="56" spans="3:12" x14ac:dyDescent="0.25">
      <c r="E56" s="22"/>
      <c r="I56" t="s">
        <v>56</v>
      </c>
      <c r="J56" s="52">
        <f>SUM(J45:J55)</f>
        <v>22067.675999999996</v>
      </c>
      <c r="K56" s="51">
        <f>SUM(K45:K55)</f>
        <v>2585662.9766171998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1989-5239-41D4-B5EE-7679B26AF62B}">
  <dimension ref="A1:L61"/>
  <sheetViews>
    <sheetView view="pageBreakPreview" zoomScaleNormal="100" zoomScaleSheetLayoutView="100" workbookViewId="0">
      <selection activeCell="C7" sqref="C7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0.19921875" bestFit="1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s="118" t="s">
        <v>1035</v>
      </c>
      <c r="I2" s="3"/>
    </row>
    <row r="3" spans="1:11" x14ac:dyDescent="0.25">
      <c r="A3" s="1" t="s">
        <v>37</v>
      </c>
      <c r="B3" s="2"/>
      <c r="C3" s="6"/>
      <c r="F3" s="3" t="s">
        <v>940</v>
      </c>
      <c r="H3" s="4"/>
      <c r="I3" s="4"/>
    </row>
    <row r="4" spans="1:11" x14ac:dyDescent="0.25">
      <c r="B4" s="2"/>
      <c r="C4" s="6"/>
      <c r="F4" s="3" t="s">
        <v>941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117.4042</v>
      </c>
      <c r="F6" t="s">
        <v>42</v>
      </c>
      <c r="G6" s="102">
        <v>2512026276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35484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/>
      <c r="B11" s="88"/>
      <c r="C11" s="96"/>
      <c r="D11" s="12"/>
      <c r="E11" s="56"/>
      <c r="F11" s="12"/>
      <c r="G11" s="12"/>
      <c r="H11" s="12"/>
      <c r="I11" s="56"/>
      <c r="J11" s="119">
        <v>0</v>
      </c>
      <c r="K11" s="83">
        <f>0.022*J11</f>
        <v>0</v>
      </c>
    </row>
    <row r="12" spans="1:11" ht="14.25" customHeight="1" x14ac:dyDescent="0.25">
      <c r="A12" s="12"/>
      <c r="B12" s="88"/>
      <c r="C12" s="91"/>
      <c r="D12" s="12"/>
      <c r="E12" s="12"/>
      <c r="F12" s="12"/>
      <c r="G12" s="12"/>
      <c r="H12" s="12"/>
      <c r="I12" s="56"/>
      <c r="J12" s="119">
        <v>0</v>
      </c>
      <c r="K12" s="83">
        <f t="shared" ref="K12:K41" si="0">0.022*J12</f>
        <v>0</v>
      </c>
    </row>
    <row r="13" spans="1:11" ht="13.5" customHeight="1" x14ac:dyDescent="0.3">
      <c r="A13" s="12"/>
      <c r="B13" s="88"/>
      <c r="C13" s="102"/>
      <c r="D13" s="56"/>
      <c r="E13" s="56"/>
      <c r="F13" s="12"/>
      <c r="G13" s="12"/>
      <c r="H13" s="12"/>
      <c r="I13" s="56"/>
      <c r="J13" s="119">
        <v>0</v>
      </c>
      <c r="K13" s="83">
        <f t="shared" si="0"/>
        <v>0</v>
      </c>
    </row>
    <row r="14" spans="1:11" ht="14.4" x14ac:dyDescent="0.3">
      <c r="A14" s="12"/>
      <c r="B14" s="88"/>
      <c r="C14" s="102"/>
      <c r="D14" s="12"/>
      <c r="E14" s="12"/>
      <c r="F14" s="12"/>
      <c r="G14" s="12"/>
      <c r="H14" s="12"/>
      <c r="I14" s="56"/>
      <c r="J14" s="119">
        <v>0</v>
      </c>
      <c r="K14" s="83">
        <f t="shared" si="0"/>
        <v>0</v>
      </c>
    </row>
    <row r="15" spans="1:11" ht="14.4" x14ac:dyDescent="0.3">
      <c r="A15" s="12"/>
      <c r="B15" s="102"/>
      <c r="C15" s="109"/>
      <c r="D15" s="12"/>
      <c r="E15" s="12"/>
      <c r="F15" s="12"/>
      <c r="G15" s="12"/>
      <c r="H15" s="12"/>
      <c r="I15" s="56"/>
      <c r="J15" s="119">
        <v>0</v>
      </c>
      <c r="K15" s="83">
        <f t="shared" si="0"/>
        <v>0</v>
      </c>
    </row>
    <row r="16" spans="1:11" x14ac:dyDescent="0.25">
      <c r="A16" s="12"/>
      <c r="B16" s="81"/>
      <c r="C16" s="111"/>
      <c r="D16" s="12"/>
      <c r="E16" s="12"/>
      <c r="F16" s="12"/>
      <c r="G16" s="12"/>
      <c r="H16" s="105"/>
      <c r="I16" s="56"/>
      <c r="J16" s="119">
        <v>0</v>
      </c>
      <c r="K16" s="83">
        <f t="shared" si="0"/>
        <v>0</v>
      </c>
    </row>
    <row r="17" spans="1:11" x14ac:dyDescent="0.25">
      <c r="A17" s="12"/>
      <c r="B17" s="116"/>
      <c r="C17" s="81"/>
      <c r="D17" s="12"/>
      <c r="E17" s="12"/>
      <c r="F17" s="81"/>
      <c r="G17" s="12"/>
      <c r="H17" s="12"/>
      <c r="I17" s="12"/>
      <c r="J17" s="119">
        <v>0</v>
      </c>
      <c r="K17" s="83">
        <f t="shared" si="0"/>
        <v>0</v>
      </c>
    </row>
    <row r="18" spans="1:11" ht="14.4" x14ac:dyDescent="0.3">
      <c r="A18" s="12"/>
      <c r="B18" s="88"/>
      <c r="C18" s="73"/>
      <c r="D18" s="12"/>
      <c r="E18" s="12"/>
      <c r="F18" s="12"/>
      <c r="G18" s="12"/>
      <c r="H18" s="126"/>
      <c r="I18" s="12"/>
      <c r="J18" s="119">
        <v>0</v>
      </c>
      <c r="K18" s="83">
        <f t="shared" si="0"/>
        <v>0</v>
      </c>
    </row>
    <row r="19" spans="1:11" ht="13.5" customHeight="1" x14ac:dyDescent="0.3">
      <c r="A19" s="12"/>
      <c r="B19" s="81"/>
      <c r="C19" s="81"/>
      <c r="D19" s="12"/>
      <c r="E19" s="12"/>
      <c r="F19" s="81"/>
      <c r="G19" s="12"/>
      <c r="H19" s="126"/>
      <c r="I19" s="12"/>
      <c r="J19" s="119">
        <v>0</v>
      </c>
      <c r="K19" s="83">
        <f t="shared" si="0"/>
        <v>0</v>
      </c>
    </row>
    <row r="20" spans="1:11" ht="14.4" x14ac:dyDescent="0.3">
      <c r="A20" s="12"/>
      <c r="B20" s="88"/>
      <c r="C20" s="102"/>
      <c r="D20" s="12"/>
      <c r="E20" s="12"/>
      <c r="F20" s="81"/>
      <c r="G20" s="12"/>
      <c r="H20" s="126"/>
      <c r="I20" s="12"/>
      <c r="J20" s="119">
        <v>0</v>
      </c>
      <c r="K20" s="83">
        <f t="shared" si="0"/>
        <v>0</v>
      </c>
    </row>
    <row r="21" spans="1:11" ht="14.4" x14ac:dyDescent="0.3">
      <c r="A21" s="12"/>
      <c r="B21" s="102"/>
      <c r="C21" s="102"/>
      <c r="D21" s="12"/>
      <c r="E21" s="12"/>
      <c r="F21" s="81"/>
      <c r="G21" s="12"/>
      <c r="H21" s="126"/>
      <c r="I21" s="12"/>
      <c r="J21" s="119">
        <v>0</v>
      </c>
      <c r="K21" s="83">
        <f t="shared" si="0"/>
        <v>0</v>
      </c>
    </row>
    <row r="22" spans="1:11" ht="14.4" x14ac:dyDescent="0.3">
      <c r="A22" s="12"/>
      <c r="C22" s="109"/>
      <c r="D22" s="12"/>
      <c r="E22" s="12"/>
      <c r="F22" s="81"/>
      <c r="G22" s="12"/>
      <c r="H22" s="126"/>
      <c r="I22" s="12"/>
      <c r="J22" s="119">
        <v>0</v>
      </c>
      <c r="K22" s="83">
        <f t="shared" si="0"/>
        <v>0</v>
      </c>
    </row>
    <row r="23" spans="1:11" ht="14.4" x14ac:dyDescent="0.3">
      <c r="A23" s="12"/>
      <c r="B23" s="81"/>
      <c r="C23" s="103"/>
      <c r="D23" s="12"/>
      <c r="E23" s="12"/>
      <c r="F23" s="81"/>
      <c r="G23" s="81"/>
      <c r="H23" s="126"/>
      <c r="I23" s="12"/>
      <c r="J23" s="119">
        <v>0</v>
      </c>
      <c r="K23" s="83">
        <f t="shared" si="0"/>
        <v>0</v>
      </c>
    </row>
    <row r="24" spans="1:11" ht="14.4" x14ac:dyDescent="0.3">
      <c r="A24" s="12"/>
      <c r="B24" s="88"/>
      <c r="C24" s="88"/>
      <c r="D24" s="12"/>
      <c r="E24" s="12"/>
      <c r="F24" s="81"/>
      <c r="G24" s="12"/>
      <c r="H24" s="126"/>
      <c r="I24" s="12"/>
      <c r="J24" s="119">
        <v>0</v>
      </c>
      <c r="K24" s="83">
        <f t="shared" si="0"/>
        <v>0</v>
      </c>
    </row>
    <row r="25" spans="1:11" ht="14.4" x14ac:dyDescent="0.3">
      <c r="A25" s="12"/>
      <c r="B25" s="81"/>
      <c r="C25" s="109"/>
      <c r="D25" s="12"/>
      <c r="E25" s="12"/>
      <c r="F25" s="81"/>
      <c r="G25" s="12"/>
      <c r="H25" s="126"/>
      <c r="I25" s="12"/>
      <c r="J25" s="119">
        <v>0</v>
      </c>
      <c r="K25" s="83">
        <f t="shared" si="0"/>
        <v>0</v>
      </c>
    </row>
    <row r="26" spans="1:11" ht="13.5" customHeight="1" x14ac:dyDescent="0.3">
      <c r="A26" s="12"/>
      <c r="B26" s="88"/>
      <c r="C26" s="111"/>
      <c r="D26" s="12"/>
      <c r="E26" s="12"/>
      <c r="F26" s="81"/>
      <c r="G26" s="12"/>
      <c r="H26" s="126"/>
      <c r="I26" s="12"/>
      <c r="J26" s="119">
        <v>0</v>
      </c>
      <c r="K26" s="83">
        <f t="shared" si="0"/>
        <v>0</v>
      </c>
    </row>
    <row r="27" spans="1:11" ht="14.4" x14ac:dyDescent="0.3">
      <c r="A27" s="12"/>
      <c r="B27" s="102"/>
      <c r="C27" s="103"/>
      <c r="D27" s="12"/>
      <c r="E27" s="12"/>
      <c r="F27" s="81"/>
      <c r="G27" s="12"/>
      <c r="H27" s="126"/>
      <c r="I27" s="12"/>
      <c r="J27" s="119">
        <v>0</v>
      </c>
      <c r="K27" s="83">
        <f t="shared" si="0"/>
        <v>0</v>
      </c>
    </row>
    <row r="28" spans="1:11" ht="14.4" x14ac:dyDescent="0.3">
      <c r="A28" s="12"/>
      <c r="C28"/>
      <c r="D28" s="12"/>
      <c r="E28" s="12"/>
      <c r="F28" s="81"/>
      <c r="G28" s="12"/>
      <c r="H28" s="126"/>
      <c r="I28" s="12"/>
      <c r="J28" s="119">
        <v>0</v>
      </c>
      <c r="K28" s="83">
        <f t="shared" si="0"/>
        <v>0</v>
      </c>
    </row>
    <row r="29" spans="1:11" ht="14.4" x14ac:dyDescent="0.3">
      <c r="A29" s="12"/>
      <c r="B29" s="102"/>
      <c r="C29" s="123"/>
      <c r="D29" s="12"/>
      <c r="E29" s="12"/>
      <c r="F29" s="81"/>
      <c r="G29" s="12"/>
      <c r="H29" s="126"/>
      <c r="I29" s="12"/>
      <c r="J29" s="119">
        <v>0</v>
      </c>
      <c r="K29" s="83">
        <f t="shared" si="0"/>
        <v>0</v>
      </c>
    </row>
    <row r="30" spans="1:11" ht="14.4" x14ac:dyDescent="0.3">
      <c r="A30" s="12"/>
      <c r="B30" s="81"/>
      <c r="C30" s="81"/>
      <c r="D30" s="12"/>
      <c r="E30" s="12"/>
      <c r="F30" s="81"/>
      <c r="G30" s="111"/>
      <c r="H30" s="126"/>
      <c r="I30" s="12"/>
      <c r="J30" s="119">
        <v>0</v>
      </c>
      <c r="K30" s="83">
        <f t="shared" si="0"/>
        <v>0</v>
      </c>
    </row>
    <row r="31" spans="1:11" ht="14.4" x14ac:dyDescent="0.3">
      <c r="A31" s="12"/>
      <c r="B31" s="104"/>
      <c r="C31" s="100"/>
      <c r="D31" s="12"/>
      <c r="E31" s="106"/>
      <c r="F31" s="81"/>
      <c r="G31" s="12"/>
      <c r="H31" s="126"/>
      <c r="I31" s="12"/>
      <c r="J31" s="119">
        <v>0</v>
      </c>
      <c r="K31" s="83">
        <f t="shared" si="0"/>
        <v>0</v>
      </c>
    </row>
    <row r="32" spans="1:11" ht="14.4" x14ac:dyDescent="0.3">
      <c r="A32" s="12"/>
      <c r="B32" s="81"/>
      <c r="C32" s="73"/>
      <c r="D32" s="12"/>
      <c r="E32" s="12"/>
      <c r="F32" s="81"/>
      <c r="G32" s="107"/>
      <c r="H32" s="126"/>
      <c r="I32" s="12"/>
      <c r="J32" s="119">
        <v>0</v>
      </c>
      <c r="K32" s="83">
        <f t="shared" si="0"/>
        <v>0</v>
      </c>
    </row>
    <row r="33" spans="1:12" x14ac:dyDescent="0.25">
      <c r="A33" s="12"/>
      <c r="B33" s="104"/>
      <c r="C33" s="96"/>
      <c r="D33" s="12"/>
      <c r="E33" s="12"/>
      <c r="F33" s="81"/>
      <c r="G33" s="12"/>
      <c r="H33" s="12"/>
      <c r="I33" s="12"/>
      <c r="J33" s="119">
        <v>0</v>
      </c>
      <c r="K33" s="83">
        <f t="shared" si="0"/>
        <v>0</v>
      </c>
    </row>
    <row r="34" spans="1:12" x14ac:dyDescent="0.25">
      <c r="A34" s="12"/>
      <c r="B34" s="81"/>
      <c r="C34" s="81"/>
      <c r="D34" s="12"/>
      <c r="E34" s="12"/>
      <c r="F34" s="81"/>
      <c r="G34" s="12"/>
      <c r="H34" s="12"/>
      <c r="I34" s="12"/>
      <c r="J34" s="119">
        <v>0</v>
      </c>
      <c r="K34" s="83">
        <f t="shared" si="0"/>
        <v>0</v>
      </c>
    </row>
    <row r="35" spans="1:12" x14ac:dyDescent="0.25">
      <c r="A35" s="12"/>
      <c r="B35" s="88"/>
      <c r="C35" s="96"/>
      <c r="D35" s="12"/>
      <c r="E35" s="12"/>
      <c r="F35" s="81"/>
      <c r="G35" s="12"/>
      <c r="H35" s="12"/>
      <c r="I35" s="12"/>
      <c r="J35" s="119">
        <v>0</v>
      </c>
      <c r="K35" s="83">
        <f t="shared" si="0"/>
        <v>0</v>
      </c>
    </row>
    <row r="36" spans="1:12" ht="13.5" customHeight="1" x14ac:dyDescent="0.25">
      <c r="A36" s="12"/>
      <c r="B36" s="81"/>
      <c r="C36" s="81"/>
      <c r="D36" s="12"/>
      <c r="E36" s="12"/>
      <c r="F36" s="12"/>
      <c r="G36" s="12"/>
      <c r="H36" s="12"/>
      <c r="I36" s="108"/>
      <c r="J36" s="119">
        <v>0</v>
      </c>
      <c r="K36" s="83">
        <f t="shared" si="0"/>
        <v>0</v>
      </c>
    </row>
    <row r="37" spans="1:12" x14ac:dyDescent="0.25">
      <c r="A37" s="12"/>
      <c r="B37" s="81"/>
      <c r="C37" s="100"/>
      <c r="D37" s="12"/>
      <c r="E37" s="12"/>
      <c r="F37" s="12"/>
      <c r="G37" s="12"/>
      <c r="H37" s="12"/>
      <c r="I37" s="12"/>
      <c r="J37" s="119">
        <v>0</v>
      </c>
      <c r="K37" s="83">
        <f t="shared" si="0"/>
        <v>0</v>
      </c>
    </row>
    <row r="38" spans="1:12" x14ac:dyDescent="0.25">
      <c r="A38" s="12"/>
      <c r="B38" s="88"/>
      <c r="C38" s="109"/>
      <c r="D38" s="12"/>
      <c r="E38" s="12"/>
      <c r="F38" s="12"/>
      <c r="G38" s="12"/>
      <c r="H38" s="127"/>
      <c r="I38" s="12"/>
      <c r="J38" s="119">
        <v>0</v>
      </c>
      <c r="K38" s="83">
        <f t="shared" si="0"/>
        <v>0</v>
      </c>
    </row>
    <row r="39" spans="1:12" x14ac:dyDescent="0.25">
      <c r="A39" s="12"/>
      <c r="B39" s="88"/>
      <c r="C39" s="81"/>
      <c r="D39" s="12"/>
      <c r="E39" s="12"/>
      <c r="F39" s="81"/>
      <c r="G39" s="12"/>
      <c r="H39" s="127"/>
      <c r="I39" s="12"/>
      <c r="J39" s="119">
        <v>0</v>
      </c>
      <c r="K39" s="83">
        <f t="shared" si="0"/>
        <v>0</v>
      </c>
    </row>
    <row r="40" spans="1:12" x14ac:dyDescent="0.25">
      <c r="A40" s="12"/>
      <c r="B40" s="96"/>
      <c r="C40" s="96"/>
      <c r="D40" s="12"/>
      <c r="E40" s="12"/>
      <c r="F40" s="81"/>
      <c r="G40" s="12"/>
      <c r="H40" s="12"/>
      <c r="I40" s="12"/>
      <c r="J40" s="119">
        <v>0</v>
      </c>
      <c r="K40" s="83">
        <f t="shared" si="0"/>
        <v>0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"/>
      <c r="I41" s="12"/>
      <c r="J41" s="119">
        <v>0</v>
      </c>
      <c r="K41" s="83">
        <f t="shared" si="0"/>
        <v>0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0</v>
      </c>
      <c r="E42" s="121">
        <f>SUM(E11:E41)</f>
        <v>0</v>
      </c>
      <c r="F42" s="120">
        <v>0</v>
      </c>
      <c r="G42" s="120"/>
      <c r="H42" s="121">
        <f>SUM(H11:H41)</f>
        <v>0</v>
      </c>
      <c r="I42" s="121">
        <f>SUM(I11:I41)</f>
        <v>0</v>
      </c>
      <c r="J42" s="69">
        <f>AVERAGE(J11:J41)</f>
        <v>0</v>
      </c>
      <c r="K42" s="32">
        <f>SUM(K11:K41)</f>
        <v>0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0</v>
      </c>
      <c r="I45" s="59">
        <v>0.31</v>
      </c>
      <c r="J45" s="48">
        <f>H45*I45</f>
        <v>0</v>
      </c>
      <c r="K45" s="50">
        <f>kurs*J45</f>
        <v>0</v>
      </c>
    </row>
    <row r="46" spans="1:12" x14ac:dyDescent="0.25">
      <c r="E46" s="42" t="s">
        <v>1044</v>
      </c>
      <c r="F46" s="43"/>
      <c r="G46" s="43"/>
      <c r="H46" s="44">
        <v>2378</v>
      </c>
      <c r="I46" s="59">
        <v>0.22</v>
      </c>
      <c r="J46" s="48">
        <f>H46*I46</f>
        <v>523.16</v>
      </c>
      <c r="K46" s="50">
        <f t="shared" ref="K46" si="1">kurs*J46</f>
        <v>61421.181271999994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2">H47*I47</f>
        <v>0</v>
      </c>
      <c r="K47" s="50">
        <f t="shared" ref="K47:K50" si="3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2"/>
        <v>0</v>
      </c>
      <c r="K48" s="50">
        <f t="shared" ref="K48:K49" si="4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2"/>
        <v>0</v>
      </c>
      <c r="K49" s="50">
        <f t="shared" si="4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2"/>
        <v>0</v>
      </c>
      <c r="K50" s="50">
        <f t="shared" si="3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2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2"/>
        <v>0</v>
      </c>
      <c r="K52" s="50">
        <f>kurs*J52</f>
        <v>0</v>
      </c>
    </row>
    <row r="53" spans="3:12" x14ac:dyDescent="0.25">
      <c r="E53" s="45" t="s">
        <v>829</v>
      </c>
      <c r="F53" s="46"/>
      <c r="G53" s="46"/>
      <c r="H53" s="47">
        <v>0</v>
      </c>
      <c r="I53" s="60">
        <v>200</v>
      </c>
      <c r="J53" s="48">
        <f t="shared" si="2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0</v>
      </c>
      <c r="K55" s="50">
        <f>kurs*J55</f>
        <v>0</v>
      </c>
      <c r="L55" s="61"/>
    </row>
    <row r="56" spans="3:12" x14ac:dyDescent="0.25">
      <c r="E56" s="22"/>
      <c r="I56" t="s">
        <v>56</v>
      </c>
      <c r="J56" s="52">
        <f>SUM(J45:J55)</f>
        <v>523.16</v>
      </c>
      <c r="K56" s="51">
        <f>SUM(K45:K55)</f>
        <v>61421.181271999994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6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081C-6D09-4E88-AE80-95E817AE3FA5}">
  <dimension ref="A1:L62"/>
  <sheetViews>
    <sheetView view="pageBreakPreview" topLeftCell="A22" zoomScaleNormal="100" zoomScaleSheetLayoutView="100" workbookViewId="0">
      <selection activeCell="F10" sqref="F10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0.19921875" bestFit="1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s="118" t="s">
        <v>1035</v>
      </c>
      <c r="I2" s="3"/>
    </row>
    <row r="3" spans="1:11" x14ac:dyDescent="0.25">
      <c r="A3" s="1" t="s">
        <v>37</v>
      </c>
      <c r="B3" s="2"/>
      <c r="C3" s="6"/>
      <c r="F3" s="3" t="s">
        <v>894</v>
      </c>
      <c r="H3" s="4"/>
      <c r="I3" s="4"/>
    </row>
    <row r="4" spans="1:11" x14ac:dyDescent="0.25">
      <c r="B4" s="2"/>
      <c r="C4" s="6"/>
      <c r="F4" s="3" t="s">
        <v>919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117.3609</v>
      </c>
      <c r="F6" t="s">
        <v>42</v>
      </c>
      <c r="G6" s="102">
        <v>2511025259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35484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/>
      <c r="B11" s="88"/>
      <c r="C11" s="96"/>
      <c r="D11" s="12"/>
      <c r="E11" s="56"/>
      <c r="F11" s="12"/>
      <c r="G11" s="12"/>
      <c r="H11" s="12"/>
      <c r="I11" s="56"/>
      <c r="J11" s="119">
        <v>0</v>
      </c>
      <c r="K11" s="83">
        <f>0.022*J11</f>
        <v>0</v>
      </c>
    </row>
    <row r="12" spans="1:11" ht="14.25" customHeight="1" x14ac:dyDescent="0.25">
      <c r="A12" s="12"/>
      <c r="B12" s="88"/>
      <c r="C12" s="91"/>
      <c r="D12" s="12"/>
      <c r="E12" s="12"/>
      <c r="F12" s="12"/>
      <c r="G12" s="12"/>
      <c r="H12" s="12"/>
      <c r="I12" s="56"/>
      <c r="J12" s="119">
        <v>0</v>
      </c>
      <c r="K12" s="83">
        <f t="shared" ref="K12:K41" si="0">0.022*J12</f>
        <v>0</v>
      </c>
    </row>
    <row r="13" spans="1:11" ht="13.5" customHeight="1" x14ac:dyDescent="0.3">
      <c r="A13" s="12"/>
      <c r="B13" s="88"/>
      <c r="C13" s="102"/>
      <c r="D13" s="56"/>
      <c r="E13" s="56"/>
      <c r="F13" s="12"/>
      <c r="G13" s="12"/>
      <c r="H13" s="12"/>
      <c r="I13" s="56"/>
      <c r="J13" s="119">
        <v>0</v>
      </c>
      <c r="K13" s="83">
        <f t="shared" si="0"/>
        <v>0</v>
      </c>
    </row>
    <row r="14" spans="1:11" ht="14.4" x14ac:dyDescent="0.3">
      <c r="A14" s="12"/>
      <c r="B14" s="88"/>
      <c r="C14" s="102"/>
      <c r="D14" s="12"/>
      <c r="E14" s="12"/>
      <c r="F14" s="12"/>
      <c r="G14" s="12"/>
      <c r="H14" s="12"/>
      <c r="I14" s="56"/>
      <c r="J14" s="119">
        <v>0</v>
      </c>
      <c r="K14" s="83">
        <f t="shared" si="0"/>
        <v>0</v>
      </c>
    </row>
    <row r="15" spans="1:11" ht="14.4" x14ac:dyDescent="0.3">
      <c r="A15" s="12"/>
      <c r="B15" s="102"/>
      <c r="C15" s="109"/>
      <c r="D15" s="12"/>
      <c r="E15" s="12"/>
      <c r="F15" s="12"/>
      <c r="G15" s="12"/>
      <c r="H15" s="12"/>
      <c r="I15" s="56"/>
      <c r="J15" s="119">
        <v>0</v>
      </c>
      <c r="K15" s="83">
        <f t="shared" si="0"/>
        <v>0</v>
      </c>
    </row>
    <row r="16" spans="1:11" x14ac:dyDescent="0.25">
      <c r="A16" s="12"/>
      <c r="B16" s="81"/>
      <c r="C16" s="111"/>
      <c r="D16" s="12"/>
      <c r="E16" s="12"/>
      <c r="F16" s="12"/>
      <c r="G16" s="12"/>
      <c r="H16" s="105"/>
      <c r="I16" s="56"/>
      <c r="J16" s="119">
        <v>0</v>
      </c>
      <c r="K16" s="83">
        <f t="shared" si="0"/>
        <v>0</v>
      </c>
    </row>
    <row r="17" spans="1:11" x14ac:dyDescent="0.25">
      <c r="A17" s="12"/>
      <c r="B17" s="116"/>
      <c r="C17" s="81"/>
      <c r="D17" s="12"/>
      <c r="E17" s="12"/>
      <c r="F17" s="81"/>
      <c r="G17" s="12"/>
      <c r="H17" s="12"/>
      <c r="I17" s="12"/>
      <c r="J17" s="119">
        <v>0</v>
      </c>
      <c r="K17" s="83">
        <f t="shared" si="0"/>
        <v>0</v>
      </c>
    </row>
    <row r="18" spans="1:11" ht="14.4" x14ac:dyDescent="0.3">
      <c r="A18" s="12"/>
      <c r="B18" s="88"/>
      <c r="C18" s="73"/>
      <c r="D18" s="12"/>
      <c r="E18" s="12"/>
      <c r="F18" s="12"/>
      <c r="G18" s="12"/>
      <c r="H18" s="126"/>
      <c r="I18" s="12"/>
      <c r="J18" s="119">
        <v>0</v>
      </c>
      <c r="K18" s="83">
        <f t="shared" si="0"/>
        <v>0</v>
      </c>
    </row>
    <row r="19" spans="1:11" ht="13.5" customHeight="1" x14ac:dyDescent="0.3">
      <c r="A19" s="12"/>
      <c r="B19" s="81"/>
      <c r="C19" s="81"/>
      <c r="D19" s="12"/>
      <c r="E19" s="12"/>
      <c r="F19" s="81"/>
      <c r="G19" s="12"/>
      <c r="H19" s="126"/>
      <c r="I19" s="12"/>
      <c r="J19" s="119">
        <v>0</v>
      </c>
      <c r="K19" s="83">
        <f t="shared" si="0"/>
        <v>0</v>
      </c>
    </row>
    <row r="20" spans="1:11" ht="14.4" x14ac:dyDescent="0.3">
      <c r="A20" s="12"/>
      <c r="B20" s="88"/>
      <c r="C20" s="102"/>
      <c r="D20" s="12"/>
      <c r="E20" s="12"/>
      <c r="F20" s="81"/>
      <c r="G20" s="12"/>
      <c r="H20" s="126"/>
      <c r="I20" s="12"/>
      <c r="J20" s="119">
        <v>0</v>
      </c>
      <c r="K20" s="83">
        <f t="shared" si="0"/>
        <v>0</v>
      </c>
    </row>
    <row r="21" spans="1:11" ht="14.4" x14ac:dyDescent="0.3">
      <c r="A21" s="12"/>
      <c r="B21" s="102"/>
      <c r="C21" s="102"/>
      <c r="D21" s="12"/>
      <c r="E21" s="12"/>
      <c r="F21" s="81"/>
      <c r="G21" s="12"/>
      <c r="H21" s="126"/>
      <c r="I21" s="12"/>
      <c r="J21" s="119">
        <v>0</v>
      </c>
      <c r="K21" s="83">
        <f t="shared" si="0"/>
        <v>0</v>
      </c>
    </row>
    <row r="22" spans="1:11" ht="14.4" x14ac:dyDescent="0.3">
      <c r="A22" s="12"/>
      <c r="C22" s="109"/>
      <c r="D22" s="12"/>
      <c r="E22" s="12"/>
      <c r="F22" s="81"/>
      <c r="G22" s="12"/>
      <c r="H22" s="126"/>
      <c r="I22" s="12"/>
      <c r="J22" s="119">
        <v>0</v>
      </c>
      <c r="K22" s="83">
        <f t="shared" si="0"/>
        <v>0</v>
      </c>
    </row>
    <row r="23" spans="1:11" ht="14.4" x14ac:dyDescent="0.3">
      <c r="A23" s="12"/>
      <c r="B23" s="81"/>
      <c r="C23" s="103"/>
      <c r="D23" s="12"/>
      <c r="E23" s="12"/>
      <c r="F23" s="81"/>
      <c r="G23" s="81"/>
      <c r="H23" s="126"/>
      <c r="I23" s="12"/>
      <c r="J23" s="119">
        <v>0</v>
      </c>
      <c r="K23" s="83">
        <f t="shared" si="0"/>
        <v>0</v>
      </c>
    </row>
    <row r="24" spans="1:11" ht="14.4" x14ac:dyDescent="0.3">
      <c r="A24" s="12"/>
      <c r="B24" s="88"/>
      <c r="C24" s="88"/>
      <c r="D24" s="12"/>
      <c r="E24" s="12"/>
      <c r="F24" s="81"/>
      <c r="G24" s="12"/>
      <c r="H24" s="126"/>
      <c r="I24" s="12"/>
      <c r="J24" s="119">
        <v>0</v>
      </c>
      <c r="K24" s="83">
        <f t="shared" si="0"/>
        <v>0</v>
      </c>
    </row>
    <row r="25" spans="1:11" ht="14.4" x14ac:dyDescent="0.3">
      <c r="A25" s="12"/>
      <c r="B25" s="81"/>
      <c r="C25" s="109"/>
      <c r="D25" s="12"/>
      <c r="E25" s="12"/>
      <c r="F25" s="81"/>
      <c r="G25" s="12"/>
      <c r="H25" s="126"/>
      <c r="I25" s="12"/>
      <c r="J25" s="119">
        <v>0</v>
      </c>
      <c r="K25" s="83">
        <f t="shared" si="0"/>
        <v>0</v>
      </c>
    </row>
    <row r="26" spans="1:11" ht="13.5" customHeight="1" x14ac:dyDescent="0.3">
      <c r="A26" s="12"/>
      <c r="B26" s="88"/>
      <c r="C26" s="111"/>
      <c r="D26" s="12"/>
      <c r="E26" s="12"/>
      <c r="F26" s="81"/>
      <c r="G26" s="12"/>
      <c r="H26" s="126"/>
      <c r="I26" s="12"/>
      <c r="J26" s="119">
        <v>0</v>
      </c>
      <c r="K26" s="83">
        <f t="shared" si="0"/>
        <v>0</v>
      </c>
    </row>
    <row r="27" spans="1:11" ht="14.4" x14ac:dyDescent="0.3">
      <c r="A27" s="12"/>
      <c r="B27" s="102"/>
      <c r="C27" s="103"/>
      <c r="D27" s="12"/>
      <c r="E27" s="12"/>
      <c r="F27" s="81"/>
      <c r="G27" s="12"/>
      <c r="H27" s="126"/>
      <c r="I27" s="12"/>
      <c r="J27" s="119">
        <v>0</v>
      </c>
      <c r="K27" s="83">
        <f t="shared" si="0"/>
        <v>0</v>
      </c>
    </row>
    <row r="28" spans="1:11" ht="14.4" x14ac:dyDescent="0.3">
      <c r="A28" s="12"/>
      <c r="C28"/>
      <c r="D28" s="12"/>
      <c r="E28" s="12"/>
      <c r="F28" s="81"/>
      <c r="G28" s="12"/>
      <c r="H28" s="126"/>
      <c r="I28" s="12"/>
      <c r="J28" s="119">
        <v>0</v>
      </c>
      <c r="K28" s="83">
        <f t="shared" si="0"/>
        <v>0</v>
      </c>
    </row>
    <row r="29" spans="1:11" ht="14.4" x14ac:dyDescent="0.3">
      <c r="A29" s="12"/>
      <c r="B29" s="102"/>
      <c r="C29" s="123"/>
      <c r="D29" s="12"/>
      <c r="E29" s="12"/>
      <c r="F29" s="81"/>
      <c r="G29" s="12"/>
      <c r="H29" s="126"/>
      <c r="I29" s="12"/>
      <c r="J29" s="119">
        <v>0</v>
      </c>
      <c r="K29" s="83">
        <f t="shared" si="0"/>
        <v>0</v>
      </c>
    </row>
    <row r="30" spans="1:11" ht="14.4" x14ac:dyDescent="0.3">
      <c r="A30" s="12"/>
      <c r="B30" s="81"/>
      <c r="C30" s="81"/>
      <c r="D30" s="12"/>
      <c r="E30" s="12"/>
      <c r="F30" s="81"/>
      <c r="G30" s="111"/>
      <c r="H30" s="126"/>
      <c r="I30" s="12"/>
      <c r="J30" s="119">
        <v>0</v>
      </c>
      <c r="K30" s="83">
        <f t="shared" si="0"/>
        <v>0</v>
      </c>
    </row>
    <row r="31" spans="1:11" ht="14.4" x14ac:dyDescent="0.3">
      <c r="A31" s="12"/>
      <c r="B31" s="104"/>
      <c r="C31" s="100"/>
      <c r="D31" s="12"/>
      <c r="E31" s="106"/>
      <c r="F31" s="81"/>
      <c r="G31" s="12"/>
      <c r="H31" s="126"/>
      <c r="I31" s="12"/>
      <c r="J31" s="119">
        <v>0</v>
      </c>
      <c r="K31" s="83">
        <f t="shared" si="0"/>
        <v>0</v>
      </c>
    </row>
    <row r="32" spans="1:11" ht="14.4" x14ac:dyDescent="0.3">
      <c r="A32" s="12"/>
      <c r="B32" s="81"/>
      <c r="C32" s="73"/>
      <c r="D32" s="12"/>
      <c r="E32" s="12"/>
      <c r="F32" s="81"/>
      <c r="G32" s="107"/>
      <c r="H32" s="126"/>
      <c r="I32" s="12"/>
      <c r="J32" s="119">
        <v>0</v>
      </c>
      <c r="K32" s="83">
        <f t="shared" si="0"/>
        <v>0</v>
      </c>
    </row>
    <row r="33" spans="1:12" x14ac:dyDescent="0.25">
      <c r="A33" s="12"/>
      <c r="B33" s="104"/>
      <c r="C33" s="96"/>
      <c r="D33" s="12"/>
      <c r="E33" s="12"/>
      <c r="F33" s="81"/>
      <c r="G33" s="12"/>
      <c r="H33" s="12"/>
      <c r="I33" s="12"/>
      <c r="J33" s="119">
        <v>0</v>
      </c>
      <c r="K33" s="83">
        <f t="shared" si="0"/>
        <v>0</v>
      </c>
    </row>
    <row r="34" spans="1:12" x14ac:dyDescent="0.25">
      <c r="A34" s="12"/>
      <c r="B34" s="81"/>
      <c r="C34" s="81"/>
      <c r="D34" s="12"/>
      <c r="E34" s="12"/>
      <c r="F34" s="81"/>
      <c r="G34" s="12"/>
      <c r="H34" s="12"/>
      <c r="I34" s="12"/>
      <c r="J34" s="119">
        <v>0</v>
      </c>
      <c r="K34" s="83">
        <f t="shared" si="0"/>
        <v>0</v>
      </c>
    </row>
    <row r="35" spans="1:12" x14ac:dyDescent="0.25">
      <c r="A35" s="12"/>
      <c r="B35" s="88"/>
      <c r="C35" s="96"/>
      <c r="D35" s="12"/>
      <c r="E35" s="12"/>
      <c r="F35" s="81"/>
      <c r="G35" s="12"/>
      <c r="H35" s="12"/>
      <c r="I35" s="12"/>
      <c r="J35" s="119">
        <v>0</v>
      </c>
      <c r="K35" s="83">
        <f t="shared" si="0"/>
        <v>0</v>
      </c>
    </row>
    <row r="36" spans="1:12" ht="13.5" customHeight="1" x14ac:dyDescent="0.25">
      <c r="A36" s="12"/>
      <c r="B36" s="81"/>
      <c r="C36" s="81"/>
      <c r="D36" s="12"/>
      <c r="E36" s="12"/>
      <c r="F36" s="12"/>
      <c r="G36" s="12"/>
      <c r="H36" s="12"/>
      <c r="I36" s="108"/>
      <c r="J36" s="119">
        <v>0</v>
      </c>
      <c r="K36" s="83">
        <f t="shared" si="0"/>
        <v>0</v>
      </c>
    </row>
    <row r="37" spans="1:12" x14ac:dyDescent="0.25">
      <c r="A37" s="12"/>
      <c r="B37" s="81"/>
      <c r="C37" s="100"/>
      <c r="D37" s="12"/>
      <c r="E37" s="12"/>
      <c r="F37" s="12"/>
      <c r="G37" s="12"/>
      <c r="H37" s="12"/>
      <c r="I37" s="12"/>
      <c r="J37" s="119">
        <v>0</v>
      </c>
      <c r="K37" s="83">
        <f t="shared" si="0"/>
        <v>0</v>
      </c>
    </row>
    <row r="38" spans="1:12" x14ac:dyDescent="0.25">
      <c r="A38" s="12"/>
      <c r="B38" s="88"/>
      <c r="C38" s="109"/>
      <c r="D38" s="12"/>
      <c r="E38" s="12"/>
      <c r="F38" s="12"/>
      <c r="G38" s="12"/>
      <c r="H38" s="127"/>
      <c r="I38" s="12"/>
      <c r="J38" s="119">
        <v>0</v>
      </c>
      <c r="K38" s="83">
        <f t="shared" si="0"/>
        <v>0</v>
      </c>
    </row>
    <row r="39" spans="1:12" x14ac:dyDescent="0.25">
      <c r="A39" s="12"/>
      <c r="B39" s="88"/>
      <c r="C39" s="81"/>
      <c r="D39" s="12"/>
      <c r="E39" s="12"/>
      <c r="F39" s="81"/>
      <c r="G39" s="12"/>
      <c r="H39" s="127"/>
      <c r="I39" s="12"/>
      <c r="J39" s="119">
        <v>0</v>
      </c>
      <c r="K39" s="83">
        <f t="shared" si="0"/>
        <v>0</v>
      </c>
    </row>
    <row r="40" spans="1:12" x14ac:dyDescent="0.25">
      <c r="A40" s="12"/>
      <c r="B40" s="96"/>
      <c r="C40" s="96"/>
      <c r="D40" s="12"/>
      <c r="E40" s="12"/>
      <c r="F40" s="81"/>
      <c r="G40" s="12"/>
      <c r="H40" s="12"/>
      <c r="I40" s="12"/>
      <c r="J40" s="119">
        <v>0</v>
      </c>
      <c r="K40" s="83">
        <f t="shared" si="0"/>
        <v>0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"/>
      <c r="I41" s="12"/>
      <c r="J41" s="119">
        <v>0</v>
      </c>
      <c r="K41" s="83">
        <f t="shared" si="0"/>
        <v>0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0</v>
      </c>
      <c r="E42" s="121">
        <f>SUM(E11:E41)</f>
        <v>0</v>
      </c>
      <c r="F42" s="120">
        <v>0</v>
      </c>
      <c r="G42" s="120"/>
      <c r="H42" s="121">
        <f>SUM(H11:H41)</f>
        <v>0</v>
      </c>
      <c r="I42" s="121">
        <f>SUM(I11:I41)</f>
        <v>0</v>
      </c>
      <c r="J42" s="69">
        <f>AVERAGE(J11:J41)</f>
        <v>0</v>
      </c>
      <c r="K42" s="32">
        <f>SUM(K11:K41)</f>
        <v>0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0</v>
      </c>
      <c r="I45" s="59">
        <v>0.31</v>
      </c>
      <c r="J45" s="48">
        <f>H45*I45</f>
        <v>0</v>
      </c>
      <c r="K45" s="50">
        <f>kurs*J45</f>
        <v>0</v>
      </c>
    </row>
    <row r="46" spans="1:12" x14ac:dyDescent="0.25">
      <c r="E46" s="42" t="s">
        <v>1037</v>
      </c>
      <c r="F46" s="43"/>
      <c r="G46" s="43"/>
      <c r="H46" s="44">
        <v>7960</v>
      </c>
      <c r="I46" s="59">
        <v>0.22</v>
      </c>
      <c r="J46" s="48">
        <f>H46*I46</f>
        <v>1751.2</v>
      </c>
      <c r="K46" s="50">
        <f t="shared" ref="K46" si="1">kurs*J46</f>
        <v>205522.40807999999</v>
      </c>
      <c r="L46" s="61"/>
    </row>
    <row r="47" spans="1:12" x14ac:dyDescent="0.25">
      <c r="E47" s="42" t="s">
        <v>1036</v>
      </c>
      <c r="F47" s="43"/>
      <c r="G47" s="43"/>
      <c r="H47" s="44">
        <v>7440</v>
      </c>
      <c r="I47" s="59">
        <v>0.22</v>
      </c>
      <c r="J47" s="48">
        <f>H47*I47</f>
        <v>1636.8</v>
      </c>
      <c r="K47" s="50">
        <f t="shared" ref="K47" si="2">kurs*J47</f>
        <v>192096.32112000001</v>
      </c>
      <c r="L47" s="61"/>
    </row>
    <row r="48" spans="1:12" x14ac:dyDescent="0.25">
      <c r="E48" s="42" t="s">
        <v>163</v>
      </c>
      <c r="F48" s="43"/>
      <c r="G48" s="43"/>
      <c r="H48" s="44">
        <f>E42</f>
        <v>0</v>
      </c>
      <c r="I48" s="59">
        <v>0.28999999999999998</v>
      </c>
      <c r="J48" s="48">
        <f t="shared" ref="J48:J54" si="3">H48*I48</f>
        <v>0</v>
      </c>
      <c r="K48" s="50">
        <f t="shared" ref="K48:K51" si="4">kurs*J48</f>
        <v>0</v>
      </c>
    </row>
    <row r="49" spans="3:12" x14ac:dyDescent="0.25">
      <c r="E49" s="42" t="s">
        <v>581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ref="K49:K50" si="5">kurs*J49</f>
        <v>0</v>
      </c>
    </row>
    <row r="50" spans="3:12" x14ac:dyDescent="0.25">
      <c r="E50" s="42" t="s">
        <v>582</v>
      </c>
      <c r="F50" s="43"/>
      <c r="G50" s="43"/>
      <c r="H50" s="44">
        <v>0</v>
      </c>
      <c r="I50" s="59">
        <v>1.65</v>
      </c>
      <c r="J50" s="48">
        <f t="shared" si="3"/>
        <v>0</v>
      </c>
      <c r="K50" s="50">
        <f t="shared" si="5"/>
        <v>0</v>
      </c>
    </row>
    <row r="51" spans="3:12" x14ac:dyDescent="0.25">
      <c r="E51" s="45" t="s">
        <v>164</v>
      </c>
      <c r="F51" s="46"/>
      <c r="G51" s="46"/>
      <c r="H51" s="47">
        <f>I42</f>
        <v>0</v>
      </c>
      <c r="I51" s="60">
        <v>0.2</v>
      </c>
      <c r="J51" s="48">
        <f t="shared" si="3"/>
        <v>0</v>
      </c>
      <c r="K51" s="50">
        <f t="shared" si="4"/>
        <v>0</v>
      </c>
    </row>
    <row r="52" spans="3:12" x14ac:dyDescent="0.25">
      <c r="E52" s="45" t="s">
        <v>360</v>
      </c>
      <c r="F52" s="46"/>
      <c r="G52" s="46"/>
      <c r="H52" s="47">
        <v>0</v>
      </c>
      <c r="I52" s="60">
        <v>0.12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629</v>
      </c>
      <c r="F53" s="46"/>
      <c r="G53" s="46"/>
      <c r="H53" s="47">
        <v>0</v>
      </c>
      <c r="I53" s="60">
        <v>0.08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829</v>
      </c>
      <c r="F54" s="46"/>
      <c r="G54" s="46"/>
      <c r="H54" s="47">
        <v>0</v>
      </c>
      <c r="I54" s="60">
        <v>200</v>
      </c>
      <c r="J54" s="48">
        <f t="shared" si="3"/>
        <v>0</v>
      </c>
      <c r="K54" s="50">
        <f>kurs*J54</f>
        <v>0</v>
      </c>
    </row>
    <row r="55" spans="3:12" x14ac:dyDescent="0.25">
      <c r="E55" s="45" t="s">
        <v>840</v>
      </c>
      <c r="F55" s="46"/>
      <c r="G55" s="46"/>
      <c r="H55" s="47">
        <v>0</v>
      </c>
      <c r="I55" s="60">
        <v>200</v>
      </c>
      <c r="J55" s="48">
        <f>H55*I55</f>
        <v>0</v>
      </c>
      <c r="K55" s="50">
        <f>kurs*J55</f>
        <v>0</v>
      </c>
    </row>
    <row r="56" spans="3:12" x14ac:dyDescent="0.25">
      <c r="E56" s="45" t="s">
        <v>55</v>
      </c>
      <c r="F56" s="46"/>
      <c r="G56" s="46"/>
      <c r="H56" s="46"/>
      <c r="I56" s="60"/>
      <c r="J56" s="49">
        <f>K42</f>
        <v>0</v>
      </c>
      <c r="K56" s="50">
        <f>kurs*J56</f>
        <v>0</v>
      </c>
      <c r="L56" s="61"/>
    </row>
    <row r="57" spans="3:12" x14ac:dyDescent="0.25">
      <c r="E57" s="22"/>
      <c r="I57" t="s">
        <v>56</v>
      </c>
      <c r="J57" s="52">
        <f>SUM(J45:J56)</f>
        <v>3388</v>
      </c>
      <c r="K57" s="51">
        <f>SUM(K45:K56)</f>
        <v>397618.7292</v>
      </c>
      <c r="L57" s="62"/>
    </row>
    <row r="58" spans="3:12" ht="13.5" customHeight="1" x14ac:dyDescent="0.3">
      <c r="F58" s="23"/>
      <c r="G58" s="24" t="s">
        <v>32</v>
      </c>
    </row>
    <row r="59" spans="3:12" ht="11.25" customHeight="1" x14ac:dyDescent="0.25"/>
    <row r="60" spans="3:12" x14ac:dyDescent="0.25">
      <c r="H60" s="25"/>
      <c r="I60" s="25"/>
      <c r="J60" s="26"/>
      <c r="K60" s="25"/>
    </row>
    <row r="61" spans="3:12" x14ac:dyDescent="0.25">
      <c r="C61" s="2" t="s">
        <v>34</v>
      </c>
      <c r="H61" s="25"/>
      <c r="I61" s="25"/>
      <c r="J61" s="25"/>
      <c r="K61" s="25"/>
    </row>
    <row r="62" spans="3:12" ht="12.75" customHeight="1" x14ac:dyDescent="0.25">
      <c r="C62" s="2" t="s">
        <v>33</v>
      </c>
      <c r="H62" s="25"/>
      <c r="I62" s="27"/>
      <c r="J62" s="25"/>
      <c r="K62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6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C349-8EB4-4266-8F6F-7CD17573534F}">
  <dimension ref="A1:L61"/>
  <sheetViews>
    <sheetView view="pageBreakPreview" topLeftCell="A37" zoomScaleNormal="100" zoomScaleSheetLayoutView="100" workbookViewId="0">
      <selection activeCell="J40" sqref="J40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1013</v>
      </c>
      <c r="H3" s="4"/>
      <c r="I3" s="4"/>
    </row>
    <row r="4" spans="1:11" x14ac:dyDescent="0.25">
      <c r="B4" s="2"/>
      <c r="C4" s="6"/>
      <c r="F4" s="3" t="s">
        <v>1014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148">
        <v>117.3858</v>
      </c>
      <c r="F6" t="s">
        <v>42</v>
      </c>
      <c r="G6" s="102">
        <v>2511025410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ht="14.4" x14ac:dyDescent="0.3">
      <c r="A10" s="158" t="s">
        <v>62</v>
      </c>
      <c r="B10" s="159"/>
      <c r="C10" s="55"/>
      <c r="D10" s="8">
        <v>43448</v>
      </c>
      <c r="E10" s="9"/>
      <c r="F10" s="7"/>
      <c r="G10" s="8"/>
      <c r="H10" s="103"/>
      <c r="I10" s="136"/>
      <c r="J10" s="38"/>
      <c r="K10" s="40"/>
    </row>
    <row r="11" spans="1:11" ht="13.5" customHeight="1" x14ac:dyDescent="0.3">
      <c r="A11" s="96" t="s">
        <v>0</v>
      </c>
      <c r="B11" s="134" t="s">
        <v>1015</v>
      </c>
      <c r="C11" s="138"/>
      <c r="D11" s="12">
        <v>54</v>
      </c>
      <c r="E11" s="56"/>
      <c r="F11" s="12"/>
      <c r="G11" s="12"/>
      <c r="H11" s="131">
        <v>0</v>
      </c>
      <c r="I11" s="136"/>
      <c r="J11" s="119">
        <f>D10+D11+E11-H11-I11</f>
        <v>43502</v>
      </c>
      <c r="K11" s="83">
        <f>0.022*J11</f>
        <v>957.04399999999998</v>
      </c>
    </row>
    <row r="12" spans="1:11" ht="14.25" customHeight="1" x14ac:dyDescent="0.3">
      <c r="A12" s="12" t="s">
        <v>1</v>
      </c>
      <c r="B12" s="139"/>
      <c r="C12" s="140"/>
      <c r="D12" s="12">
        <v>0</v>
      </c>
      <c r="E12" s="12"/>
      <c r="F12" s="12"/>
      <c r="G12" s="12"/>
      <c r="H12" s="131">
        <v>0</v>
      </c>
      <c r="I12" s="136"/>
      <c r="J12" s="119">
        <f>J11+D12+E12-H12-I12</f>
        <v>43502</v>
      </c>
      <c r="K12" s="83">
        <f t="shared" ref="K12:K40" si="0">0.022*J12</f>
        <v>957.04399999999998</v>
      </c>
    </row>
    <row r="13" spans="1:11" ht="13.5" customHeight="1" x14ac:dyDescent="0.3">
      <c r="A13" s="12" t="s">
        <v>2</v>
      </c>
      <c r="B13" s="135" t="s">
        <v>1016</v>
      </c>
      <c r="C13" s="141"/>
      <c r="D13" s="56">
        <v>914</v>
      </c>
      <c r="E13" s="56"/>
      <c r="F13" s="12"/>
      <c r="G13" s="12"/>
      <c r="H13" s="131">
        <v>713</v>
      </c>
      <c r="I13" s="136"/>
      <c r="J13" s="119">
        <f t="shared" ref="J13:J40" si="1">J12+D13+E13-H13-I13</f>
        <v>43703</v>
      </c>
      <c r="K13" s="83">
        <f t="shared" si="0"/>
        <v>961.46599999999989</v>
      </c>
    </row>
    <row r="14" spans="1:11" ht="14.4" x14ac:dyDescent="0.3">
      <c r="A14" s="12" t="s">
        <v>3</v>
      </c>
      <c r="B14" s="134" t="s">
        <v>1017</v>
      </c>
      <c r="C14" s="137" t="s">
        <v>1018</v>
      </c>
      <c r="D14" s="12">
        <v>2328</v>
      </c>
      <c r="E14" s="12"/>
      <c r="F14" s="12"/>
      <c r="G14" s="12"/>
      <c r="H14" s="131">
        <v>894</v>
      </c>
      <c r="I14" s="136"/>
      <c r="J14" s="119">
        <f>J13+D14+E14-H14-I14</f>
        <v>45137</v>
      </c>
      <c r="K14" s="83">
        <f t="shared" si="0"/>
        <v>993.0139999999999</v>
      </c>
    </row>
    <row r="15" spans="1:11" ht="14.4" x14ac:dyDescent="0.3">
      <c r="A15" s="12" t="s">
        <v>4</v>
      </c>
      <c r="B15" s="137" t="s">
        <v>1019</v>
      </c>
      <c r="C15" s="142" t="s">
        <v>1020</v>
      </c>
      <c r="D15" s="12">
        <v>972</v>
      </c>
      <c r="E15" s="12"/>
      <c r="F15" s="12"/>
      <c r="G15" s="12"/>
      <c r="H15" s="131">
        <v>791</v>
      </c>
      <c r="I15" s="136"/>
      <c r="J15" s="119">
        <f t="shared" si="1"/>
        <v>45318</v>
      </c>
      <c r="K15" s="83">
        <f t="shared" si="0"/>
        <v>996.99599999999998</v>
      </c>
    </row>
    <row r="16" spans="1:11" ht="14.4" x14ac:dyDescent="0.3">
      <c r="A16" s="12" t="s">
        <v>5</v>
      </c>
      <c r="B16" s="134" t="s">
        <v>1021</v>
      </c>
      <c r="C16" s="143" t="s">
        <v>1022</v>
      </c>
      <c r="D16" s="12">
        <v>2487</v>
      </c>
      <c r="E16" s="12"/>
      <c r="F16" s="12"/>
      <c r="G16" s="12"/>
      <c r="H16" s="131">
        <v>1555</v>
      </c>
      <c r="I16" s="136"/>
      <c r="J16" s="119">
        <f t="shared" si="1"/>
        <v>46250</v>
      </c>
      <c r="K16" s="83">
        <f t="shared" si="0"/>
        <v>1017.4999999999999</v>
      </c>
    </row>
    <row r="17" spans="1:11" ht="14.4" x14ac:dyDescent="0.3">
      <c r="A17" s="12" t="s">
        <v>6</v>
      </c>
      <c r="B17" s="73" t="s">
        <v>1023</v>
      </c>
      <c r="C17" s="144"/>
      <c r="D17" s="12">
        <v>1426</v>
      </c>
      <c r="E17" s="12"/>
      <c r="F17" s="81"/>
      <c r="G17" s="12"/>
      <c r="H17" s="131">
        <v>116</v>
      </c>
      <c r="I17" s="136"/>
      <c r="J17" s="119">
        <f>J16+D17+E17-H17-I17</f>
        <v>47560</v>
      </c>
      <c r="K17" s="83">
        <f t="shared" si="0"/>
        <v>1046.32</v>
      </c>
    </row>
    <row r="18" spans="1:11" ht="14.4" x14ac:dyDescent="0.3">
      <c r="A18" s="12" t="s">
        <v>7</v>
      </c>
      <c r="B18" s="144"/>
      <c r="C18" s="134"/>
      <c r="D18" s="12"/>
      <c r="E18" s="12"/>
      <c r="F18" s="12"/>
      <c r="G18" s="12"/>
      <c r="H18" s="131">
        <v>1658</v>
      </c>
      <c r="I18" s="136"/>
      <c r="J18" s="119">
        <f>J17+D18+E18-H18-I18</f>
        <v>45902</v>
      </c>
      <c r="K18" s="83">
        <f t="shared" si="0"/>
        <v>1009.8439999999999</v>
      </c>
    </row>
    <row r="19" spans="1:11" ht="13.5" customHeight="1" x14ac:dyDescent="0.3">
      <c r="A19" s="12" t="s">
        <v>8</v>
      </c>
      <c r="B19" s="144"/>
      <c r="C19" s="144"/>
      <c r="D19" s="12"/>
      <c r="E19" s="12"/>
      <c r="F19" s="81"/>
      <c r="G19" s="131"/>
      <c r="H19" s="131">
        <v>0</v>
      </c>
      <c r="I19" s="136"/>
      <c r="J19" s="119">
        <f t="shared" si="1"/>
        <v>45902</v>
      </c>
      <c r="K19" s="83">
        <f t="shared" si="0"/>
        <v>1009.8439999999999</v>
      </c>
    </row>
    <row r="20" spans="1:11" ht="14.4" x14ac:dyDescent="0.3">
      <c r="A20" s="12" t="s">
        <v>9</v>
      </c>
      <c r="B20" s="137" t="s">
        <v>1025</v>
      </c>
      <c r="C20" s="137" t="s">
        <v>1024</v>
      </c>
      <c r="D20" s="12">
        <v>3941</v>
      </c>
      <c r="E20" s="12"/>
      <c r="F20" s="81"/>
      <c r="G20" s="131"/>
      <c r="H20" s="131">
        <v>0</v>
      </c>
      <c r="I20" s="136"/>
      <c r="J20" s="119">
        <f t="shared" si="1"/>
        <v>49843</v>
      </c>
      <c r="K20" s="83">
        <f t="shared" si="0"/>
        <v>1096.546</v>
      </c>
    </row>
    <row r="21" spans="1:11" ht="14.4" x14ac:dyDescent="0.3">
      <c r="A21" s="12" t="s">
        <v>10</v>
      </c>
      <c r="B21" s="145"/>
      <c r="C21" s="145"/>
      <c r="D21" s="12"/>
      <c r="E21" s="12"/>
      <c r="F21" s="81"/>
      <c r="G21" s="131"/>
      <c r="H21" s="131">
        <v>0</v>
      </c>
      <c r="I21" s="136"/>
      <c r="J21" s="119">
        <f t="shared" si="1"/>
        <v>49843</v>
      </c>
      <c r="K21" s="83">
        <f t="shared" si="0"/>
        <v>1096.546</v>
      </c>
    </row>
    <row r="22" spans="1:11" ht="14.4" x14ac:dyDescent="0.3">
      <c r="A22" s="12" t="s">
        <v>11</v>
      </c>
      <c r="B22" s="73" t="s">
        <v>1026</v>
      </c>
      <c r="C22" s="73" t="s">
        <v>1027</v>
      </c>
      <c r="D22" s="12">
        <v>1919</v>
      </c>
      <c r="E22" s="12"/>
      <c r="F22" s="81"/>
      <c r="G22" s="131"/>
      <c r="H22" s="131">
        <f>1487+1000</f>
        <v>2487</v>
      </c>
      <c r="I22" s="136"/>
      <c r="J22" s="119">
        <f t="shared" si="1"/>
        <v>49275</v>
      </c>
      <c r="K22" s="83">
        <f t="shared" si="0"/>
        <v>1084.05</v>
      </c>
    </row>
    <row r="23" spans="1:11" ht="14.4" x14ac:dyDescent="0.3">
      <c r="A23" s="12" t="s">
        <v>12</v>
      </c>
      <c r="B23" s="134"/>
      <c r="C23" s="134"/>
      <c r="D23" s="12"/>
      <c r="E23" s="12"/>
      <c r="F23" s="81"/>
      <c r="G23" s="131"/>
      <c r="H23" s="131">
        <f>2321+1000</f>
        <v>3321</v>
      </c>
      <c r="I23" s="136"/>
      <c r="J23" s="119">
        <f>J22+D23+E23-H23-I23</f>
        <v>45954</v>
      </c>
      <c r="K23" s="83">
        <f t="shared" si="0"/>
        <v>1010.9879999999999</v>
      </c>
    </row>
    <row r="24" spans="1:11" ht="14.4" x14ac:dyDescent="0.3">
      <c r="A24" s="12" t="s">
        <v>13</v>
      </c>
      <c r="B24" s="134" t="s">
        <v>1028</v>
      </c>
      <c r="C24" s="134" t="s">
        <v>1029</v>
      </c>
      <c r="D24" s="12">
        <v>2159</v>
      </c>
      <c r="E24" s="12"/>
      <c r="F24" s="81"/>
      <c r="G24" s="131"/>
      <c r="H24" s="131">
        <v>1415</v>
      </c>
      <c r="I24" s="136"/>
      <c r="J24" s="119">
        <f t="shared" si="1"/>
        <v>46698</v>
      </c>
      <c r="K24" s="83">
        <f t="shared" si="0"/>
        <v>1027.356</v>
      </c>
    </row>
    <row r="25" spans="1:11" ht="14.4" x14ac:dyDescent="0.3">
      <c r="A25" s="12" t="s">
        <v>14</v>
      </c>
      <c r="B25" s="134"/>
      <c r="C25" s="134"/>
      <c r="D25" s="12"/>
      <c r="E25" s="12"/>
      <c r="F25" s="81"/>
      <c r="G25" s="131"/>
      <c r="H25" s="131">
        <v>457</v>
      </c>
      <c r="I25" s="136"/>
      <c r="J25" s="119">
        <f t="shared" si="1"/>
        <v>46241</v>
      </c>
      <c r="K25" s="83">
        <f t="shared" si="0"/>
        <v>1017.3019999999999</v>
      </c>
    </row>
    <row r="26" spans="1:11" ht="13.5" customHeight="1" x14ac:dyDescent="0.3">
      <c r="A26" s="12" t="s">
        <v>15</v>
      </c>
      <c r="B26" s="134"/>
      <c r="C26" s="143"/>
      <c r="D26" s="12"/>
      <c r="E26" s="12"/>
      <c r="F26" s="81"/>
      <c r="G26" s="131"/>
      <c r="H26" s="131">
        <v>1770</v>
      </c>
      <c r="I26" s="136"/>
      <c r="J26" s="119">
        <f t="shared" si="1"/>
        <v>44471</v>
      </c>
      <c r="K26" s="83">
        <f t="shared" si="0"/>
        <v>978.36199999999997</v>
      </c>
    </row>
    <row r="27" spans="1:11" ht="14.4" x14ac:dyDescent="0.3">
      <c r="A27" s="12" t="s">
        <v>16</v>
      </c>
      <c r="B27" s="144" t="s">
        <v>1031</v>
      </c>
      <c r="C27" s="73" t="s">
        <v>1030</v>
      </c>
      <c r="D27" s="12">
        <v>3224</v>
      </c>
      <c r="E27" s="12"/>
      <c r="F27" s="81"/>
      <c r="G27" s="131"/>
      <c r="H27" s="131">
        <v>6</v>
      </c>
      <c r="I27" s="136"/>
      <c r="J27" s="119">
        <f t="shared" si="1"/>
        <v>47689</v>
      </c>
      <c r="K27" s="83">
        <f t="shared" si="0"/>
        <v>1049.1579999999999</v>
      </c>
    </row>
    <row r="28" spans="1:11" ht="14.4" x14ac:dyDescent="0.3">
      <c r="A28" s="12" t="s">
        <v>17</v>
      </c>
      <c r="B28" s="144"/>
      <c r="C28" s="144"/>
      <c r="D28" s="12"/>
      <c r="E28" s="12"/>
      <c r="F28" s="81"/>
      <c r="G28" s="131"/>
      <c r="H28" s="131">
        <v>784</v>
      </c>
      <c r="I28" s="136"/>
      <c r="J28" s="119">
        <f t="shared" si="1"/>
        <v>46905</v>
      </c>
      <c r="K28" s="83">
        <f t="shared" si="0"/>
        <v>1031.9099999999999</v>
      </c>
    </row>
    <row r="29" spans="1:11" ht="14.4" x14ac:dyDescent="0.3">
      <c r="A29" s="12" t="s">
        <v>18</v>
      </c>
      <c r="B29" s="144" t="s">
        <v>1032</v>
      </c>
      <c r="C29" s="144" t="s">
        <v>1033</v>
      </c>
      <c r="D29" s="12">
        <v>2798</v>
      </c>
      <c r="E29" s="12"/>
      <c r="F29" s="81"/>
      <c r="G29" s="133"/>
      <c r="H29" s="131">
        <v>698</v>
      </c>
      <c r="I29" s="136"/>
      <c r="J29" s="119">
        <f t="shared" si="1"/>
        <v>49005</v>
      </c>
      <c r="K29" s="83">
        <f t="shared" si="0"/>
        <v>1078.1099999999999</v>
      </c>
    </row>
    <row r="30" spans="1:11" ht="14.4" x14ac:dyDescent="0.3">
      <c r="A30" s="12" t="s">
        <v>19</v>
      </c>
      <c r="B30" s="134" t="s">
        <v>1034</v>
      </c>
      <c r="C30" s="134"/>
      <c r="D30" s="12">
        <v>901</v>
      </c>
      <c r="E30" s="12"/>
      <c r="F30" s="81"/>
      <c r="G30" s="131"/>
      <c r="H30" s="131">
        <v>1815</v>
      </c>
      <c r="I30" s="136"/>
      <c r="J30" s="119">
        <f>J29+D30+E30-H30-I30</f>
        <v>48091</v>
      </c>
      <c r="K30" s="83">
        <f t="shared" si="0"/>
        <v>1058.002</v>
      </c>
    </row>
    <row r="31" spans="1:11" ht="14.4" x14ac:dyDescent="0.3">
      <c r="A31" s="12" t="s">
        <v>20</v>
      </c>
      <c r="B31" s="135"/>
      <c r="C31" s="146"/>
      <c r="D31" s="12"/>
      <c r="E31" s="106"/>
      <c r="F31" s="81"/>
      <c r="G31" s="131"/>
      <c r="H31" s="131">
        <v>977</v>
      </c>
      <c r="I31" s="136"/>
      <c r="J31" s="119">
        <f t="shared" si="1"/>
        <v>47114</v>
      </c>
      <c r="K31" s="83">
        <f t="shared" si="0"/>
        <v>1036.508</v>
      </c>
    </row>
    <row r="32" spans="1:11" ht="14.4" x14ac:dyDescent="0.3">
      <c r="A32" s="12" t="s">
        <v>21</v>
      </c>
      <c r="B32" s="134"/>
      <c r="C32" s="134"/>
      <c r="D32" s="12"/>
      <c r="E32" s="12"/>
      <c r="F32" s="81"/>
      <c r="G32" s="131"/>
      <c r="H32" s="131">
        <f>1162+1000</f>
        <v>2162</v>
      </c>
      <c r="I32" s="136"/>
      <c r="J32" s="119">
        <f>J31+D32+E32-H32-I32</f>
        <v>44952</v>
      </c>
      <c r="K32" s="83">
        <f t="shared" si="0"/>
        <v>988.94399999999996</v>
      </c>
    </row>
    <row r="33" spans="1:12" ht="14.4" x14ac:dyDescent="0.3">
      <c r="A33" s="12" t="s">
        <v>22</v>
      </c>
      <c r="B33" s="134"/>
      <c r="C33" s="147"/>
      <c r="D33" s="12"/>
      <c r="E33" s="12"/>
      <c r="F33" s="81"/>
      <c r="G33" s="131"/>
      <c r="H33" s="131">
        <v>0</v>
      </c>
      <c r="I33" s="136"/>
      <c r="J33" s="119">
        <f>J32+D33+E33-H33-I33</f>
        <v>44952</v>
      </c>
      <c r="K33" s="83">
        <f t="shared" si="0"/>
        <v>988.94399999999996</v>
      </c>
    </row>
    <row r="34" spans="1:12" ht="14.4" x14ac:dyDescent="0.3">
      <c r="A34" s="12" t="s">
        <v>23</v>
      </c>
      <c r="B34" s="134" t="s">
        <v>1038</v>
      </c>
      <c r="C34" s="144" t="s">
        <v>1039</v>
      </c>
      <c r="D34" s="12">
        <v>2999</v>
      </c>
      <c r="E34" s="12"/>
      <c r="F34" s="81"/>
      <c r="G34" s="131"/>
      <c r="H34" s="131">
        <v>0</v>
      </c>
      <c r="I34" s="136"/>
      <c r="J34" s="119">
        <f>J33+D34+E34-H34-I34</f>
        <v>47951</v>
      </c>
      <c r="K34" s="83">
        <f t="shared" si="0"/>
        <v>1054.922</v>
      </c>
    </row>
    <row r="35" spans="1:12" ht="14.4" x14ac:dyDescent="0.3">
      <c r="A35" s="12" t="s">
        <v>24</v>
      </c>
      <c r="B35" s="81" t="s">
        <v>1040</v>
      </c>
      <c r="C35" s="138"/>
      <c r="D35" s="12">
        <v>815</v>
      </c>
      <c r="E35" s="12"/>
      <c r="F35" s="81"/>
      <c r="G35" s="131"/>
      <c r="H35" s="131">
        <v>258</v>
      </c>
      <c r="I35" s="136"/>
      <c r="J35" s="119">
        <f t="shared" si="1"/>
        <v>48508</v>
      </c>
      <c r="K35" s="83">
        <f t="shared" si="0"/>
        <v>1067.1759999999999</v>
      </c>
    </row>
    <row r="36" spans="1:12" ht="13.5" customHeight="1" x14ac:dyDescent="0.3">
      <c r="A36" s="12" t="s">
        <v>25</v>
      </c>
      <c r="B36" s="144"/>
      <c r="C36" s="144"/>
      <c r="D36" s="12"/>
      <c r="E36" s="12"/>
      <c r="F36" s="12"/>
      <c r="G36" s="12"/>
      <c r="H36" s="131">
        <v>0</v>
      </c>
      <c r="I36" s="136"/>
      <c r="J36" s="119">
        <f t="shared" si="1"/>
        <v>48508</v>
      </c>
      <c r="K36" s="83">
        <f t="shared" si="0"/>
        <v>1067.1759999999999</v>
      </c>
    </row>
    <row r="37" spans="1:12" ht="14.4" x14ac:dyDescent="0.3">
      <c r="A37" s="12" t="s">
        <v>26</v>
      </c>
      <c r="B37" s="134"/>
      <c r="C37" s="134"/>
      <c r="D37" s="12"/>
      <c r="E37" s="12"/>
      <c r="F37" s="12"/>
      <c r="G37" s="12"/>
      <c r="H37" s="131">
        <v>0</v>
      </c>
      <c r="I37" s="136"/>
      <c r="J37" s="119">
        <f t="shared" si="1"/>
        <v>48508</v>
      </c>
      <c r="K37" s="83">
        <f t="shared" si="0"/>
        <v>1067.1759999999999</v>
      </c>
    </row>
    <row r="38" spans="1:12" ht="14.4" x14ac:dyDescent="0.3">
      <c r="A38" s="12" t="s">
        <v>27</v>
      </c>
      <c r="B38" s="81" t="s">
        <v>1041</v>
      </c>
      <c r="C38" s="81" t="s">
        <v>1042</v>
      </c>
      <c r="D38" s="12">
        <v>2014</v>
      </c>
      <c r="E38" s="12"/>
      <c r="F38" s="12"/>
      <c r="G38" s="12"/>
      <c r="H38" s="131">
        <v>1980</v>
      </c>
      <c r="I38" s="136"/>
      <c r="J38" s="119">
        <f t="shared" si="1"/>
        <v>48542</v>
      </c>
      <c r="K38" s="83">
        <f t="shared" si="0"/>
        <v>1067.924</v>
      </c>
    </row>
    <row r="39" spans="1:12" ht="14.4" x14ac:dyDescent="0.3">
      <c r="A39" s="12" t="s">
        <v>28</v>
      </c>
      <c r="B39" s="134"/>
      <c r="C39" s="144"/>
      <c r="D39" s="12"/>
      <c r="E39" s="12"/>
      <c r="F39" s="81"/>
      <c r="G39" s="12"/>
      <c r="H39" s="131">
        <v>362</v>
      </c>
      <c r="I39" s="136"/>
      <c r="J39" s="119">
        <f t="shared" si="1"/>
        <v>48180</v>
      </c>
      <c r="K39" s="83">
        <f t="shared" si="0"/>
        <v>1059.96</v>
      </c>
    </row>
    <row r="40" spans="1:12" ht="14.4" x14ac:dyDescent="0.3">
      <c r="A40" s="12" t="s">
        <v>29</v>
      </c>
      <c r="B40" s="134"/>
      <c r="C40" s="144"/>
      <c r="D40" s="12"/>
      <c r="E40" s="12"/>
      <c r="F40" s="81"/>
      <c r="G40" s="12"/>
      <c r="H40" s="131">
        <v>0</v>
      </c>
      <c r="I40" s="136"/>
      <c r="J40" s="119">
        <f t="shared" si="1"/>
        <v>48180</v>
      </c>
      <c r="K40" s="83">
        <f t="shared" si="0"/>
        <v>1059.96</v>
      </c>
    </row>
    <row r="41" spans="1:12" ht="14.4" x14ac:dyDescent="0.3">
      <c r="A41" s="12"/>
      <c r="B41" s="134"/>
      <c r="C41" s="138"/>
      <c r="D41" s="12"/>
      <c r="E41" s="12"/>
      <c r="F41" s="81"/>
      <c r="G41" s="12"/>
      <c r="H41" s="131"/>
      <c r="I41" s="12"/>
      <c r="J41" s="119"/>
      <c r="K41" s="83"/>
    </row>
    <row r="42" spans="1:12" ht="15" thickBot="1" x14ac:dyDescent="0.35">
      <c r="A42" s="160"/>
      <c r="B42" s="160"/>
      <c r="C42" s="120" t="s">
        <v>31</v>
      </c>
      <c r="D42" s="121">
        <f>SUM(D11:D41)</f>
        <v>28951</v>
      </c>
      <c r="E42" s="121">
        <f>SUM(E11:E41)</f>
        <v>0</v>
      </c>
      <c r="F42" s="120">
        <v>0</v>
      </c>
      <c r="G42" s="120"/>
      <c r="H42" s="121">
        <f>SUM(H10:H41)</f>
        <v>24219</v>
      </c>
      <c r="I42" s="121">
        <f>SUM(I11:I41)</f>
        <v>0</v>
      </c>
      <c r="J42" s="69">
        <f>AVERAGE(J11:J41)</f>
        <v>46872.866666666669</v>
      </c>
      <c r="K42" s="32">
        <f>SUM(K11:K41)</f>
        <v>30936.091999999993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28951</v>
      </c>
      <c r="I45" s="59">
        <v>0.31</v>
      </c>
      <c r="J45" s="48">
        <f>H45*I45</f>
        <v>8974.81</v>
      </c>
      <c r="K45" s="50">
        <f>kurs*J45</f>
        <v>1053515.2516979999</v>
      </c>
    </row>
    <row r="46" spans="1:12" x14ac:dyDescent="0.25">
      <c r="E46" s="42" t="s">
        <v>54</v>
      </c>
      <c r="F46" s="43"/>
      <c r="G46" s="43"/>
      <c r="H46" s="44">
        <f>H42+I42</f>
        <v>24219</v>
      </c>
      <c r="I46" s="59">
        <v>0.22</v>
      </c>
      <c r="J46" s="48">
        <f>H46*I46</f>
        <v>5328.18</v>
      </c>
      <c r="K46" s="50">
        <f t="shared" ref="K46" si="2">kurs*J46</f>
        <v>625452.671844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656</v>
      </c>
      <c r="F53" s="46"/>
      <c r="G53" s="46"/>
      <c r="H53" s="47">
        <v>0.5</v>
      </c>
      <c r="I53" s="60">
        <v>200</v>
      </c>
      <c r="J53" s="48">
        <f t="shared" si="3"/>
        <v>100</v>
      </c>
      <c r="K53" s="50">
        <f>kurs*J53</f>
        <v>11738.58</v>
      </c>
    </row>
    <row r="54" spans="3:12" x14ac:dyDescent="0.25">
      <c r="E54" s="45" t="s">
        <v>1043</v>
      </c>
      <c r="F54" s="46"/>
      <c r="G54" s="46"/>
      <c r="H54" s="47">
        <v>1.5</v>
      </c>
      <c r="I54" s="60">
        <v>200</v>
      </c>
      <c r="J54" s="48">
        <f>H54*I54</f>
        <v>300</v>
      </c>
      <c r="K54" s="50">
        <f>kurs*J54</f>
        <v>35215.74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30936.091999999993</v>
      </c>
      <c r="K55" s="50">
        <f>kurs*J55</f>
        <v>3631457.9082935993</v>
      </c>
      <c r="L55" s="61"/>
    </row>
    <row r="56" spans="3:12" x14ac:dyDescent="0.25">
      <c r="E56" s="22"/>
      <c r="I56" t="s">
        <v>56</v>
      </c>
      <c r="J56" s="52">
        <f>SUM(J45:J55)</f>
        <v>45639.081999999995</v>
      </c>
      <c r="K56" s="51">
        <f>SUM(K45:K55)</f>
        <v>5357380.151835599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C106-A592-4D2A-855C-7B019F9FBB61}">
  <dimension ref="A1:L61"/>
  <sheetViews>
    <sheetView view="pageBreakPreview" topLeftCell="A28" zoomScaleNormal="100" zoomScaleSheetLayoutView="100" workbookViewId="0">
      <selection activeCell="E4" sqref="E4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984</v>
      </c>
      <c r="H3" s="4"/>
      <c r="I3" s="4"/>
    </row>
    <row r="4" spans="1:11" x14ac:dyDescent="0.25">
      <c r="B4" s="2"/>
      <c r="C4" s="6"/>
      <c r="F4" s="3" t="s">
        <v>1012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117.2176</v>
      </c>
      <c r="F6" t="s">
        <v>42</v>
      </c>
      <c r="G6" s="102">
        <v>2510023386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ht="14.4" x14ac:dyDescent="0.3">
      <c r="A10" s="158" t="s">
        <v>62</v>
      </c>
      <c r="B10" s="159"/>
      <c r="C10" s="55"/>
      <c r="D10" s="8">
        <v>30190</v>
      </c>
      <c r="E10" s="9"/>
      <c r="F10" s="7"/>
      <c r="G10" s="8"/>
      <c r="H10" s="103"/>
      <c r="I10" s="136"/>
      <c r="J10" s="38"/>
      <c r="K10" s="40"/>
    </row>
    <row r="11" spans="1:11" ht="13.5" customHeight="1" x14ac:dyDescent="0.3">
      <c r="A11" s="96" t="s">
        <v>0</v>
      </c>
      <c r="B11" s="134" t="s">
        <v>985</v>
      </c>
      <c r="C11" s="96" t="s">
        <v>986</v>
      </c>
      <c r="D11" s="12">
        <v>2840</v>
      </c>
      <c r="E11" s="56"/>
      <c r="F11" s="12"/>
      <c r="G11" s="12"/>
      <c r="H11" s="136">
        <v>0</v>
      </c>
      <c r="I11" s="136"/>
      <c r="J11" s="119">
        <f>D10+D11+E11-H11-I11</f>
        <v>33030</v>
      </c>
      <c r="K11" s="83">
        <f>0.022*J11</f>
        <v>726.66</v>
      </c>
    </row>
    <row r="12" spans="1:11" ht="14.25" customHeight="1" x14ac:dyDescent="0.3">
      <c r="A12" s="12" t="s">
        <v>1</v>
      </c>
      <c r="B12" s="88"/>
      <c r="C12" s="91"/>
      <c r="D12" s="12"/>
      <c r="E12" s="12"/>
      <c r="F12" s="12"/>
      <c r="G12" s="12"/>
      <c r="H12" s="136">
        <v>0</v>
      </c>
      <c r="I12" s="136"/>
      <c r="J12" s="119">
        <f>J11+D12+E12-H12-I12</f>
        <v>33030</v>
      </c>
      <c r="K12" s="83">
        <f t="shared" ref="K12:K40" si="0">0.022*J12</f>
        <v>726.66</v>
      </c>
    </row>
    <row r="13" spans="1:11" ht="13.5" customHeight="1" x14ac:dyDescent="0.3">
      <c r="A13" s="12" t="s">
        <v>2</v>
      </c>
      <c r="B13" s="134" t="s">
        <v>987</v>
      </c>
      <c r="C13" s="102"/>
      <c r="D13" s="56">
        <v>607</v>
      </c>
      <c r="E13" s="56"/>
      <c r="F13" s="12"/>
      <c r="G13" s="12"/>
      <c r="H13" s="136">
        <v>639</v>
      </c>
      <c r="I13" s="136"/>
      <c r="J13" s="119">
        <f t="shared" ref="J13:J40" si="1">J12+D13+E13-H13-I13</f>
        <v>32998</v>
      </c>
      <c r="K13" s="83">
        <f t="shared" si="0"/>
        <v>725.9559999999999</v>
      </c>
    </row>
    <row r="14" spans="1:11" ht="14.4" x14ac:dyDescent="0.3">
      <c r="A14" s="12" t="s">
        <v>3</v>
      </c>
      <c r="B14" s="132"/>
      <c r="C14" s="102"/>
      <c r="D14" s="12"/>
      <c r="E14" s="12"/>
      <c r="F14" s="12"/>
      <c r="G14" s="12"/>
      <c r="H14" s="136">
        <v>631</v>
      </c>
      <c r="I14" s="136"/>
      <c r="J14" s="119">
        <f>J13+D14+E14-H14-I14</f>
        <v>32367</v>
      </c>
      <c r="K14" s="83">
        <f t="shared" si="0"/>
        <v>712.07399999999996</v>
      </c>
    </row>
    <row r="15" spans="1:11" ht="14.4" x14ac:dyDescent="0.3">
      <c r="A15" s="12" t="s">
        <v>4</v>
      </c>
      <c r="B15" s="102"/>
      <c r="C15" s="109"/>
      <c r="D15" s="12"/>
      <c r="E15" s="12"/>
      <c r="F15" s="12"/>
      <c r="G15" s="12"/>
      <c r="H15" s="136">
        <v>0</v>
      </c>
      <c r="I15" s="136"/>
      <c r="J15" s="119">
        <f t="shared" si="1"/>
        <v>32367</v>
      </c>
      <c r="K15" s="83">
        <f t="shared" si="0"/>
        <v>712.07399999999996</v>
      </c>
    </row>
    <row r="16" spans="1:11" ht="14.4" x14ac:dyDescent="0.3">
      <c r="A16" s="12" t="s">
        <v>5</v>
      </c>
      <c r="B16" s="134" t="s">
        <v>988</v>
      </c>
      <c r="C16" s="111" t="s">
        <v>989</v>
      </c>
      <c r="D16" s="12">
        <f>679+18</f>
        <v>697</v>
      </c>
      <c r="E16" s="12"/>
      <c r="F16" s="12"/>
      <c r="G16" s="12"/>
      <c r="H16" s="136">
        <v>2604</v>
      </c>
      <c r="I16" s="136"/>
      <c r="J16" s="119">
        <f t="shared" si="1"/>
        <v>30460</v>
      </c>
      <c r="K16" s="83">
        <f t="shared" si="0"/>
        <v>670.12</v>
      </c>
    </row>
    <row r="17" spans="1:11" ht="14.4" x14ac:dyDescent="0.3">
      <c r="A17" s="12" t="s">
        <v>6</v>
      </c>
      <c r="B17" s="134" t="s">
        <v>990</v>
      </c>
      <c r="C17" s="81"/>
      <c r="D17" s="12">
        <v>760</v>
      </c>
      <c r="E17" s="12"/>
      <c r="F17" s="81"/>
      <c r="G17" s="12"/>
      <c r="H17" s="136">
        <v>622</v>
      </c>
      <c r="I17" s="136"/>
      <c r="J17" s="119">
        <f>J16+D17+E17-H17-I17</f>
        <v>30598</v>
      </c>
      <c r="K17" s="83">
        <f t="shared" si="0"/>
        <v>673.15599999999995</v>
      </c>
    </row>
    <row r="18" spans="1:11" ht="14.4" x14ac:dyDescent="0.3">
      <c r="A18" s="12" t="s">
        <v>7</v>
      </c>
      <c r="B18" s="81" t="s">
        <v>992</v>
      </c>
      <c r="C18" s="134" t="s">
        <v>991</v>
      </c>
      <c r="D18" s="12">
        <f>608+752+351</f>
        <v>1711</v>
      </c>
      <c r="E18" s="12"/>
      <c r="F18" s="12"/>
      <c r="G18" s="12"/>
      <c r="H18" s="136">
        <v>1157</v>
      </c>
      <c r="I18" s="136"/>
      <c r="J18" s="119">
        <f>J17+D18+E18-H18-I18</f>
        <v>31152</v>
      </c>
      <c r="K18" s="83">
        <f t="shared" si="0"/>
        <v>685.34399999999994</v>
      </c>
    </row>
    <row r="19" spans="1:11" ht="13.5" customHeight="1" x14ac:dyDescent="0.3">
      <c r="A19" s="12" t="s">
        <v>8</v>
      </c>
      <c r="B19" s="81"/>
      <c r="C19" s="81"/>
      <c r="D19" s="12"/>
      <c r="E19" s="12"/>
      <c r="F19" s="81"/>
      <c r="G19" s="131"/>
      <c r="H19" s="136">
        <v>1808</v>
      </c>
      <c r="I19" s="136"/>
      <c r="J19" s="119">
        <f t="shared" si="1"/>
        <v>29344</v>
      </c>
      <c r="K19" s="83">
        <f t="shared" si="0"/>
        <v>645.56799999999998</v>
      </c>
    </row>
    <row r="20" spans="1:11" ht="14.4" x14ac:dyDescent="0.3">
      <c r="A20" s="12" t="s">
        <v>9</v>
      </c>
      <c r="B20" s="88"/>
      <c r="C20" s="102"/>
      <c r="D20" s="12"/>
      <c r="E20" s="12"/>
      <c r="F20" s="81"/>
      <c r="G20" s="131"/>
      <c r="H20" s="136">
        <v>0</v>
      </c>
      <c r="I20" s="136"/>
      <c r="J20" s="119">
        <f t="shared" si="1"/>
        <v>29344</v>
      </c>
      <c r="K20" s="83">
        <f t="shared" si="0"/>
        <v>645.56799999999998</v>
      </c>
    </row>
    <row r="21" spans="1:11" ht="14.4" x14ac:dyDescent="0.3">
      <c r="A21" s="12" t="s">
        <v>10</v>
      </c>
      <c r="B21" s="132"/>
      <c r="C21" s="132"/>
      <c r="D21" s="12"/>
      <c r="E21" s="12"/>
      <c r="F21" s="81"/>
      <c r="G21" s="131"/>
      <c r="H21" s="136">
        <v>0</v>
      </c>
      <c r="I21" s="136"/>
      <c r="J21" s="119">
        <f t="shared" si="1"/>
        <v>29344</v>
      </c>
      <c r="K21" s="83">
        <f t="shared" si="0"/>
        <v>645.56799999999998</v>
      </c>
    </row>
    <row r="22" spans="1:11" ht="14.4" x14ac:dyDescent="0.3">
      <c r="A22" s="12" t="s">
        <v>11</v>
      </c>
      <c r="B22" s="81"/>
      <c r="C22" s="109"/>
      <c r="D22" s="12"/>
      <c r="E22" s="12"/>
      <c r="F22" s="81"/>
      <c r="G22" s="131"/>
      <c r="H22" s="136">
        <v>889</v>
      </c>
      <c r="I22" s="136"/>
      <c r="J22" s="119">
        <f t="shared" si="1"/>
        <v>28455</v>
      </c>
      <c r="K22" s="83">
        <f t="shared" si="0"/>
        <v>626.01</v>
      </c>
    </row>
    <row r="23" spans="1:11" ht="14.4" x14ac:dyDescent="0.3">
      <c r="A23" s="12" t="s">
        <v>12</v>
      </c>
      <c r="B23" s="134" t="s">
        <v>993</v>
      </c>
      <c r="C23" s="134" t="s">
        <v>994</v>
      </c>
      <c r="D23" s="12">
        <v>3829</v>
      </c>
      <c r="E23" s="12"/>
      <c r="F23" s="81"/>
      <c r="G23" s="131"/>
      <c r="H23" s="136">
        <v>0</v>
      </c>
      <c r="I23" s="136"/>
      <c r="J23" s="119">
        <f>J22+D23+E23-H23-I23</f>
        <v>32284</v>
      </c>
      <c r="K23" s="83">
        <f t="shared" si="0"/>
        <v>710.24799999999993</v>
      </c>
    </row>
    <row r="24" spans="1:11" ht="14.4" x14ac:dyDescent="0.3">
      <c r="A24" s="12" t="s">
        <v>13</v>
      </c>
      <c r="B24" s="134" t="s">
        <v>995</v>
      </c>
      <c r="C24" s="134" t="s">
        <v>996</v>
      </c>
      <c r="D24" s="12">
        <v>1542</v>
      </c>
      <c r="E24" s="12"/>
      <c r="F24" s="81"/>
      <c r="G24" s="131"/>
      <c r="H24" s="136">
        <v>0</v>
      </c>
      <c r="I24" s="136"/>
      <c r="J24" s="119">
        <f t="shared" si="1"/>
        <v>33826</v>
      </c>
      <c r="K24" s="83">
        <f t="shared" si="0"/>
        <v>744.17199999999991</v>
      </c>
    </row>
    <row r="25" spans="1:11" ht="14.4" x14ac:dyDescent="0.3">
      <c r="A25" s="12" t="s">
        <v>14</v>
      </c>
      <c r="B25" s="134" t="s">
        <v>998</v>
      </c>
      <c r="C25" s="134" t="s">
        <v>997</v>
      </c>
      <c r="D25" s="12">
        <v>2789</v>
      </c>
      <c r="E25" s="12"/>
      <c r="F25" s="81"/>
      <c r="G25" s="131"/>
      <c r="H25" s="136">
        <v>0</v>
      </c>
      <c r="I25" s="136"/>
      <c r="J25" s="119">
        <f t="shared" si="1"/>
        <v>36615</v>
      </c>
      <c r="K25" s="83">
        <f t="shared" si="0"/>
        <v>805.53</v>
      </c>
    </row>
    <row r="26" spans="1:11" ht="13.5" customHeight="1" x14ac:dyDescent="0.3">
      <c r="A26" s="12" t="s">
        <v>15</v>
      </c>
      <c r="B26" s="134"/>
      <c r="C26" s="111"/>
      <c r="D26" s="12"/>
      <c r="E26" s="12"/>
      <c r="F26" s="81"/>
      <c r="G26" s="131"/>
      <c r="H26" s="136">
        <v>0</v>
      </c>
      <c r="I26" s="136"/>
      <c r="J26" s="119">
        <f t="shared" si="1"/>
        <v>36615</v>
      </c>
      <c r="K26" s="83">
        <f t="shared" si="0"/>
        <v>805.53</v>
      </c>
    </row>
    <row r="27" spans="1:11" ht="14.4" x14ac:dyDescent="0.3">
      <c r="A27" s="12" t="s">
        <v>16</v>
      </c>
      <c r="B27" s="81"/>
      <c r="C27" s="81"/>
      <c r="D27" s="12"/>
      <c r="E27" s="12"/>
      <c r="F27" s="81"/>
      <c r="G27" s="131"/>
      <c r="H27" s="136">
        <v>1832</v>
      </c>
      <c r="I27" s="136"/>
      <c r="J27" s="119">
        <f t="shared" si="1"/>
        <v>34783</v>
      </c>
      <c r="K27" s="83">
        <f t="shared" si="0"/>
        <v>765.226</v>
      </c>
    </row>
    <row r="28" spans="1:11" ht="14.4" x14ac:dyDescent="0.3">
      <c r="A28" s="12" t="s">
        <v>17</v>
      </c>
      <c r="B28" s="81"/>
      <c r="C28" s="81"/>
      <c r="D28" s="12"/>
      <c r="E28" s="12"/>
      <c r="F28" s="81"/>
      <c r="G28" s="131"/>
      <c r="H28" s="136">
        <v>0</v>
      </c>
      <c r="I28" s="136"/>
      <c r="J28" s="119">
        <f t="shared" si="1"/>
        <v>34783</v>
      </c>
      <c r="K28" s="83">
        <f t="shared" si="0"/>
        <v>765.226</v>
      </c>
    </row>
    <row r="29" spans="1:11" ht="14.4" x14ac:dyDescent="0.3">
      <c r="A29" s="12" t="s">
        <v>18</v>
      </c>
      <c r="B29" s="81"/>
      <c r="C29" s="81"/>
      <c r="D29" s="12"/>
      <c r="E29" s="12"/>
      <c r="F29" s="81"/>
      <c r="G29" s="133"/>
      <c r="H29" s="136">
        <v>0</v>
      </c>
      <c r="I29" s="136"/>
      <c r="J29" s="119">
        <f t="shared" si="1"/>
        <v>34783</v>
      </c>
      <c r="K29" s="83">
        <f t="shared" si="0"/>
        <v>765.226</v>
      </c>
    </row>
    <row r="30" spans="1:11" ht="14.4" x14ac:dyDescent="0.3">
      <c r="A30" s="12" t="s">
        <v>19</v>
      </c>
      <c r="B30" s="134" t="s">
        <v>999</v>
      </c>
      <c r="C30" s="134" t="s">
        <v>1000</v>
      </c>
      <c r="D30" s="12">
        <v>2003</v>
      </c>
      <c r="E30" s="12"/>
      <c r="F30" s="81"/>
      <c r="G30" s="131"/>
      <c r="H30" s="136">
        <v>0</v>
      </c>
      <c r="I30" s="136"/>
      <c r="J30" s="119">
        <f>J29+D30+E30-H30-I30</f>
        <v>36786</v>
      </c>
      <c r="K30" s="83">
        <f t="shared" si="0"/>
        <v>809.29199999999992</v>
      </c>
    </row>
    <row r="31" spans="1:11" ht="14.4" x14ac:dyDescent="0.3">
      <c r="A31" s="12" t="s">
        <v>20</v>
      </c>
      <c r="B31" s="135" t="s">
        <v>1001</v>
      </c>
      <c r="C31" s="100"/>
      <c r="D31" s="12">
        <v>1639</v>
      </c>
      <c r="E31" s="106"/>
      <c r="F31" s="81"/>
      <c r="G31" s="131"/>
      <c r="H31" s="136">
        <v>0</v>
      </c>
      <c r="I31" s="136"/>
      <c r="J31" s="119">
        <f t="shared" si="1"/>
        <v>38425</v>
      </c>
      <c r="K31" s="83">
        <f t="shared" si="0"/>
        <v>845.34999999999991</v>
      </c>
    </row>
    <row r="32" spans="1:11" ht="14.4" x14ac:dyDescent="0.3">
      <c r="A32" s="12" t="s">
        <v>21</v>
      </c>
      <c r="B32" s="134" t="s">
        <v>1002</v>
      </c>
      <c r="C32" s="134" t="s">
        <v>1003</v>
      </c>
      <c r="D32" s="12">
        <f>106+990+477+516</f>
        <v>2089</v>
      </c>
      <c r="E32" s="12"/>
      <c r="F32" s="81"/>
      <c r="G32" s="131"/>
      <c r="H32" s="136">
        <v>0</v>
      </c>
      <c r="I32" s="136"/>
      <c r="J32" s="119">
        <f>J31+D32+E32-H32-I32</f>
        <v>40514</v>
      </c>
      <c r="K32" s="83">
        <f t="shared" si="0"/>
        <v>891.30799999999999</v>
      </c>
    </row>
    <row r="33" spans="1:12" ht="14.4" x14ac:dyDescent="0.3">
      <c r="A33" s="12" t="s">
        <v>22</v>
      </c>
      <c r="B33" s="134" t="s">
        <v>1004</v>
      </c>
      <c r="C33" s="73"/>
      <c r="D33" s="12">
        <v>1308</v>
      </c>
      <c r="E33" s="12"/>
      <c r="F33" s="81"/>
      <c r="G33" s="131"/>
      <c r="H33" s="136">
        <v>0</v>
      </c>
      <c r="I33" s="136"/>
      <c r="J33" s="119">
        <f>J32+D33+E33-H33-I33</f>
        <v>41822</v>
      </c>
      <c r="K33" s="83">
        <f t="shared" si="0"/>
        <v>920.08399999999995</v>
      </c>
    </row>
    <row r="34" spans="1:12" ht="14.4" x14ac:dyDescent="0.3">
      <c r="A34" s="12" t="s">
        <v>23</v>
      </c>
      <c r="B34" s="134" t="s">
        <v>1005</v>
      </c>
      <c r="C34" s="81"/>
      <c r="D34" s="12">
        <v>800</v>
      </c>
      <c r="E34" s="12"/>
      <c r="F34" s="81"/>
      <c r="G34" s="131"/>
      <c r="H34" s="136">
        <v>1200</v>
      </c>
      <c r="I34" s="136"/>
      <c r="J34" s="119">
        <f>J33+D34+E34-H34-I34</f>
        <v>41422</v>
      </c>
      <c r="K34" s="83">
        <f t="shared" si="0"/>
        <v>911.28399999999999</v>
      </c>
    </row>
    <row r="35" spans="1:12" ht="14.4" x14ac:dyDescent="0.3">
      <c r="A35" s="12" t="s">
        <v>24</v>
      </c>
      <c r="B35" s="81"/>
      <c r="C35" s="96"/>
      <c r="D35" s="12"/>
      <c r="E35" s="12"/>
      <c r="F35" s="81"/>
      <c r="G35" s="131"/>
      <c r="H35" s="136">
        <v>925</v>
      </c>
      <c r="I35" s="136"/>
      <c r="J35" s="119">
        <f t="shared" si="1"/>
        <v>40497</v>
      </c>
      <c r="K35" s="83">
        <f t="shared" si="0"/>
        <v>890.93399999999997</v>
      </c>
    </row>
    <row r="36" spans="1:12" ht="13.5" customHeight="1" x14ac:dyDescent="0.3">
      <c r="A36" s="12" t="s">
        <v>25</v>
      </c>
      <c r="B36" s="81"/>
      <c r="C36" s="81"/>
      <c r="D36" s="12"/>
      <c r="E36" s="12"/>
      <c r="F36" s="12"/>
      <c r="G36" s="12"/>
      <c r="H36" s="136">
        <v>0</v>
      </c>
      <c r="I36" s="136"/>
      <c r="J36" s="119">
        <f t="shared" si="1"/>
        <v>40497</v>
      </c>
      <c r="K36" s="83">
        <f t="shared" si="0"/>
        <v>890.93399999999997</v>
      </c>
    </row>
    <row r="37" spans="1:12" ht="14.4" x14ac:dyDescent="0.3">
      <c r="A37" s="12" t="s">
        <v>26</v>
      </c>
      <c r="B37" s="134" t="s">
        <v>1006</v>
      </c>
      <c r="C37" s="134" t="s">
        <v>1007</v>
      </c>
      <c r="D37" s="12">
        <v>3108</v>
      </c>
      <c r="E37" s="12"/>
      <c r="F37" s="12"/>
      <c r="G37" s="12"/>
      <c r="H37" s="136">
        <v>1307</v>
      </c>
      <c r="I37" s="136"/>
      <c r="J37" s="119">
        <f t="shared" si="1"/>
        <v>42298</v>
      </c>
      <c r="K37" s="83">
        <f t="shared" si="0"/>
        <v>930.55599999999993</v>
      </c>
    </row>
    <row r="38" spans="1:12" ht="14.4" x14ac:dyDescent="0.3">
      <c r="A38" s="12" t="s">
        <v>27</v>
      </c>
      <c r="B38" s="134" t="s">
        <v>1008</v>
      </c>
      <c r="C38"/>
      <c r="D38" s="12">
        <v>1667</v>
      </c>
      <c r="E38" s="12"/>
      <c r="F38" s="12"/>
      <c r="G38" s="12"/>
      <c r="H38" s="136">
        <v>0</v>
      </c>
      <c r="I38" s="136"/>
      <c r="J38" s="119">
        <f t="shared" si="1"/>
        <v>43965</v>
      </c>
      <c r="K38" s="83">
        <f t="shared" si="0"/>
        <v>967.2299999999999</v>
      </c>
    </row>
    <row r="39" spans="1:12" ht="14.4" x14ac:dyDescent="0.3">
      <c r="A39" s="12" t="s">
        <v>28</v>
      </c>
      <c r="B39" s="134" t="s">
        <v>1009</v>
      </c>
      <c r="C39" s="81"/>
      <c r="D39" s="12">
        <v>1179</v>
      </c>
      <c r="E39" s="12"/>
      <c r="F39" s="81"/>
      <c r="G39" s="12"/>
      <c r="H39" s="136">
        <v>2905</v>
      </c>
      <c r="I39" s="136"/>
      <c r="J39" s="119">
        <f t="shared" si="1"/>
        <v>42239</v>
      </c>
      <c r="K39" s="83">
        <f t="shared" si="0"/>
        <v>929.25799999999992</v>
      </c>
    </row>
    <row r="40" spans="1:12" ht="14.4" x14ac:dyDescent="0.3">
      <c r="A40" s="12" t="s">
        <v>29</v>
      </c>
      <c r="B40" s="134" t="s">
        <v>1010</v>
      </c>
      <c r="C40" s="81"/>
      <c r="D40" s="12">
        <v>586</v>
      </c>
      <c r="E40" s="12"/>
      <c r="F40" s="81"/>
      <c r="G40" s="12"/>
      <c r="H40" s="136">
        <v>230</v>
      </c>
      <c r="I40" s="136"/>
      <c r="J40" s="119">
        <f t="shared" si="1"/>
        <v>42595</v>
      </c>
      <c r="K40" s="83">
        <f t="shared" si="0"/>
        <v>937.08999999999992</v>
      </c>
    </row>
    <row r="41" spans="1:12" ht="14.4" x14ac:dyDescent="0.3">
      <c r="A41" s="12" t="s">
        <v>30</v>
      </c>
      <c r="B41" s="134" t="s">
        <v>1011</v>
      </c>
      <c r="C41" s="96"/>
      <c r="D41" s="12">
        <f>4+1161</f>
        <v>1165</v>
      </c>
      <c r="E41" s="12"/>
      <c r="F41" s="81"/>
      <c r="G41" s="12"/>
      <c r="H41" s="136">
        <v>312</v>
      </c>
      <c r="I41" s="12"/>
      <c r="J41" s="119">
        <f t="shared" ref="J41" si="2">J40+D41+E41-H41-I41</f>
        <v>43448</v>
      </c>
      <c r="K41" s="83">
        <f t="shared" ref="K41" si="3">0.022*J41</f>
        <v>955.85599999999999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30319</v>
      </c>
      <c r="E42" s="121">
        <f>SUM(E11:E41)</f>
        <v>0</v>
      </c>
      <c r="F42" s="120">
        <v>0</v>
      </c>
      <c r="G42" s="120"/>
      <c r="H42" s="121">
        <f>SUM(H10:H41)</f>
        <v>17061</v>
      </c>
      <c r="I42" s="121">
        <f>SUM(I11:I41)</f>
        <v>0</v>
      </c>
      <c r="J42" s="69">
        <f>AVERAGE(J11:J41)</f>
        <v>35828.580645161288</v>
      </c>
      <c r="K42" s="32">
        <f>SUM(K11:K41)</f>
        <v>24435.092000000004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30319</v>
      </c>
      <c r="I45" s="59">
        <v>0.31</v>
      </c>
      <c r="J45" s="48">
        <f>H45*I45</f>
        <v>9398.89</v>
      </c>
      <c r="K45" s="50">
        <f>kurs*J45</f>
        <v>1101715.328464</v>
      </c>
    </row>
    <row r="46" spans="1:12" x14ac:dyDescent="0.25">
      <c r="E46" s="42" t="s">
        <v>54</v>
      </c>
      <c r="F46" s="43"/>
      <c r="G46" s="43"/>
      <c r="H46" s="44">
        <f>H42+I42</f>
        <v>17061</v>
      </c>
      <c r="I46" s="59">
        <v>0.22</v>
      </c>
      <c r="J46" s="48">
        <f>H46*I46</f>
        <v>3753.42</v>
      </c>
      <c r="K46" s="50">
        <f t="shared" ref="K46" si="4">kurs*J46</f>
        <v>439966.88419200003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5">H47*I47</f>
        <v>0</v>
      </c>
      <c r="K47" s="50">
        <f t="shared" ref="K47:K50" si="6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5"/>
        <v>0</v>
      </c>
      <c r="K48" s="50">
        <f t="shared" ref="K48:K49" si="7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5"/>
        <v>0</v>
      </c>
      <c r="K49" s="50">
        <f t="shared" si="7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5"/>
        <v>0</v>
      </c>
      <c r="K50" s="50">
        <f t="shared" si="6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5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5"/>
        <v>0</v>
      </c>
      <c r="K52" s="50">
        <f>kurs*J52</f>
        <v>0</v>
      </c>
    </row>
    <row r="53" spans="3:12" x14ac:dyDescent="0.25">
      <c r="E53" s="45" t="s">
        <v>967</v>
      </c>
      <c r="F53" s="46"/>
      <c r="G53" s="46"/>
      <c r="H53" s="47">
        <v>4</v>
      </c>
      <c r="I53" s="60">
        <v>200</v>
      </c>
      <c r="J53" s="48">
        <f t="shared" si="5"/>
        <v>800</v>
      </c>
      <c r="K53" s="50">
        <f>kurs*J53</f>
        <v>93774.080000000002</v>
      </c>
    </row>
    <row r="54" spans="3:12" x14ac:dyDescent="0.25">
      <c r="E54" s="45" t="s">
        <v>968</v>
      </c>
      <c r="F54" s="46"/>
      <c r="G54" s="46"/>
      <c r="H54" s="47">
        <v>4</v>
      </c>
      <c r="I54" s="60">
        <v>200</v>
      </c>
      <c r="J54" s="48">
        <f>H54*I54</f>
        <v>800</v>
      </c>
      <c r="K54" s="50">
        <f>kurs*J54</f>
        <v>93774.080000000002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24435.092000000004</v>
      </c>
      <c r="K55" s="50">
        <f>kurs*J55</f>
        <v>2864222.8400192005</v>
      </c>
      <c r="L55" s="61"/>
    </row>
    <row r="56" spans="3:12" x14ac:dyDescent="0.25">
      <c r="E56" s="22"/>
      <c r="I56" t="s">
        <v>56</v>
      </c>
      <c r="J56" s="52">
        <f>SUM(J45:J55)</f>
        <v>39187.402000000002</v>
      </c>
      <c r="K56" s="51">
        <f>SUM(K45:K55)</f>
        <v>4593453.2126752008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84B1-ED2B-466B-B6E5-F0112FBBF869}">
  <dimension ref="A1:L61"/>
  <sheetViews>
    <sheetView view="pageBreakPreview" topLeftCell="A31" zoomScaleNormal="100" zoomScaleSheetLayoutView="100" workbookViewId="0">
      <selection activeCell="B32" sqref="B32:B33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965</v>
      </c>
      <c r="H3" s="4"/>
      <c r="I3" s="4"/>
    </row>
    <row r="4" spans="1:11" x14ac:dyDescent="0.25">
      <c r="B4" s="2"/>
      <c r="C4" s="6"/>
      <c r="F4" s="3" t="s">
        <v>966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117.1773</v>
      </c>
      <c r="F6" t="s">
        <v>42</v>
      </c>
      <c r="G6" s="102">
        <v>2509020791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21592</v>
      </c>
      <c r="E10" s="9"/>
      <c r="F10" s="7"/>
      <c r="G10" s="8"/>
      <c r="H10" s="103"/>
      <c r="I10" s="70"/>
      <c r="J10" s="38"/>
      <c r="K10" s="40"/>
    </row>
    <row r="11" spans="1:11" ht="13.5" customHeight="1" x14ac:dyDescent="0.25">
      <c r="A11" s="96" t="s">
        <v>0</v>
      </c>
      <c r="B11" s="72" t="s">
        <v>970</v>
      </c>
      <c r="C11" s="96" t="s">
        <v>969</v>
      </c>
      <c r="D11" s="12">
        <v>2869</v>
      </c>
      <c r="E11" s="56"/>
      <c r="F11" s="12"/>
      <c r="G11" s="12"/>
      <c r="H11" s="131"/>
      <c r="I11" s="56"/>
      <c r="J11" s="119">
        <f>D10+D11+E11-H11-I11</f>
        <v>24461</v>
      </c>
      <c r="K11" s="83">
        <f>0.022*J11</f>
        <v>538.14199999999994</v>
      </c>
    </row>
    <row r="12" spans="1:11" ht="14.25" customHeight="1" x14ac:dyDescent="0.25">
      <c r="A12" s="12" t="s">
        <v>1</v>
      </c>
      <c r="B12" s="88"/>
      <c r="C12" s="91"/>
      <c r="D12" s="12"/>
      <c r="E12" s="12"/>
      <c r="F12" s="12"/>
      <c r="G12" s="12"/>
      <c r="H12" s="131"/>
      <c r="I12" s="56"/>
      <c r="J12" s="119">
        <f>J11+D12+E12-H12-I12</f>
        <v>24461</v>
      </c>
      <c r="K12" s="83">
        <f t="shared" ref="K12:K40" si="0">0.022*J12</f>
        <v>538.14199999999994</v>
      </c>
    </row>
    <row r="13" spans="1:11" ht="13.5" customHeight="1" x14ac:dyDescent="0.3">
      <c r="A13" s="12" t="s">
        <v>2</v>
      </c>
      <c r="B13" s="88"/>
      <c r="C13" s="102"/>
      <c r="D13" s="56"/>
      <c r="E13" s="56"/>
      <c r="F13" s="12"/>
      <c r="G13" s="12"/>
      <c r="H13" s="127"/>
      <c r="I13" s="56"/>
      <c r="J13" s="119">
        <f t="shared" ref="J13:J40" si="1">J12+D13+E13-H13-I13</f>
        <v>24461</v>
      </c>
      <c r="K13" s="83">
        <f t="shared" si="0"/>
        <v>538.14199999999994</v>
      </c>
    </row>
    <row r="14" spans="1:11" ht="14.4" x14ac:dyDescent="0.3">
      <c r="A14" s="12" t="s">
        <v>3</v>
      </c>
      <c r="B14" s="132"/>
      <c r="C14" s="102"/>
      <c r="D14" s="12"/>
      <c r="E14" s="12"/>
      <c r="F14" s="12"/>
      <c r="G14" s="12"/>
      <c r="H14" s="127"/>
      <c r="I14" s="56"/>
      <c r="J14" s="119">
        <f>J13+D14+E14-H14-I14</f>
        <v>24461</v>
      </c>
      <c r="K14" s="83">
        <f t="shared" si="0"/>
        <v>538.14199999999994</v>
      </c>
    </row>
    <row r="15" spans="1:11" ht="14.4" x14ac:dyDescent="0.3">
      <c r="A15" s="12" t="s">
        <v>4</v>
      </c>
      <c r="B15" s="102"/>
      <c r="C15" s="109"/>
      <c r="D15" s="12"/>
      <c r="E15" s="12"/>
      <c r="F15" s="12"/>
      <c r="G15" s="12"/>
      <c r="H15" s="131"/>
      <c r="I15" s="56"/>
      <c r="J15" s="119">
        <f t="shared" si="1"/>
        <v>24461</v>
      </c>
      <c r="K15" s="83">
        <f t="shared" si="0"/>
        <v>538.14199999999994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31"/>
      <c r="I16" s="56"/>
      <c r="J16" s="119">
        <f t="shared" si="1"/>
        <v>24461</v>
      </c>
      <c r="K16" s="83">
        <f t="shared" si="0"/>
        <v>538.14199999999994</v>
      </c>
    </row>
    <row r="17" spans="1:11" ht="14.4" x14ac:dyDescent="0.3">
      <c r="A17" s="12" t="s">
        <v>6</v>
      </c>
      <c r="B17" s="132"/>
      <c r="C17" s="81"/>
      <c r="D17" s="12"/>
      <c r="E17" s="12"/>
      <c r="F17" s="81"/>
      <c r="G17" s="12"/>
      <c r="H17" s="131"/>
      <c r="I17" s="12"/>
      <c r="J17" s="119">
        <f>J16+D17+E17-H17-I17</f>
        <v>24461</v>
      </c>
      <c r="K17" s="83">
        <f t="shared" si="0"/>
        <v>538.14199999999994</v>
      </c>
    </row>
    <row r="18" spans="1:11" x14ac:dyDescent="0.25">
      <c r="A18" s="12" t="s">
        <v>7</v>
      </c>
      <c r="B18" s="81" t="s">
        <v>978</v>
      </c>
      <c r="C18" s="73"/>
      <c r="D18" s="12">
        <v>930</v>
      </c>
      <c r="E18" s="12"/>
      <c r="F18" s="12"/>
      <c r="G18" s="12"/>
      <c r="H18" s="131"/>
      <c r="I18" s="12"/>
      <c r="J18" s="119">
        <f>J17+D18+E18-H18-I18</f>
        <v>25391</v>
      </c>
      <c r="K18" s="83">
        <f t="shared" si="0"/>
        <v>558.60199999999998</v>
      </c>
    </row>
    <row r="19" spans="1:11" ht="13.5" customHeight="1" x14ac:dyDescent="0.25">
      <c r="A19" s="12" t="s">
        <v>8</v>
      </c>
      <c r="B19" s="81"/>
      <c r="C19" s="81"/>
      <c r="D19" s="12"/>
      <c r="E19" s="12"/>
      <c r="F19" s="81"/>
      <c r="G19" s="12"/>
      <c r="H19" s="131">
        <v>995</v>
      </c>
      <c r="I19" s="12"/>
      <c r="J19" s="119">
        <f t="shared" si="1"/>
        <v>24396</v>
      </c>
      <c r="K19" s="83">
        <f t="shared" si="0"/>
        <v>536.71199999999999</v>
      </c>
    </row>
    <row r="20" spans="1:11" ht="14.4" x14ac:dyDescent="0.3">
      <c r="A20" s="12" t="s">
        <v>9</v>
      </c>
      <c r="B20" s="88"/>
      <c r="C20" s="102"/>
      <c r="D20" s="12"/>
      <c r="E20" s="12"/>
      <c r="F20" s="81"/>
      <c r="G20" s="12"/>
      <c r="H20" s="131">
        <v>981</v>
      </c>
      <c r="I20" s="12"/>
      <c r="J20" s="119">
        <f t="shared" si="1"/>
        <v>23415</v>
      </c>
      <c r="K20" s="83">
        <f t="shared" si="0"/>
        <v>515.13</v>
      </c>
    </row>
    <row r="21" spans="1:11" ht="14.4" x14ac:dyDescent="0.3">
      <c r="A21" s="12" t="s">
        <v>10</v>
      </c>
      <c r="B21" s="132"/>
      <c r="C21" s="132"/>
      <c r="D21" s="12"/>
      <c r="E21" s="12"/>
      <c r="F21" s="81"/>
      <c r="G21" s="12"/>
      <c r="H21" s="131">
        <v>888</v>
      </c>
      <c r="I21" s="12"/>
      <c r="J21" s="119">
        <f t="shared" si="1"/>
        <v>22527</v>
      </c>
      <c r="K21" s="83">
        <f t="shared" si="0"/>
        <v>495.59399999999999</v>
      </c>
    </row>
    <row r="22" spans="1:11" x14ac:dyDescent="0.25">
      <c r="A22" s="12" t="s">
        <v>11</v>
      </c>
      <c r="B22" s="81" t="s">
        <v>971</v>
      </c>
      <c r="C22" s="109" t="s">
        <v>981</v>
      </c>
      <c r="D22" s="12">
        <f>1500+666</f>
        <v>2166</v>
      </c>
      <c r="E22" s="12"/>
      <c r="F22" s="81"/>
      <c r="G22" s="12"/>
      <c r="H22" s="131">
        <v>0</v>
      </c>
      <c r="I22" s="12"/>
      <c r="J22" s="119">
        <f t="shared" si="1"/>
        <v>24693</v>
      </c>
      <c r="K22" s="83">
        <f t="shared" si="0"/>
        <v>543.24599999999998</v>
      </c>
    </row>
    <row r="23" spans="1:11" x14ac:dyDescent="0.25">
      <c r="A23" s="12" t="s">
        <v>12</v>
      </c>
      <c r="C23" s="103"/>
      <c r="D23" s="12"/>
      <c r="E23" s="12"/>
      <c r="F23" s="81"/>
      <c r="G23" s="81"/>
      <c r="H23" s="131">
        <v>930</v>
      </c>
      <c r="I23" s="12"/>
      <c r="J23" s="119">
        <f>J22+D23+E23-H23-I23</f>
        <v>23763</v>
      </c>
      <c r="K23" s="83">
        <f t="shared" si="0"/>
        <v>522.78599999999994</v>
      </c>
    </row>
    <row r="24" spans="1:11" x14ac:dyDescent="0.25">
      <c r="A24" s="12" t="s">
        <v>13</v>
      </c>
      <c r="B24" s="72"/>
      <c r="C24" s="128"/>
      <c r="D24" s="12"/>
      <c r="E24" s="12"/>
      <c r="F24" s="81"/>
      <c r="G24" s="12"/>
      <c r="H24" s="131">
        <v>1684</v>
      </c>
      <c r="I24" s="12"/>
      <c r="J24" s="119">
        <f t="shared" si="1"/>
        <v>22079</v>
      </c>
      <c r="K24" s="83">
        <f t="shared" si="0"/>
        <v>485.738</v>
      </c>
    </row>
    <row r="25" spans="1:11" x14ac:dyDescent="0.25">
      <c r="A25" s="12" t="s">
        <v>14</v>
      </c>
      <c r="C25"/>
      <c r="D25" s="12"/>
      <c r="E25" s="12"/>
      <c r="F25" s="81"/>
      <c r="G25" s="12"/>
      <c r="H25" s="131">
        <v>805</v>
      </c>
      <c r="I25" s="12"/>
      <c r="J25" s="119">
        <f t="shared" si="1"/>
        <v>21274</v>
      </c>
      <c r="K25" s="83">
        <f t="shared" si="0"/>
        <v>468.02799999999996</v>
      </c>
    </row>
    <row r="26" spans="1:11" ht="13.5" customHeight="1" x14ac:dyDescent="0.25">
      <c r="A26" s="12" t="s">
        <v>15</v>
      </c>
      <c r="B26" s="88"/>
      <c r="C26" s="111"/>
      <c r="D26" s="12"/>
      <c r="E26" s="12"/>
      <c r="F26" s="81"/>
      <c r="G26" s="12"/>
      <c r="H26" s="131">
        <v>0</v>
      </c>
      <c r="I26" s="12"/>
      <c r="J26" s="119">
        <f t="shared" si="1"/>
        <v>21274</v>
      </c>
      <c r="K26" s="83">
        <f t="shared" si="0"/>
        <v>468.02799999999996</v>
      </c>
    </row>
    <row r="27" spans="1:11" x14ac:dyDescent="0.25">
      <c r="A27" s="12" t="s">
        <v>16</v>
      </c>
      <c r="B27" s="81" t="s">
        <v>972</v>
      </c>
      <c r="C27" s="81" t="s">
        <v>973</v>
      </c>
      <c r="D27" s="12">
        <v>1980</v>
      </c>
      <c r="E27" s="12"/>
      <c r="F27" s="81"/>
      <c r="G27" s="12"/>
      <c r="H27" s="131">
        <v>837</v>
      </c>
      <c r="I27" s="12"/>
      <c r="J27" s="119">
        <f t="shared" si="1"/>
        <v>22417</v>
      </c>
      <c r="K27" s="83">
        <f t="shared" si="0"/>
        <v>493.17399999999998</v>
      </c>
    </row>
    <row r="28" spans="1:11" x14ac:dyDescent="0.25">
      <c r="A28" s="12" t="s">
        <v>17</v>
      </c>
      <c r="C28"/>
      <c r="D28" s="12"/>
      <c r="E28" s="12"/>
      <c r="F28" s="81"/>
      <c r="G28" s="12"/>
      <c r="H28" s="131">
        <v>293</v>
      </c>
      <c r="I28" s="12"/>
      <c r="J28" s="119">
        <f t="shared" si="1"/>
        <v>22124</v>
      </c>
      <c r="K28" s="83">
        <f t="shared" si="0"/>
        <v>486.72799999999995</v>
      </c>
    </row>
    <row r="29" spans="1:11" x14ac:dyDescent="0.25">
      <c r="A29" s="12" t="s">
        <v>18</v>
      </c>
      <c r="B29" s="81" t="s">
        <v>974</v>
      </c>
      <c r="C29" s="81" t="s">
        <v>975</v>
      </c>
      <c r="D29" s="12">
        <v>3042</v>
      </c>
      <c r="E29" s="12"/>
      <c r="F29" s="81"/>
      <c r="G29" s="12"/>
      <c r="H29" s="133">
        <v>0</v>
      </c>
      <c r="I29" s="12"/>
      <c r="J29" s="119">
        <f t="shared" si="1"/>
        <v>25166</v>
      </c>
      <c r="K29" s="83">
        <f t="shared" si="0"/>
        <v>553.65199999999993</v>
      </c>
    </row>
    <row r="30" spans="1:11" x14ac:dyDescent="0.25">
      <c r="A30" s="12" t="s">
        <v>19</v>
      </c>
      <c r="B30" s="81"/>
      <c r="C30" s="81"/>
      <c r="D30" s="12"/>
      <c r="E30" s="12"/>
      <c r="F30" s="81"/>
      <c r="G30" s="111"/>
      <c r="H30" s="131">
        <v>0</v>
      </c>
      <c r="I30" s="12"/>
      <c r="J30" s="119">
        <f>J29+D30+E30-H30-I30</f>
        <v>25166</v>
      </c>
      <c r="K30" s="83">
        <f t="shared" si="0"/>
        <v>553.65199999999993</v>
      </c>
    </row>
    <row r="31" spans="1:11" x14ac:dyDescent="0.25">
      <c r="A31" s="12" t="s">
        <v>20</v>
      </c>
      <c r="C31" s="100"/>
      <c r="D31" s="12"/>
      <c r="E31" s="106"/>
      <c r="F31" s="81"/>
      <c r="G31" s="12"/>
      <c r="H31" s="131">
        <v>0</v>
      </c>
      <c r="I31" s="12"/>
      <c r="J31" s="119">
        <f t="shared" si="1"/>
        <v>25166</v>
      </c>
      <c r="K31" s="83">
        <f t="shared" si="0"/>
        <v>553.65199999999993</v>
      </c>
    </row>
    <row r="32" spans="1:11" x14ac:dyDescent="0.25">
      <c r="A32" s="12" t="s">
        <v>21</v>
      </c>
      <c r="D32" s="12"/>
      <c r="E32" s="12"/>
      <c r="F32" s="81"/>
      <c r="G32" s="107"/>
      <c r="H32" s="131">
        <v>0</v>
      </c>
      <c r="I32" s="12"/>
      <c r="J32" s="119">
        <f>J31+D32+E32-H32-I32</f>
        <v>25166</v>
      </c>
      <c r="K32" s="83">
        <f t="shared" si="0"/>
        <v>553.65199999999993</v>
      </c>
    </row>
    <row r="33" spans="1:12" x14ac:dyDescent="0.25">
      <c r="A33" s="12" t="s">
        <v>22</v>
      </c>
      <c r="B33" s="81" t="s">
        <v>977</v>
      </c>
      <c r="C33" s="73" t="s">
        <v>976</v>
      </c>
      <c r="D33" s="12">
        <v>2703</v>
      </c>
      <c r="E33" s="12"/>
      <c r="F33" s="81"/>
      <c r="G33" s="12"/>
      <c r="H33" s="131">
        <v>0</v>
      </c>
      <c r="I33" s="12"/>
      <c r="J33" s="119">
        <f>J32+D33+E33-H33-I33</f>
        <v>27869</v>
      </c>
      <c r="K33" s="83">
        <f t="shared" si="0"/>
        <v>613.11799999999994</v>
      </c>
    </row>
    <row r="34" spans="1:12" x14ac:dyDescent="0.25">
      <c r="A34" s="12" t="s">
        <v>23</v>
      </c>
      <c r="B34" s="81"/>
      <c r="C34" s="81"/>
      <c r="D34" s="12"/>
      <c r="E34" s="12"/>
      <c r="F34" s="81"/>
      <c r="G34" s="12"/>
      <c r="H34" s="131">
        <v>612</v>
      </c>
      <c r="I34" s="12"/>
      <c r="J34" s="119">
        <f>J33+D34+E34-H34-I34</f>
        <v>27257</v>
      </c>
      <c r="K34" s="83">
        <f t="shared" si="0"/>
        <v>599.654</v>
      </c>
    </row>
    <row r="35" spans="1:12" x14ac:dyDescent="0.25">
      <c r="A35" s="12" t="s">
        <v>24</v>
      </c>
      <c r="B35" s="81"/>
      <c r="C35" s="96"/>
      <c r="D35" s="12"/>
      <c r="E35" s="12"/>
      <c r="F35" s="81"/>
      <c r="G35" s="12"/>
      <c r="H35" s="131">
        <v>469</v>
      </c>
      <c r="I35" s="12"/>
      <c r="J35" s="119">
        <f t="shared" si="1"/>
        <v>26788</v>
      </c>
      <c r="K35" s="83">
        <f t="shared" si="0"/>
        <v>589.33600000000001</v>
      </c>
    </row>
    <row r="36" spans="1:12" ht="13.5" customHeight="1" x14ac:dyDescent="0.25">
      <c r="A36" s="12" t="s">
        <v>25</v>
      </c>
      <c r="B36" s="81" t="s">
        <v>979</v>
      </c>
      <c r="C36" s="81"/>
      <c r="D36" s="12">
        <v>1022</v>
      </c>
      <c r="E36" s="12"/>
      <c r="F36" s="12"/>
      <c r="G36" s="12"/>
      <c r="H36" s="131">
        <v>137</v>
      </c>
      <c r="I36" s="108"/>
      <c r="J36" s="119">
        <f t="shared" si="1"/>
        <v>27673</v>
      </c>
      <c r="K36" s="83">
        <f t="shared" si="0"/>
        <v>608.80599999999993</v>
      </c>
    </row>
    <row r="37" spans="1:12" x14ac:dyDescent="0.25">
      <c r="A37" s="12" t="s">
        <v>26</v>
      </c>
      <c r="B37" s="81"/>
      <c r="C37" s="100"/>
      <c r="D37" s="12"/>
      <c r="E37" s="12"/>
      <c r="F37" s="12"/>
      <c r="G37" s="12"/>
      <c r="H37" s="131"/>
      <c r="I37" s="12"/>
      <c r="J37" s="119">
        <f t="shared" si="1"/>
        <v>27673</v>
      </c>
      <c r="K37" s="83">
        <f t="shared" si="0"/>
        <v>608.80599999999993</v>
      </c>
    </row>
    <row r="38" spans="1:12" x14ac:dyDescent="0.25">
      <c r="A38" s="12" t="s">
        <v>27</v>
      </c>
      <c r="B38" s="81" t="s">
        <v>980</v>
      </c>
      <c r="C38"/>
      <c r="D38" s="12">
        <v>1191</v>
      </c>
      <c r="E38" s="12"/>
      <c r="F38" s="12"/>
      <c r="G38" s="12"/>
      <c r="H38" s="131"/>
      <c r="I38" s="12"/>
      <c r="J38" s="119">
        <f t="shared" si="1"/>
        <v>28864</v>
      </c>
      <c r="K38" s="83">
        <f t="shared" si="0"/>
        <v>635.00799999999992</v>
      </c>
    </row>
    <row r="39" spans="1:12" x14ac:dyDescent="0.25">
      <c r="A39" s="12" t="s">
        <v>28</v>
      </c>
      <c r="B39" s="81"/>
      <c r="C39" s="81"/>
      <c r="D39" s="12"/>
      <c r="E39" s="12"/>
      <c r="F39" s="81"/>
      <c r="G39" s="12"/>
      <c r="H39" s="131"/>
      <c r="I39" s="12"/>
      <c r="J39" s="119">
        <f t="shared" si="1"/>
        <v>28864</v>
      </c>
      <c r="K39" s="83">
        <f t="shared" si="0"/>
        <v>635.00799999999992</v>
      </c>
    </row>
    <row r="40" spans="1:12" x14ac:dyDescent="0.25">
      <c r="A40" s="12" t="s">
        <v>29</v>
      </c>
      <c r="B40" s="81" t="s">
        <v>982</v>
      </c>
      <c r="C40" s="81" t="s">
        <v>983</v>
      </c>
      <c r="D40" s="12">
        <f>1211+115</f>
        <v>1326</v>
      </c>
      <c r="E40" s="12"/>
      <c r="F40" s="81"/>
      <c r="G40" s="12"/>
      <c r="H40" s="127"/>
      <c r="I40" s="12"/>
      <c r="J40" s="119">
        <f t="shared" si="1"/>
        <v>30190</v>
      </c>
      <c r="K40" s="83">
        <f t="shared" si="0"/>
        <v>664.18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7"/>
      <c r="I41" s="12"/>
      <c r="J41" s="119"/>
      <c r="K41" s="83"/>
    </row>
    <row r="42" spans="1:12" ht="15" thickBot="1" x14ac:dyDescent="0.35">
      <c r="A42" s="160"/>
      <c r="B42" s="160"/>
      <c r="C42" s="120" t="s">
        <v>31</v>
      </c>
      <c r="D42" s="121">
        <f>SUM(D11:D41)</f>
        <v>17229</v>
      </c>
      <c r="E42" s="121">
        <f>SUM(E11:E41)</f>
        <v>0</v>
      </c>
      <c r="F42" s="120">
        <v>0</v>
      </c>
      <c r="G42" s="120"/>
      <c r="H42" s="121">
        <f>SUM(H10:H41)</f>
        <v>8631</v>
      </c>
      <c r="I42" s="121">
        <f>SUM(I11:I41)</f>
        <v>0</v>
      </c>
      <c r="J42" s="69">
        <f>AVERAGE(J11:J41)</f>
        <v>25014.066666666666</v>
      </c>
      <c r="K42" s="32">
        <f>SUM(K11:K41)</f>
        <v>16509.284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17229</v>
      </c>
      <c r="I45" s="59">
        <v>0.31</v>
      </c>
      <c r="J45" s="48">
        <f>H45*I45</f>
        <v>5340.99</v>
      </c>
      <c r="K45" s="50">
        <f>kurs*J45</f>
        <v>625842.78752699995</v>
      </c>
    </row>
    <row r="46" spans="1:12" x14ac:dyDescent="0.25">
      <c r="E46" s="42" t="s">
        <v>54</v>
      </c>
      <c r="F46" s="43"/>
      <c r="G46" s="43"/>
      <c r="H46" s="44">
        <f>H42+I42</f>
        <v>8631</v>
      </c>
      <c r="I46" s="59">
        <v>0.22</v>
      </c>
      <c r="J46" s="48">
        <f>H46*I46</f>
        <v>1898.82</v>
      </c>
      <c r="K46" s="50">
        <f t="shared" ref="K46" si="2">kurs*J46</f>
        <v>222498.600786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7</v>
      </c>
      <c r="I49" s="59">
        <v>1.65</v>
      </c>
      <c r="J49" s="48">
        <f t="shared" si="3"/>
        <v>11.549999999999999</v>
      </c>
      <c r="K49" s="50">
        <f t="shared" si="5"/>
        <v>1353.3978149999998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967</v>
      </c>
      <c r="F53" s="46"/>
      <c r="G53" s="46"/>
      <c r="H53" s="47">
        <v>4</v>
      </c>
      <c r="I53" s="60">
        <v>200</v>
      </c>
      <c r="J53" s="48">
        <f t="shared" si="3"/>
        <v>800</v>
      </c>
      <c r="K53" s="50">
        <f>kurs*J53</f>
        <v>93741.84</v>
      </c>
    </row>
    <row r="54" spans="3:12" x14ac:dyDescent="0.25">
      <c r="E54" s="45" t="s">
        <v>968</v>
      </c>
      <c r="F54" s="46"/>
      <c r="G54" s="46"/>
      <c r="H54" s="47">
        <v>1</v>
      </c>
      <c r="I54" s="60">
        <v>200</v>
      </c>
      <c r="J54" s="48">
        <f>H54*I54</f>
        <v>200</v>
      </c>
      <c r="K54" s="50">
        <f>kurs*J54</f>
        <v>23435.46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16509.284</v>
      </c>
      <c r="K55" s="50">
        <f>kurs*J55</f>
        <v>1934513.3240532</v>
      </c>
      <c r="L55" s="61"/>
    </row>
    <row r="56" spans="3:12" x14ac:dyDescent="0.25">
      <c r="E56" s="22"/>
      <c r="I56" t="s">
        <v>56</v>
      </c>
      <c r="J56" s="52">
        <f>SUM(J45:J55)</f>
        <v>24760.644</v>
      </c>
      <c r="K56" s="51">
        <f>SUM(K45:K55)</f>
        <v>2901385.4101812001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790E-0D00-45FE-A232-BD25C98B8245}">
  <dimension ref="A1:L61"/>
  <sheetViews>
    <sheetView view="pageBreakPreview" topLeftCell="A31" zoomScaleNormal="100" zoomScaleSheetLayoutView="100" workbookViewId="0">
      <selection activeCell="J46" sqref="J46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954</v>
      </c>
      <c r="H3" s="4"/>
      <c r="I3" s="4"/>
    </row>
    <row r="4" spans="1:11" x14ac:dyDescent="0.25">
      <c r="B4" s="2"/>
      <c r="C4" s="6"/>
      <c r="F4" s="3" t="s">
        <v>955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117.16849999999999</v>
      </c>
      <c r="F6" t="s">
        <v>42</v>
      </c>
      <c r="G6" s="102">
        <v>2508017402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24018</v>
      </c>
      <c r="E10" s="9"/>
      <c r="F10" s="7"/>
      <c r="G10" s="8"/>
      <c r="H10" s="103"/>
      <c r="I10" s="70"/>
      <c r="J10" s="38"/>
      <c r="K10" s="40"/>
    </row>
    <row r="11" spans="1:11" ht="13.5" customHeight="1" x14ac:dyDescent="0.25">
      <c r="A11" s="96" t="s">
        <v>0</v>
      </c>
      <c r="C11" s="96"/>
      <c r="D11" s="12"/>
      <c r="E11" s="56"/>
      <c r="F11" s="12"/>
      <c r="G11" s="12"/>
      <c r="H11" s="131">
        <v>235</v>
      </c>
      <c r="I11" s="56"/>
      <c r="J11" s="119">
        <f>D10+D11+E11-H11-I11</f>
        <v>23783</v>
      </c>
      <c r="K11" s="83">
        <f>0.022*J11</f>
        <v>523.226</v>
      </c>
    </row>
    <row r="12" spans="1:11" ht="14.25" customHeight="1" x14ac:dyDescent="0.25">
      <c r="A12" s="12" t="s">
        <v>1</v>
      </c>
      <c r="B12" s="88"/>
      <c r="C12" s="91"/>
      <c r="D12" s="12"/>
      <c r="E12" s="12"/>
      <c r="F12" s="12"/>
      <c r="G12" s="12"/>
      <c r="H12" s="131">
        <v>273</v>
      </c>
      <c r="I12" s="56"/>
      <c r="J12" s="119">
        <f>J11+D12+E12-H12-I12</f>
        <v>23510</v>
      </c>
      <c r="K12" s="83">
        <f t="shared" ref="K12:K41" si="0">0.022*J12</f>
        <v>517.21999999999991</v>
      </c>
    </row>
    <row r="13" spans="1:11" ht="13.5" customHeight="1" x14ac:dyDescent="0.3">
      <c r="A13" s="12" t="s">
        <v>2</v>
      </c>
      <c r="B13" s="88"/>
      <c r="C13" s="102"/>
      <c r="D13" s="56"/>
      <c r="E13" s="56"/>
      <c r="F13" s="12"/>
      <c r="G13" s="12"/>
      <c r="H13" s="127"/>
      <c r="I13" s="56"/>
      <c r="J13" s="119">
        <f t="shared" ref="J13:J41" si="1">J12+D13+E13-H13-I13</f>
        <v>23510</v>
      </c>
      <c r="K13" s="83">
        <f t="shared" si="0"/>
        <v>517.21999999999991</v>
      </c>
    </row>
    <row r="14" spans="1:11" ht="14.4" x14ac:dyDescent="0.3">
      <c r="A14" s="12" t="s">
        <v>3</v>
      </c>
      <c r="B14" s="132" t="s">
        <v>956</v>
      </c>
      <c r="C14" s="102"/>
      <c r="D14" s="12">
        <v>1172</v>
      </c>
      <c r="E14" s="12"/>
      <c r="F14" s="12"/>
      <c r="G14" s="12"/>
      <c r="H14" s="127"/>
      <c r="I14" s="56"/>
      <c r="J14" s="119">
        <f>J13+D14+E14-H14-I14</f>
        <v>24682</v>
      </c>
      <c r="K14" s="83">
        <f t="shared" si="0"/>
        <v>543.00400000000002</v>
      </c>
    </row>
    <row r="15" spans="1:11" ht="14.4" x14ac:dyDescent="0.3">
      <c r="A15" s="12" t="s">
        <v>4</v>
      </c>
      <c r="B15" s="102"/>
      <c r="C15" s="109"/>
      <c r="D15" s="12"/>
      <c r="E15" s="12"/>
      <c r="F15" s="12"/>
      <c r="G15" s="12"/>
      <c r="H15" s="131">
        <v>540</v>
      </c>
      <c r="I15" s="56"/>
      <c r="J15" s="119">
        <f t="shared" si="1"/>
        <v>24142</v>
      </c>
      <c r="K15" s="83">
        <f t="shared" si="0"/>
        <v>531.12400000000002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31">
        <v>520</v>
      </c>
      <c r="I16" s="56"/>
      <c r="J16" s="119">
        <f t="shared" si="1"/>
        <v>23622</v>
      </c>
      <c r="K16" s="83">
        <f t="shared" si="0"/>
        <v>519.68399999999997</v>
      </c>
    </row>
    <row r="17" spans="1:11" ht="14.4" x14ac:dyDescent="0.3">
      <c r="A17" s="12" t="s">
        <v>6</v>
      </c>
      <c r="B17" s="132" t="s">
        <v>957</v>
      </c>
      <c r="C17" s="81"/>
      <c r="D17" s="12">
        <v>1165</v>
      </c>
      <c r="E17" s="12"/>
      <c r="F17" s="81"/>
      <c r="G17" s="12"/>
      <c r="H17" s="131">
        <v>221</v>
      </c>
      <c r="I17" s="12"/>
      <c r="J17" s="119">
        <f>J16+D17+E17-H17-I17</f>
        <v>24566</v>
      </c>
      <c r="K17" s="83">
        <f t="shared" si="0"/>
        <v>540.452</v>
      </c>
    </row>
    <row r="18" spans="1:11" x14ac:dyDescent="0.25">
      <c r="A18" s="12" t="s">
        <v>7</v>
      </c>
      <c r="B18" s="88"/>
      <c r="C18" s="73"/>
      <c r="D18" s="12"/>
      <c r="E18" s="12"/>
      <c r="F18" s="12"/>
      <c r="G18" s="12"/>
      <c r="H18" s="131">
        <v>365</v>
      </c>
      <c r="I18" s="12"/>
      <c r="J18" s="119">
        <f>J17+D18+E18-H18-I18</f>
        <v>24201</v>
      </c>
      <c r="K18" s="83">
        <f t="shared" si="0"/>
        <v>532.42200000000003</v>
      </c>
    </row>
    <row r="19" spans="1:11" ht="13.5" customHeight="1" x14ac:dyDescent="0.25">
      <c r="A19" s="12" t="s">
        <v>8</v>
      </c>
      <c r="B19" s="81"/>
      <c r="C19" s="81"/>
      <c r="D19" s="12"/>
      <c r="E19" s="12"/>
      <c r="F19" s="81"/>
      <c r="G19" s="12"/>
      <c r="H19" s="131">
        <v>456</v>
      </c>
      <c r="I19" s="12"/>
      <c r="J19" s="119">
        <f t="shared" si="1"/>
        <v>23745</v>
      </c>
      <c r="K19" s="83">
        <f t="shared" si="0"/>
        <v>522.39</v>
      </c>
    </row>
    <row r="20" spans="1:11" ht="14.4" x14ac:dyDescent="0.3">
      <c r="A20" s="12" t="s">
        <v>9</v>
      </c>
      <c r="B20" s="88"/>
      <c r="C20" s="102"/>
      <c r="D20" s="12"/>
      <c r="E20" s="12"/>
      <c r="F20" s="81"/>
      <c r="G20" s="12"/>
      <c r="H20" s="127"/>
      <c r="I20" s="12"/>
      <c r="J20" s="119">
        <f t="shared" si="1"/>
        <v>23745</v>
      </c>
      <c r="K20" s="83">
        <f t="shared" si="0"/>
        <v>522.39</v>
      </c>
    </row>
    <row r="21" spans="1:11" ht="14.4" x14ac:dyDescent="0.3">
      <c r="A21" s="12" t="s">
        <v>10</v>
      </c>
      <c r="B21" s="132" t="s">
        <v>958</v>
      </c>
      <c r="C21" s="132" t="s">
        <v>959</v>
      </c>
      <c r="D21" s="12">
        <v>2125</v>
      </c>
      <c r="E21" s="12"/>
      <c r="F21" s="81"/>
      <c r="G21" s="12"/>
      <c r="H21" s="127"/>
      <c r="I21" s="12"/>
      <c r="J21" s="119">
        <f t="shared" si="1"/>
        <v>25870</v>
      </c>
      <c r="K21" s="83">
        <f t="shared" si="0"/>
        <v>569.14</v>
      </c>
    </row>
    <row r="22" spans="1:11" x14ac:dyDescent="0.25">
      <c r="A22" s="12" t="s">
        <v>11</v>
      </c>
      <c r="C22" s="109"/>
      <c r="D22" s="12"/>
      <c r="E22" s="12"/>
      <c r="F22" s="81"/>
      <c r="G22" s="12"/>
      <c r="H22" s="127"/>
      <c r="I22" s="12"/>
      <c r="J22" s="119">
        <f t="shared" si="1"/>
        <v>25870</v>
      </c>
      <c r="K22" s="83">
        <f t="shared" si="0"/>
        <v>569.14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31">
        <v>1109</v>
      </c>
      <c r="I23" s="12"/>
      <c r="J23" s="119">
        <f>J22+D23+E23-H23-I23</f>
        <v>24761</v>
      </c>
      <c r="K23" s="83">
        <f t="shared" si="0"/>
        <v>544.74199999999996</v>
      </c>
    </row>
    <row r="24" spans="1:11" x14ac:dyDescent="0.25">
      <c r="A24" s="12" t="s">
        <v>13</v>
      </c>
      <c r="B24" s="72"/>
      <c r="C24" s="128"/>
      <c r="D24" s="12"/>
      <c r="E24" s="12"/>
      <c r="F24" s="81"/>
      <c r="G24" s="12"/>
      <c r="H24" s="131">
        <v>991</v>
      </c>
      <c r="I24" s="12"/>
      <c r="J24" s="119">
        <f t="shared" si="1"/>
        <v>23770</v>
      </c>
      <c r="K24" s="83">
        <f t="shared" si="0"/>
        <v>522.93999999999994</v>
      </c>
    </row>
    <row r="25" spans="1:11" x14ac:dyDescent="0.25">
      <c r="A25" s="12" t="s">
        <v>14</v>
      </c>
      <c r="C25"/>
      <c r="D25" s="12"/>
      <c r="E25" s="12"/>
      <c r="F25" s="81"/>
      <c r="G25" s="12"/>
      <c r="H25" s="131">
        <v>464</v>
      </c>
      <c r="I25" s="12"/>
      <c r="J25" s="119">
        <f t="shared" si="1"/>
        <v>23306</v>
      </c>
      <c r="K25" s="83">
        <f t="shared" si="0"/>
        <v>512.73199999999997</v>
      </c>
    </row>
    <row r="26" spans="1:11" ht="13.5" customHeight="1" x14ac:dyDescent="0.25">
      <c r="A26" s="12" t="s">
        <v>15</v>
      </c>
      <c r="B26" s="88"/>
      <c r="C26" s="111"/>
      <c r="D26" s="12"/>
      <c r="E26" s="12"/>
      <c r="F26" s="81"/>
      <c r="G26" s="12"/>
      <c r="H26" s="131">
        <v>137</v>
      </c>
      <c r="I26" s="12"/>
      <c r="J26" s="119">
        <f t="shared" si="1"/>
        <v>23169</v>
      </c>
      <c r="K26" s="83">
        <f t="shared" si="0"/>
        <v>509.71799999999996</v>
      </c>
    </row>
    <row r="27" spans="1:11" ht="14.4" x14ac:dyDescent="0.3">
      <c r="A27" s="12" t="s">
        <v>16</v>
      </c>
      <c r="B27" s="102"/>
      <c r="C27" s="103"/>
      <c r="D27" s="12"/>
      <c r="E27" s="12"/>
      <c r="F27" s="81"/>
      <c r="G27" s="12"/>
      <c r="H27" s="127"/>
      <c r="I27" s="12"/>
      <c r="J27" s="119">
        <f t="shared" si="1"/>
        <v>23169</v>
      </c>
      <c r="K27" s="83">
        <f t="shared" si="0"/>
        <v>509.71799999999996</v>
      </c>
    </row>
    <row r="28" spans="1:11" x14ac:dyDescent="0.25">
      <c r="A28" s="12" t="s">
        <v>17</v>
      </c>
      <c r="C28"/>
      <c r="D28" s="12"/>
      <c r="E28" s="12"/>
      <c r="F28" s="81"/>
      <c r="G28" s="12"/>
      <c r="H28" s="127"/>
      <c r="I28" s="12"/>
      <c r="J28" s="119">
        <f t="shared" si="1"/>
        <v>23169</v>
      </c>
      <c r="K28" s="83">
        <f t="shared" si="0"/>
        <v>509.71799999999996</v>
      </c>
    </row>
    <row r="29" spans="1:11" ht="14.4" x14ac:dyDescent="0.3">
      <c r="A29" s="12" t="s">
        <v>18</v>
      </c>
      <c r="B29" s="102"/>
      <c r="C29" s="123"/>
      <c r="D29" s="12"/>
      <c r="E29" s="12"/>
      <c r="F29" s="81"/>
      <c r="G29" s="12"/>
      <c r="H29" s="127"/>
      <c r="I29" s="12"/>
      <c r="J29" s="119">
        <f t="shared" si="1"/>
        <v>23169</v>
      </c>
      <c r="K29" s="83">
        <f t="shared" si="0"/>
        <v>509.71799999999996</v>
      </c>
    </row>
    <row r="30" spans="1:11" x14ac:dyDescent="0.25">
      <c r="A30" s="12" t="s">
        <v>19</v>
      </c>
      <c r="B30" s="81"/>
      <c r="C30" s="81"/>
      <c r="D30" s="12"/>
      <c r="E30" s="12"/>
      <c r="F30" s="81"/>
      <c r="G30" s="111"/>
      <c r="H30" s="131">
        <v>932</v>
      </c>
      <c r="I30" s="12"/>
      <c r="J30" s="119">
        <f>J29+D30+E30-H30-I30</f>
        <v>22237</v>
      </c>
      <c r="K30" s="83">
        <f t="shared" si="0"/>
        <v>489.214</v>
      </c>
    </row>
    <row r="31" spans="1:11" x14ac:dyDescent="0.25">
      <c r="A31" s="12" t="s">
        <v>20</v>
      </c>
      <c r="C31" s="100"/>
      <c r="D31" s="12"/>
      <c r="E31" s="106"/>
      <c r="F31" s="81"/>
      <c r="G31" s="12"/>
      <c r="H31" s="131">
        <v>766</v>
      </c>
      <c r="I31" s="12"/>
      <c r="J31" s="119">
        <f t="shared" si="1"/>
        <v>21471</v>
      </c>
      <c r="K31" s="83">
        <f t="shared" si="0"/>
        <v>472.36199999999997</v>
      </c>
    </row>
    <row r="32" spans="1:11" x14ac:dyDescent="0.25">
      <c r="A32" s="12" t="s">
        <v>21</v>
      </c>
      <c r="B32" s="81" t="s">
        <v>960</v>
      </c>
      <c r="C32" s="73"/>
      <c r="D32" s="12">
        <v>114</v>
      </c>
      <c r="E32" s="12"/>
      <c r="F32" s="81"/>
      <c r="G32" s="107"/>
      <c r="H32" s="131">
        <v>366</v>
      </c>
      <c r="I32" s="12"/>
      <c r="J32" s="119">
        <f t="shared" si="1"/>
        <v>21219</v>
      </c>
      <c r="K32" s="83">
        <f t="shared" si="0"/>
        <v>466.81799999999998</v>
      </c>
    </row>
    <row r="33" spans="1:12" x14ac:dyDescent="0.25">
      <c r="A33" s="12" t="s">
        <v>22</v>
      </c>
      <c r="B33" s="81"/>
      <c r="C33" s="96"/>
      <c r="D33" s="12"/>
      <c r="E33" s="12"/>
      <c r="F33" s="81"/>
      <c r="G33" s="12"/>
      <c r="H33" s="127"/>
      <c r="I33" s="12"/>
      <c r="J33" s="119">
        <f>J32+D33+E33-H33-I33</f>
        <v>21219</v>
      </c>
      <c r="K33" s="83">
        <f t="shared" si="0"/>
        <v>466.81799999999998</v>
      </c>
    </row>
    <row r="34" spans="1:12" x14ac:dyDescent="0.25">
      <c r="A34" s="12" t="s">
        <v>23</v>
      </c>
      <c r="B34" s="81"/>
      <c r="C34" s="81"/>
      <c r="D34" s="12"/>
      <c r="E34" s="12"/>
      <c r="F34" s="81"/>
      <c r="G34" s="12"/>
      <c r="H34" s="127"/>
      <c r="I34" s="12"/>
      <c r="J34" s="119">
        <f>J33+D34+E34-H34-I34</f>
        <v>21219</v>
      </c>
      <c r="K34" s="83">
        <f t="shared" si="0"/>
        <v>466.81799999999998</v>
      </c>
    </row>
    <row r="35" spans="1:12" x14ac:dyDescent="0.25">
      <c r="A35" s="12" t="s">
        <v>24</v>
      </c>
      <c r="B35" s="81" t="s">
        <v>961</v>
      </c>
      <c r="C35" s="96"/>
      <c r="D35" s="12">
        <v>935</v>
      </c>
      <c r="E35" s="12"/>
      <c r="F35" s="81"/>
      <c r="G35" s="12"/>
      <c r="H35" s="127"/>
      <c r="I35" s="12"/>
      <c r="J35" s="119">
        <f t="shared" si="1"/>
        <v>22154</v>
      </c>
      <c r="K35" s="83">
        <f t="shared" si="0"/>
        <v>487.38799999999998</v>
      </c>
    </row>
    <row r="36" spans="1:12" ht="13.5" customHeight="1" x14ac:dyDescent="0.25">
      <c r="A36" s="12" t="s">
        <v>25</v>
      </c>
      <c r="B36" s="81" t="s">
        <v>962</v>
      </c>
      <c r="C36" s="81"/>
      <c r="D36" s="12">
        <v>1197</v>
      </c>
      <c r="E36" s="12"/>
      <c r="F36" s="12"/>
      <c r="G36" s="12"/>
      <c r="H36" s="127"/>
      <c r="I36" s="108"/>
      <c r="J36" s="119">
        <f t="shared" si="1"/>
        <v>23351</v>
      </c>
      <c r="K36" s="83">
        <f t="shared" si="0"/>
        <v>513.72199999999998</v>
      </c>
    </row>
    <row r="37" spans="1:12" x14ac:dyDescent="0.25">
      <c r="A37" s="12" t="s">
        <v>26</v>
      </c>
      <c r="B37" s="81"/>
      <c r="C37" s="100"/>
      <c r="D37" s="12"/>
      <c r="E37" s="12"/>
      <c r="F37" s="12"/>
      <c r="G37" s="12"/>
      <c r="H37" s="131">
        <v>1100</v>
      </c>
      <c r="I37" s="12"/>
      <c r="J37" s="119">
        <f t="shared" si="1"/>
        <v>22251</v>
      </c>
      <c r="K37" s="83">
        <f t="shared" si="0"/>
        <v>489.52199999999999</v>
      </c>
    </row>
    <row r="38" spans="1:12" x14ac:dyDescent="0.25">
      <c r="A38" s="12" t="s">
        <v>27</v>
      </c>
      <c r="C38"/>
      <c r="D38" s="12"/>
      <c r="E38" s="12"/>
      <c r="F38" s="12"/>
      <c r="G38" s="12"/>
      <c r="H38" s="131">
        <v>1168</v>
      </c>
      <c r="I38" s="12"/>
      <c r="J38" s="119">
        <f t="shared" si="1"/>
        <v>21083</v>
      </c>
      <c r="K38" s="83">
        <f t="shared" si="0"/>
        <v>463.82599999999996</v>
      </c>
    </row>
    <row r="39" spans="1:12" x14ac:dyDescent="0.25">
      <c r="A39" s="12" t="s">
        <v>28</v>
      </c>
      <c r="B39" s="81" t="s">
        <v>964</v>
      </c>
      <c r="C39" s="81" t="s">
        <v>963</v>
      </c>
      <c r="D39" s="12">
        <f>818+149</f>
        <v>967</v>
      </c>
      <c r="E39" s="12"/>
      <c r="F39" s="81"/>
      <c r="G39" s="12"/>
      <c r="H39" s="131">
        <v>458</v>
      </c>
      <c r="I39" s="12"/>
      <c r="J39" s="119">
        <f t="shared" si="1"/>
        <v>21592</v>
      </c>
      <c r="K39" s="83">
        <f t="shared" si="0"/>
        <v>475.02399999999994</v>
      </c>
    </row>
    <row r="40" spans="1:12" x14ac:dyDescent="0.25">
      <c r="A40" s="12" t="s">
        <v>29</v>
      </c>
      <c r="C40" s="96"/>
      <c r="D40" s="12"/>
      <c r="E40" s="12"/>
      <c r="F40" s="81"/>
      <c r="G40" s="12"/>
      <c r="H40" s="127"/>
      <c r="I40" s="12"/>
      <c r="J40" s="119">
        <f t="shared" si="1"/>
        <v>21592</v>
      </c>
      <c r="K40" s="83">
        <f t="shared" si="0"/>
        <v>475.02399999999994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7"/>
      <c r="I41" s="12"/>
      <c r="J41" s="119">
        <f t="shared" si="1"/>
        <v>21592</v>
      </c>
      <c r="K41" s="83">
        <f t="shared" si="0"/>
        <v>475.02399999999994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7675</v>
      </c>
      <c r="E42" s="121">
        <f>SUM(E11:E41)</f>
        <v>0</v>
      </c>
      <c r="F42" s="120">
        <v>0</v>
      </c>
      <c r="G42" s="120"/>
      <c r="H42" s="121">
        <f>SUM(H10:H41)</f>
        <v>10101</v>
      </c>
      <c r="I42" s="121">
        <f>SUM(I11:I41)</f>
        <v>0</v>
      </c>
      <c r="J42" s="69">
        <f>AVERAGE(J11:J41)</f>
        <v>23120.612903225807</v>
      </c>
      <c r="K42" s="32">
        <f>SUM(K11:K41)</f>
        <v>15768.258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7675</v>
      </c>
      <c r="I45" s="59">
        <v>0.31</v>
      </c>
      <c r="J45" s="48">
        <f>H45*I45</f>
        <v>2379.25</v>
      </c>
      <c r="K45" s="50">
        <f>kurs*J45</f>
        <v>278773.15362499998</v>
      </c>
    </row>
    <row r="46" spans="1:12" x14ac:dyDescent="0.25">
      <c r="E46" s="42" t="s">
        <v>54</v>
      </c>
      <c r="F46" s="43"/>
      <c r="G46" s="43"/>
      <c r="H46" s="44">
        <f>H42+I42</f>
        <v>10101</v>
      </c>
      <c r="I46" s="59">
        <v>0.22</v>
      </c>
      <c r="J46" s="48">
        <f>H46*I46</f>
        <v>2222.2199999999998</v>
      </c>
      <c r="K46" s="50">
        <f t="shared" ref="K46" si="2">kurs*J46</f>
        <v>260374.18406999996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7</v>
      </c>
      <c r="I48" s="59">
        <v>1.65</v>
      </c>
      <c r="J48" s="48">
        <f t="shared" si="3"/>
        <v>11.549999999999999</v>
      </c>
      <c r="K48" s="50">
        <f t="shared" ref="K48:K49" si="5">kurs*J48</f>
        <v>1353.2961749999997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10943</v>
      </c>
      <c r="I51" s="60">
        <v>0.12</v>
      </c>
      <c r="J51" s="48">
        <f t="shared" si="3"/>
        <v>1313.1599999999999</v>
      </c>
      <c r="K51" s="50">
        <f>kurs*J51</f>
        <v>153860.98745999997</v>
      </c>
    </row>
    <row r="52" spans="3:12" x14ac:dyDescent="0.25">
      <c r="E52" s="45" t="s">
        <v>629</v>
      </c>
      <c r="F52" s="46"/>
      <c r="G52" s="46"/>
      <c r="H52" s="47">
        <v>1381</v>
      </c>
      <c r="I52" s="60">
        <v>0.08</v>
      </c>
      <c r="J52" s="48">
        <f t="shared" si="3"/>
        <v>110.48</v>
      </c>
      <c r="K52" s="50">
        <f>kurs*J52</f>
        <v>12944.775879999999</v>
      </c>
    </row>
    <row r="53" spans="3:12" x14ac:dyDescent="0.25">
      <c r="E53" s="45" t="s">
        <v>829</v>
      </c>
      <c r="F53" s="46"/>
      <c r="G53" s="46"/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15768.258</v>
      </c>
      <c r="K55" s="50">
        <f>kurs*J55</f>
        <v>1847543.137473</v>
      </c>
      <c r="L55" s="61"/>
    </row>
    <row r="56" spans="3:12" x14ac:dyDescent="0.25">
      <c r="E56" s="22"/>
      <c r="I56" t="s">
        <v>56</v>
      </c>
      <c r="J56" s="52">
        <f>SUM(J45:J55)</f>
        <v>21804.917999999998</v>
      </c>
      <c r="K56" s="51">
        <f>SUM(K45:K55)</f>
        <v>2554849.5346829998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51A0-0DA3-4CF1-ABD1-D3F1EF829B7C}">
  <dimension ref="A1:L61"/>
  <sheetViews>
    <sheetView view="pageBreakPreview" topLeftCell="A10" zoomScaleNormal="100" zoomScaleSheetLayoutView="100" workbookViewId="0">
      <selection activeCell="C50" sqref="C50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940</v>
      </c>
      <c r="H3" s="4"/>
      <c r="I3" s="4"/>
    </row>
    <row r="4" spans="1:11" x14ac:dyDescent="0.25">
      <c r="B4" s="2"/>
      <c r="C4" s="6"/>
      <c r="F4" s="3" t="s">
        <v>941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117.16970000000001</v>
      </c>
      <c r="F6" t="s">
        <v>42</v>
      </c>
      <c r="G6" s="102">
        <v>2507016272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28660</v>
      </c>
      <c r="E10" s="9"/>
      <c r="F10" s="7"/>
      <c r="G10" s="8"/>
      <c r="H10" s="129"/>
      <c r="I10" s="70"/>
      <c r="J10" s="38"/>
      <c r="K10" s="40"/>
    </row>
    <row r="11" spans="1:11" ht="13.5" customHeight="1" x14ac:dyDescent="0.25">
      <c r="A11" s="96" t="s">
        <v>0</v>
      </c>
      <c r="B11" t="s">
        <v>942</v>
      </c>
      <c r="C11" s="96"/>
      <c r="D11" s="12">
        <v>2</v>
      </c>
      <c r="E11" s="56"/>
      <c r="F11" s="12"/>
      <c r="G11" s="12"/>
      <c r="H11" s="129"/>
      <c r="I11" s="56"/>
      <c r="J11" s="119">
        <f>D10+D11+E11-H11-I11</f>
        <v>28662</v>
      </c>
      <c r="K11" s="83">
        <f>0.022*J11</f>
        <v>630.56399999999996</v>
      </c>
    </row>
    <row r="12" spans="1:11" ht="14.25" customHeight="1" x14ac:dyDescent="0.25">
      <c r="A12" s="12" t="s">
        <v>1</v>
      </c>
      <c r="B12" s="88"/>
      <c r="C12" s="91"/>
      <c r="D12" s="12"/>
      <c r="E12" s="12"/>
      <c r="F12" s="12"/>
      <c r="G12" s="12"/>
      <c r="H12" s="129" t="s">
        <v>951</v>
      </c>
      <c r="I12" s="56"/>
      <c r="J12" s="119">
        <f>J11+D12+E12-H12-I12</f>
        <v>27623</v>
      </c>
      <c r="K12" s="83">
        <f t="shared" ref="K12:K41" si="0">0.022*J12</f>
        <v>607.70600000000002</v>
      </c>
    </row>
    <row r="13" spans="1:11" ht="13.5" customHeight="1" x14ac:dyDescent="0.3">
      <c r="A13" s="12" t="s">
        <v>2</v>
      </c>
      <c r="B13" s="88"/>
      <c r="C13" s="102"/>
      <c r="D13" s="56"/>
      <c r="E13" s="56"/>
      <c r="F13" s="12"/>
      <c r="G13" s="12"/>
      <c r="H13" s="129" t="s">
        <v>952</v>
      </c>
      <c r="I13" s="56"/>
      <c r="J13" s="119">
        <f t="shared" ref="J13:J41" si="1">J12+D13+E13-H13-I13</f>
        <v>26729</v>
      </c>
      <c r="K13" s="83">
        <f t="shared" si="0"/>
        <v>588.03800000000001</v>
      </c>
    </row>
    <row r="14" spans="1:11" ht="14.4" x14ac:dyDescent="0.3">
      <c r="A14" s="12" t="s">
        <v>3</v>
      </c>
      <c r="B14" s="81"/>
      <c r="C14" s="102"/>
      <c r="D14" s="12"/>
      <c r="E14" s="12"/>
      <c r="F14" s="12"/>
      <c r="G14" s="12"/>
      <c r="H14" s="129" t="s">
        <v>953</v>
      </c>
      <c r="I14" s="56"/>
      <c r="J14" s="119">
        <f>J13+D14+E14-H14-I14</f>
        <v>26284</v>
      </c>
      <c r="K14" s="83">
        <f t="shared" si="0"/>
        <v>578.24799999999993</v>
      </c>
    </row>
    <row r="15" spans="1:11" ht="14.4" x14ac:dyDescent="0.3">
      <c r="A15" s="12" t="s">
        <v>4</v>
      </c>
      <c r="B15" s="102"/>
      <c r="C15" s="109"/>
      <c r="D15" s="12"/>
      <c r="E15" s="12"/>
      <c r="F15" s="12"/>
      <c r="G15" s="12"/>
      <c r="H15" s="129"/>
      <c r="I15" s="56"/>
      <c r="J15" s="119">
        <f t="shared" si="1"/>
        <v>26284</v>
      </c>
      <c r="K15" s="83">
        <f t="shared" si="0"/>
        <v>578.24799999999993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29"/>
      <c r="I16" s="56"/>
      <c r="J16" s="119">
        <f t="shared" si="1"/>
        <v>26284</v>
      </c>
      <c r="K16" s="83">
        <f t="shared" si="0"/>
        <v>578.24799999999993</v>
      </c>
    </row>
    <row r="17" spans="1:11" x14ac:dyDescent="0.25">
      <c r="A17" s="12" t="s">
        <v>6</v>
      </c>
      <c r="B17" s="116"/>
      <c r="C17" s="81"/>
      <c r="D17" s="12"/>
      <c r="E17" s="12"/>
      <c r="F17" s="81"/>
      <c r="G17" s="12"/>
      <c r="H17" s="129"/>
      <c r="I17" s="12"/>
      <c r="J17" s="119">
        <f>J16+D17+E17-H17-I17</f>
        <v>26284</v>
      </c>
      <c r="K17" s="83">
        <f t="shared" si="0"/>
        <v>578.24799999999993</v>
      </c>
    </row>
    <row r="18" spans="1:11" x14ac:dyDescent="0.25">
      <c r="A18" s="12" t="s">
        <v>7</v>
      </c>
      <c r="B18" s="88"/>
      <c r="C18" s="73"/>
      <c r="D18" s="12"/>
      <c r="E18" s="12"/>
      <c r="F18" s="12"/>
      <c r="G18" s="12"/>
      <c r="H18" s="129"/>
      <c r="I18" s="12"/>
      <c r="J18" s="119">
        <f>J17+D18+E18-H18-I18</f>
        <v>26284</v>
      </c>
      <c r="K18" s="83">
        <f t="shared" si="0"/>
        <v>578.24799999999993</v>
      </c>
    </row>
    <row r="19" spans="1:11" ht="13.5" customHeight="1" x14ac:dyDescent="0.25">
      <c r="A19" s="12" t="s">
        <v>8</v>
      </c>
      <c r="B19" s="81"/>
      <c r="C19" s="81"/>
      <c r="D19" s="12"/>
      <c r="E19" s="12"/>
      <c r="F19" s="81"/>
      <c r="G19" s="12"/>
      <c r="H19" s="129"/>
      <c r="I19" s="12"/>
      <c r="J19" s="119">
        <f t="shared" si="1"/>
        <v>26284</v>
      </c>
      <c r="K19" s="83">
        <f t="shared" si="0"/>
        <v>578.24799999999993</v>
      </c>
    </row>
    <row r="20" spans="1:11" ht="14.4" x14ac:dyDescent="0.3">
      <c r="A20" s="12" t="s">
        <v>9</v>
      </c>
      <c r="B20" s="88"/>
      <c r="C20" s="102"/>
      <c r="D20" s="12"/>
      <c r="E20" s="12"/>
      <c r="F20" s="81"/>
      <c r="G20" s="12"/>
      <c r="H20" s="130">
        <v>703</v>
      </c>
      <c r="I20" s="12"/>
      <c r="J20" s="119">
        <f t="shared" si="1"/>
        <v>25581</v>
      </c>
      <c r="K20" s="83">
        <f t="shared" si="0"/>
        <v>562.78199999999993</v>
      </c>
    </row>
    <row r="21" spans="1:11" ht="14.4" x14ac:dyDescent="0.3">
      <c r="A21" s="12" t="s">
        <v>10</v>
      </c>
      <c r="B21" s="102"/>
      <c r="C21" s="102"/>
      <c r="D21" s="12"/>
      <c r="E21" s="12"/>
      <c r="F21" s="81"/>
      <c r="G21" s="12"/>
      <c r="H21" s="130">
        <v>590</v>
      </c>
      <c r="I21" s="12"/>
      <c r="J21" s="119">
        <f t="shared" si="1"/>
        <v>24991</v>
      </c>
      <c r="K21" s="83">
        <f t="shared" si="0"/>
        <v>549.80200000000002</v>
      </c>
    </row>
    <row r="22" spans="1:11" ht="14.4" x14ac:dyDescent="0.3">
      <c r="A22" s="12" t="s">
        <v>11</v>
      </c>
      <c r="C22" s="109"/>
      <c r="D22" s="12"/>
      <c r="E22" s="12"/>
      <c r="F22" s="81"/>
      <c r="G22" s="12"/>
      <c r="H22" s="130"/>
      <c r="I22" s="12"/>
      <c r="J22" s="119">
        <f t="shared" si="1"/>
        <v>24991</v>
      </c>
      <c r="K22" s="83">
        <f t="shared" si="0"/>
        <v>549.80200000000002</v>
      </c>
    </row>
    <row r="23" spans="1:11" ht="14.4" x14ac:dyDescent="0.3">
      <c r="A23" s="12" t="s">
        <v>12</v>
      </c>
      <c r="B23" s="81"/>
      <c r="C23" s="103"/>
      <c r="D23" s="12"/>
      <c r="E23" s="12"/>
      <c r="F23" s="81"/>
      <c r="G23" s="81"/>
      <c r="H23" s="130"/>
      <c r="I23" s="12"/>
      <c r="J23" s="119">
        <f>J22+D23+E23-H23-I23</f>
        <v>24991</v>
      </c>
      <c r="K23" s="83">
        <f t="shared" si="0"/>
        <v>549.80200000000002</v>
      </c>
    </row>
    <row r="24" spans="1:11" ht="14.4" x14ac:dyDescent="0.3">
      <c r="A24" s="12" t="s">
        <v>13</v>
      </c>
      <c r="B24" s="72" t="s">
        <v>943</v>
      </c>
      <c r="C24" s="128" t="s">
        <v>944</v>
      </c>
      <c r="D24" s="12">
        <v>2174</v>
      </c>
      <c r="E24" s="12"/>
      <c r="F24" s="81"/>
      <c r="G24" s="12"/>
      <c r="H24" s="130"/>
      <c r="I24" s="12"/>
      <c r="J24" s="119">
        <f t="shared" si="1"/>
        <v>27165</v>
      </c>
      <c r="K24" s="83">
        <f t="shared" si="0"/>
        <v>597.63</v>
      </c>
    </row>
    <row r="25" spans="1:11" ht="14.4" x14ac:dyDescent="0.3">
      <c r="A25" s="12" t="s">
        <v>14</v>
      </c>
      <c r="B25" t="s">
        <v>945</v>
      </c>
      <c r="C25" t="s">
        <v>946</v>
      </c>
      <c r="D25" s="12">
        <v>1144</v>
      </c>
      <c r="E25" s="12"/>
      <c r="F25" s="81"/>
      <c r="G25" s="12"/>
      <c r="H25" s="130"/>
      <c r="I25" s="12"/>
      <c r="J25" s="119">
        <f t="shared" si="1"/>
        <v>28309</v>
      </c>
      <c r="K25" s="83">
        <f t="shared" si="0"/>
        <v>622.798</v>
      </c>
    </row>
    <row r="26" spans="1:11" ht="13.5" customHeight="1" x14ac:dyDescent="0.3">
      <c r="A26" s="12" t="s">
        <v>15</v>
      </c>
      <c r="B26" s="88"/>
      <c r="C26" s="111"/>
      <c r="D26" s="12"/>
      <c r="E26" s="12"/>
      <c r="F26" s="81"/>
      <c r="G26" s="12"/>
      <c r="H26" s="130"/>
      <c r="I26" s="12"/>
      <c r="J26" s="119">
        <f t="shared" si="1"/>
        <v>28309</v>
      </c>
      <c r="K26" s="83">
        <f t="shared" si="0"/>
        <v>622.798</v>
      </c>
    </row>
    <row r="27" spans="1:11" ht="14.4" x14ac:dyDescent="0.3">
      <c r="A27" s="12" t="s">
        <v>16</v>
      </c>
      <c r="B27" s="102"/>
      <c r="C27" s="103"/>
      <c r="D27" s="12"/>
      <c r="E27" s="12"/>
      <c r="F27" s="81"/>
      <c r="G27" s="12"/>
      <c r="H27" s="130"/>
      <c r="I27" s="12"/>
      <c r="J27" s="119">
        <f t="shared" si="1"/>
        <v>28309</v>
      </c>
      <c r="K27" s="83">
        <f t="shared" si="0"/>
        <v>622.798</v>
      </c>
    </row>
    <row r="28" spans="1:11" ht="14.4" x14ac:dyDescent="0.3">
      <c r="A28" s="12" t="s">
        <v>17</v>
      </c>
      <c r="C28"/>
      <c r="D28" s="12"/>
      <c r="E28" s="12"/>
      <c r="F28" s="81"/>
      <c r="G28" s="12"/>
      <c r="H28" s="130">
        <v>1596</v>
      </c>
      <c r="I28" s="12"/>
      <c r="J28" s="119">
        <f t="shared" si="1"/>
        <v>26713</v>
      </c>
      <c r="K28" s="83">
        <f t="shared" si="0"/>
        <v>587.68599999999992</v>
      </c>
    </row>
    <row r="29" spans="1:11" ht="14.4" x14ac:dyDescent="0.3">
      <c r="A29" s="12" t="s">
        <v>18</v>
      </c>
      <c r="B29" s="102"/>
      <c r="C29" s="123"/>
      <c r="D29" s="12"/>
      <c r="E29" s="12"/>
      <c r="F29" s="81"/>
      <c r="G29" s="12"/>
      <c r="H29" s="130">
        <v>1130</v>
      </c>
      <c r="I29" s="12"/>
      <c r="J29" s="119">
        <f t="shared" si="1"/>
        <v>25583</v>
      </c>
      <c r="K29" s="83">
        <f t="shared" si="0"/>
        <v>562.82600000000002</v>
      </c>
    </row>
    <row r="30" spans="1:11" ht="14.4" x14ac:dyDescent="0.3">
      <c r="A30" s="12" t="s">
        <v>19</v>
      </c>
      <c r="B30" s="81"/>
      <c r="C30" s="81"/>
      <c r="D30" s="12"/>
      <c r="E30" s="12"/>
      <c r="F30" s="81"/>
      <c r="G30" s="111"/>
      <c r="H30" s="130"/>
      <c r="I30" s="12"/>
      <c r="J30" s="119">
        <f>J29+D30+E30-H30-I30</f>
        <v>25583</v>
      </c>
      <c r="K30" s="83">
        <f t="shared" si="0"/>
        <v>562.82600000000002</v>
      </c>
    </row>
    <row r="31" spans="1:11" ht="14.4" x14ac:dyDescent="0.3">
      <c r="A31" s="12" t="s">
        <v>20</v>
      </c>
      <c r="B31" t="s">
        <v>947</v>
      </c>
      <c r="C31" s="100"/>
      <c r="D31" s="12">
        <v>1056</v>
      </c>
      <c r="E31" s="106"/>
      <c r="F31" s="81"/>
      <c r="G31" s="12"/>
      <c r="H31" s="130">
        <v>2131</v>
      </c>
      <c r="I31" s="12"/>
      <c r="J31" s="119">
        <f t="shared" si="1"/>
        <v>24508</v>
      </c>
      <c r="K31" s="83">
        <f t="shared" si="0"/>
        <v>539.17599999999993</v>
      </c>
    </row>
    <row r="32" spans="1:11" ht="14.4" x14ac:dyDescent="0.3">
      <c r="A32" s="12" t="s">
        <v>21</v>
      </c>
      <c r="B32" s="81"/>
      <c r="C32" s="73"/>
      <c r="D32" s="12"/>
      <c r="E32" s="12"/>
      <c r="F32" s="81"/>
      <c r="G32" s="107"/>
      <c r="H32" s="130"/>
      <c r="I32" s="12"/>
      <c r="J32" s="119">
        <f t="shared" si="1"/>
        <v>24508</v>
      </c>
      <c r="K32" s="83">
        <f t="shared" si="0"/>
        <v>539.17599999999993</v>
      </c>
    </row>
    <row r="33" spans="1:12" ht="14.4" x14ac:dyDescent="0.3">
      <c r="A33" s="12" t="s">
        <v>22</v>
      </c>
      <c r="B33" s="81"/>
      <c r="C33" s="96"/>
      <c r="D33" s="12"/>
      <c r="E33" s="12"/>
      <c r="F33" s="81"/>
      <c r="G33" s="12"/>
      <c r="H33" s="130"/>
      <c r="I33" s="12"/>
      <c r="J33" s="119">
        <f>J32+D33+E33-H33-I33</f>
        <v>24508</v>
      </c>
      <c r="K33" s="83">
        <f t="shared" si="0"/>
        <v>539.17599999999993</v>
      </c>
    </row>
    <row r="34" spans="1:12" ht="14.4" x14ac:dyDescent="0.3">
      <c r="A34" s="12" t="s">
        <v>23</v>
      </c>
      <c r="B34" s="81"/>
      <c r="C34" s="81"/>
      <c r="D34" s="12"/>
      <c r="E34" s="12"/>
      <c r="F34" s="81"/>
      <c r="G34" s="12"/>
      <c r="H34" s="130"/>
      <c r="I34" s="12"/>
      <c r="J34" s="119">
        <f>J33+D34+E34-H34-I34</f>
        <v>24508</v>
      </c>
      <c r="K34" s="83">
        <f t="shared" si="0"/>
        <v>539.17599999999993</v>
      </c>
    </row>
    <row r="35" spans="1:12" ht="14.4" x14ac:dyDescent="0.3">
      <c r="A35" s="12" t="s">
        <v>24</v>
      </c>
      <c r="B35" s="88"/>
      <c r="C35" s="96"/>
      <c r="D35" s="12"/>
      <c r="E35" s="12"/>
      <c r="F35" s="81"/>
      <c r="G35" s="12"/>
      <c r="H35" s="130"/>
      <c r="I35" s="12"/>
      <c r="J35" s="119">
        <f t="shared" si="1"/>
        <v>24508</v>
      </c>
      <c r="K35" s="83">
        <f t="shared" si="0"/>
        <v>539.17599999999993</v>
      </c>
    </row>
    <row r="36" spans="1:12" ht="13.5" customHeight="1" x14ac:dyDescent="0.3">
      <c r="A36" s="12" t="s">
        <v>25</v>
      </c>
      <c r="B36" s="81"/>
      <c r="C36" s="81"/>
      <c r="D36" s="12"/>
      <c r="E36" s="12"/>
      <c r="F36" s="12"/>
      <c r="G36" s="12"/>
      <c r="H36" s="130"/>
      <c r="I36" s="108"/>
      <c r="J36" s="119">
        <f t="shared" si="1"/>
        <v>24508</v>
      </c>
      <c r="K36" s="83">
        <f t="shared" si="0"/>
        <v>539.17599999999993</v>
      </c>
    </row>
    <row r="37" spans="1:12" ht="14.4" x14ac:dyDescent="0.3">
      <c r="A37" s="12" t="s">
        <v>26</v>
      </c>
      <c r="B37" s="81"/>
      <c r="C37" s="100"/>
      <c r="D37" s="12"/>
      <c r="E37" s="12"/>
      <c r="F37" s="12"/>
      <c r="G37" s="12"/>
      <c r="H37" s="130"/>
      <c r="I37" s="12"/>
      <c r="J37" s="119">
        <f t="shared" si="1"/>
        <v>24508</v>
      </c>
      <c r="K37" s="83">
        <f t="shared" si="0"/>
        <v>539.17599999999993</v>
      </c>
    </row>
    <row r="38" spans="1:12" ht="14.4" x14ac:dyDescent="0.3">
      <c r="A38" s="12" t="s">
        <v>27</v>
      </c>
      <c r="B38" t="s">
        <v>948</v>
      </c>
      <c r="C38" t="s">
        <v>949</v>
      </c>
      <c r="D38" s="12">
        <v>1028</v>
      </c>
      <c r="E38" s="12"/>
      <c r="F38" s="12"/>
      <c r="G38" s="12"/>
      <c r="H38" s="130"/>
      <c r="I38" s="12"/>
      <c r="J38" s="119">
        <f t="shared" si="1"/>
        <v>25536</v>
      </c>
      <c r="K38" s="83">
        <f t="shared" si="0"/>
        <v>561.79199999999992</v>
      </c>
    </row>
    <row r="39" spans="1:12" x14ac:dyDescent="0.25">
      <c r="A39" s="12" t="s">
        <v>28</v>
      </c>
      <c r="B39" s="88"/>
      <c r="C39" s="81"/>
      <c r="D39" s="12"/>
      <c r="E39" s="12"/>
      <c r="F39" s="81"/>
      <c r="G39" s="12"/>
      <c r="H39" s="103"/>
      <c r="I39" s="12"/>
      <c r="J39" s="119">
        <f t="shared" si="1"/>
        <v>25536</v>
      </c>
      <c r="K39" s="83">
        <f t="shared" si="0"/>
        <v>561.79199999999992</v>
      </c>
    </row>
    <row r="40" spans="1:12" x14ac:dyDescent="0.25">
      <c r="A40" s="12" t="s">
        <v>29</v>
      </c>
      <c r="B40" t="s">
        <v>950</v>
      </c>
      <c r="C40" s="96"/>
      <c r="D40" s="12">
        <v>989</v>
      </c>
      <c r="E40" s="12"/>
      <c r="F40" s="81"/>
      <c r="G40" s="12"/>
      <c r="H40" s="103">
        <v>1771</v>
      </c>
      <c r="I40" s="12"/>
      <c r="J40" s="119">
        <f t="shared" si="1"/>
        <v>24754</v>
      </c>
      <c r="K40" s="83">
        <f t="shared" si="0"/>
        <v>544.58799999999997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03">
        <v>736</v>
      </c>
      <c r="I41" s="12"/>
      <c r="J41" s="119">
        <f t="shared" si="1"/>
        <v>24018</v>
      </c>
      <c r="K41" s="83">
        <f t="shared" si="0"/>
        <v>528.39599999999996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6393</v>
      </c>
      <c r="E42" s="121">
        <f>SUM(E11:E41)</f>
        <v>0</v>
      </c>
      <c r="F42" s="120">
        <v>0</v>
      </c>
      <c r="G42" s="120"/>
      <c r="H42" s="121">
        <f>SUM(H11:H41)</f>
        <v>8657</v>
      </c>
      <c r="I42" s="121">
        <f>SUM(I11:I41)</f>
        <v>0</v>
      </c>
      <c r="J42" s="69">
        <f>AVERAGE(J11:J41)</f>
        <v>25891.709677419356</v>
      </c>
      <c r="K42" s="32">
        <f>SUM(K11:K41)</f>
        <v>17658.145999999997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6393</v>
      </c>
      <c r="I45" s="59">
        <v>0.31</v>
      </c>
      <c r="J45" s="48">
        <f>H45*I45</f>
        <v>1981.83</v>
      </c>
      <c r="K45" s="50">
        <f>kurs*J45</f>
        <v>232210.42655100001</v>
      </c>
    </row>
    <row r="46" spans="1:12" x14ac:dyDescent="0.25">
      <c r="E46" s="42" t="s">
        <v>54</v>
      </c>
      <c r="F46" s="43"/>
      <c r="G46" s="43"/>
      <c r="H46" s="44">
        <f>H42+I42</f>
        <v>8657</v>
      </c>
      <c r="I46" s="59">
        <v>0.22</v>
      </c>
      <c r="J46" s="48">
        <f>H46*I46</f>
        <v>1904.54</v>
      </c>
      <c r="K46" s="50">
        <f t="shared" ref="K46" si="2">kurs*J46</f>
        <v>223154.38043799999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829</v>
      </c>
      <c r="F53" s="46"/>
      <c r="G53" s="46"/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17658.145999999997</v>
      </c>
      <c r="K55" s="50">
        <f>kurs*J55</f>
        <v>2068999.6693761998</v>
      </c>
      <c r="L55" s="61"/>
    </row>
    <row r="56" spans="3:12" x14ac:dyDescent="0.25">
      <c r="E56" s="22"/>
      <c r="I56" t="s">
        <v>56</v>
      </c>
      <c r="J56" s="52">
        <f>SUM(J45:J55)</f>
        <v>21544.515999999996</v>
      </c>
      <c r="K56" s="51">
        <f>SUM(K45:K55)</f>
        <v>2524364.4763651998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4199-F9EF-40E2-A3C3-16CD51E70A32}">
  <dimension ref="A1:L61"/>
  <sheetViews>
    <sheetView view="pageBreakPreview" topLeftCell="A28" zoomScaleNormal="100" zoomScaleSheetLayoutView="100" workbookViewId="0">
      <selection activeCell="J42" sqref="J42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918</v>
      </c>
      <c r="H3" s="4"/>
      <c r="I3" s="4"/>
    </row>
    <row r="4" spans="1:11" x14ac:dyDescent="0.25">
      <c r="B4" s="2"/>
      <c r="C4" s="6"/>
      <c r="F4" s="3" t="s">
        <v>919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117.1807</v>
      </c>
      <c r="F6" t="s">
        <v>42</v>
      </c>
      <c r="G6" s="102">
        <v>2506013790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30977</v>
      </c>
      <c r="E10" s="9"/>
      <c r="F10" s="7"/>
      <c r="G10" s="8"/>
      <c r="H10" s="127"/>
      <c r="I10" s="70"/>
      <c r="J10" s="38"/>
      <c r="K10" s="40"/>
    </row>
    <row r="11" spans="1:11" ht="13.5" customHeight="1" x14ac:dyDescent="0.25">
      <c r="A11" s="96" t="s">
        <v>0</v>
      </c>
      <c r="B11" s="88"/>
      <c r="C11" s="96"/>
      <c r="D11" s="12"/>
      <c r="E11" s="56"/>
      <c r="F11" s="12"/>
      <c r="G11" s="12"/>
      <c r="H11" s="127"/>
      <c r="I11" s="56"/>
      <c r="J11" s="119">
        <f>D10+D11+E11-H11-I11</f>
        <v>30977</v>
      </c>
      <c r="K11" s="83">
        <f>0.022*J11</f>
        <v>681.49399999999991</v>
      </c>
    </row>
    <row r="12" spans="1:11" ht="14.25" customHeight="1" x14ac:dyDescent="0.25">
      <c r="A12" s="12" t="s">
        <v>1</v>
      </c>
      <c r="B12" s="88" t="s">
        <v>924</v>
      </c>
      <c r="C12" s="91" t="s">
        <v>925</v>
      </c>
      <c r="D12" s="12">
        <v>1777</v>
      </c>
      <c r="E12" s="12"/>
      <c r="F12" s="12"/>
      <c r="G12" s="12"/>
      <c r="H12" s="127" t="s">
        <v>933</v>
      </c>
      <c r="I12" s="56"/>
      <c r="J12" s="119">
        <f>J11+D12+E12-H12-I12</f>
        <v>32449</v>
      </c>
      <c r="K12" s="83">
        <f t="shared" ref="K12:K41" si="0">0.022*J12</f>
        <v>713.87799999999993</v>
      </c>
    </row>
    <row r="13" spans="1:11" ht="13.5" customHeight="1" x14ac:dyDescent="0.3">
      <c r="A13" s="12" t="s">
        <v>2</v>
      </c>
      <c r="B13" s="88"/>
      <c r="C13" s="102"/>
      <c r="D13" s="56"/>
      <c r="E13" s="56"/>
      <c r="F13" s="12"/>
      <c r="G13" s="12"/>
      <c r="H13" s="127" t="s">
        <v>934</v>
      </c>
      <c r="I13" s="56"/>
      <c r="J13" s="119">
        <f t="shared" ref="J13:J41" si="1">J12+D13+E13-H13-I13</f>
        <v>31800</v>
      </c>
      <c r="K13" s="83">
        <f t="shared" si="0"/>
        <v>699.59999999999991</v>
      </c>
    </row>
    <row r="14" spans="1:11" ht="14.4" x14ac:dyDescent="0.3">
      <c r="A14" s="12" t="s">
        <v>3</v>
      </c>
      <c r="B14" s="81" t="s">
        <v>926</v>
      </c>
      <c r="C14" s="102"/>
      <c r="D14" s="12">
        <v>5</v>
      </c>
      <c r="E14" s="12">
        <v>5</v>
      </c>
      <c r="F14" s="12"/>
      <c r="G14" s="12"/>
      <c r="H14" s="127" t="s">
        <v>920</v>
      </c>
      <c r="I14" s="56"/>
      <c r="J14" s="119">
        <f>J13+D14+E14-H14-I14</f>
        <v>30894</v>
      </c>
      <c r="K14" s="83">
        <f t="shared" si="0"/>
        <v>679.66800000000001</v>
      </c>
    </row>
    <row r="15" spans="1:11" ht="14.4" x14ac:dyDescent="0.3">
      <c r="A15" s="12" t="s">
        <v>4</v>
      </c>
      <c r="B15" s="102"/>
      <c r="C15" s="109"/>
      <c r="D15" s="12"/>
      <c r="E15" s="12"/>
      <c r="F15" s="12"/>
      <c r="G15" s="12"/>
      <c r="H15" s="127" t="s">
        <v>935</v>
      </c>
      <c r="I15" s="56"/>
      <c r="J15" s="119">
        <f t="shared" si="1"/>
        <v>30284</v>
      </c>
      <c r="K15" s="83">
        <f t="shared" si="0"/>
        <v>666.24799999999993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27" t="s">
        <v>936</v>
      </c>
      <c r="I16" s="56"/>
      <c r="J16" s="119">
        <f t="shared" si="1"/>
        <v>29097</v>
      </c>
      <c r="K16" s="83">
        <f t="shared" si="0"/>
        <v>640.13400000000001</v>
      </c>
    </row>
    <row r="17" spans="1:11" x14ac:dyDescent="0.25">
      <c r="A17" s="12" t="s">
        <v>6</v>
      </c>
      <c r="B17" s="116"/>
      <c r="C17" s="81"/>
      <c r="D17" s="12"/>
      <c r="E17" s="12"/>
      <c r="F17" s="81"/>
      <c r="G17" s="12"/>
      <c r="H17" s="127"/>
      <c r="I17" s="12"/>
      <c r="J17" s="119">
        <f>J16+D17+E17-H17-I17</f>
        <v>29097</v>
      </c>
      <c r="K17" s="83">
        <f t="shared" si="0"/>
        <v>640.13400000000001</v>
      </c>
    </row>
    <row r="18" spans="1:11" x14ac:dyDescent="0.25">
      <c r="A18" s="12" t="s">
        <v>7</v>
      </c>
      <c r="B18" s="88"/>
      <c r="C18" s="73"/>
      <c r="D18" s="12"/>
      <c r="E18" s="12"/>
      <c r="F18" s="12"/>
      <c r="G18" s="12"/>
      <c r="H18" s="127"/>
      <c r="I18" s="12"/>
      <c r="J18" s="119">
        <f>J17+D18+E18-H18-I18</f>
        <v>29097</v>
      </c>
      <c r="K18" s="83">
        <f t="shared" si="0"/>
        <v>640.13400000000001</v>
      </c>
    </row>
    <row r="19" spans="1:11" ht="13.5" customHeight="1" x14ac:dyDescent="0.25">
      <c r="A19" s="12" t="s">
        <v>8</v>
      </c>
      <c r="B19" s="81"/>
      <c r="C19" s="81"/>
      <c r="D19" s="12"/>
      <c r="E19" s="12"/>
      <c r="F19" s="81"/>
      <c r="G19" s="12"/>
      <c r="H19" s="127"/>
      <c r="I19" s="12"/>
      <c r="J19" s="119">
        <f t="shared" si="1"/>
        <v>29097</v>
      </c>
      <c r="K19" s="83">
        <f t="shared" si="0"/>
        <v>640.13400000000001</v>
      </c>
    </row>
    <row r="20" spans="1:11" ht="14.4" x14ac:dyDescent="0.3">
      <c r="A20" s="12" t="s">
        <v>9</v>
      </c>
      <c r="B20" s="88" t="s">
        <v>932</v>
      </c>
      <c r="C20" s="102"/>
      <c r="D20" s="12">
        <v>5</v>
      </c>
      <c r="E20" s="12"/>
      <c r="F20" s="81"/>
      <c r="G20" s="12"/>
      <c r="H20" s="127"/>
      <c r="I20" s="12"/>
      <c r="J20" s="119">
        <f t="shared" si="1"/>
        <v>29102</v>
      </c>
      <c r="K20" s="83">
        <f t="shared" si="0"/>
        <v>640.24399999999991</v>
      </c>
    </row>
    <row r="21" spans="1:11" ht="14.4" x14ac:dyDescent="0.3">
      <c r="A21" s="12" t="s">
        <v>10</v>
      </c>
      <c r="B21" s="102"/>
      <c r="C21" s="102"/>
      <c r="D21" s="12"/>
      <c r="E21" s="12"/>
      <c r="F21" s="81"/>
      <c r="G21" s="12"/>
      <c r="H21" s="127"/>
      <c r="I21" s="12"/>
      <c r="J21" s="119">
        <f t="shared" si="1"/>
        <v>29102</v>
      </c>
      <c r="K21" s="83">
        <f t="shared" si="0"/>
        <v>640.24399999999991</v>
      </c>
    </row>
    <row r="22" spans="1:11" x14ac:dyDescent="0.25">
      <c r="A22" s="12" t="s">
        <v>11</v>
      </c>
      <c r="C22" s="109"/>
      <c r="D22" s="12"/>
      <c r="E22" s="12"/>
      <c r="F22" s="81"/>
      <c r="G22" s="12"/>
      <c r="H22" s="127"/>
      <c r="I22" s="12"/>
      <c r="J22" s="119">
        <f t="shared" si="1"/>
        <v>29102</v>
      </c>
      <c r="K22" s="83">
        <f t="shared" si="0"/>
        <v>640.24399999999991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27"/>
      <c r="I23" s="12"/>
      <c r="J23" s="119">
        <f>J22+D23+E23-H23-I23</f>
        <v>29102</v>
      </c>
      <c r="K23" s="83">
        <f t="shared" si="0"/>
        <v>640.24399999999991</v>
      </c>
    </row>
    <row r="24" spans="1:11" x14ac:dyDescent="0.25">
      <c r="A24" s="12" t="s">
        <v>13</v>
      </c>
      <c r="B24" s="88"/>
      <c r="C24" s="88"/>
      <c r="D24" s="12"/>
      <c r="E24" s="12"/>
      <c r="F24" s="81"/>
      <c r="G24" s="12"/>
      <c r="H24" s="127"/>
      <c r="I24" s="12"/>
      <c r="J24" s="119">
        <f t="shared" si="1"/>
        <v>29102</v>
      </c>
      <c r="K24" s="83">
        <f t="shared" si="0"/>
        <v>640.24399999999991</v>
      </c>
    </row>
    <row r="25" spans="1:11" x14ac:dyDescent="0.25">
      <c r="A25" s="12" t="s">
        <v>14</v>
      </c>
      <c r="B25" s="81"/>
      <c r="C25" s="109"/>
      <c r="D25" s="12"/>
      <c r="E25" s="12"/>
      <c r="F25" s="81"/>
      <c r="G25" s="12"/>
      <c r="H25" s="127"/>
      <c r="I25" s="12"/>
      <c r="J25" s="119">
        <f t="shared" si="1"/>
        <v>29102</v>
      </c>
      <c r="K25" s="83">
        <f t="shared" si="0"/>
        <v>640.24399999999991</v>
      </c>
    </row>
    <row r="26" spans="1:11" ht="13.5" customHeight="1" x14ac:dyDescent="0.25">
      <c r="A26" s="12" t="s">
        <v>15</v>
      </c>
      <c r="B26" s="88"/>
      <c r="C26" s="111"/>
      <c r="D26" s="12"/>
      <c r="E26" s="12"/>
      <c r="F26" s="81"/>
      <c r="G26" s="12"/>
      <c r="H26" s="127" t="s">
        <v>939</v>
      </c>
      <c r="I26" s="12"/>
      <c r="J26" s="119">
        <f t="shared" si="1"/>
        <v>29092</v>
      </c>
      <c r="K26" s="83">
        <f t="shared" si="0"/>
        <v>640.024</v>
      </c>
    </row>
    <row r="27" spans="1:11" ht="14.4" x14ac:dyDescent="0.3">
      <c r="A27" s="12" t="s">
        <v>16</v>
      </c>
      <c r="B27" s="102"/>
      <c r="C27" s="103"/>
      <c r="D27" s="12"/>
      <c r="E27" s="12"/>
      <c r="F27" s="81"/>
      <c r="G27" s="12"/>
      <c r="H27" s="127" t="s">
        <v>937</v>
      </c>
      <c r="I27" s="12"/>
      <c r="J27" s="119">
        <f t="shared" si="1"/>
        <v>27796</v>
      </c>
      <c r="K27" s="83">
        <f t="shared" si="0"/>
        <v>611.51199999999994</v>
      </c>
    </row>
    <row r="28" spans="1:11" x14ac:dyDescent="0.25">
      <c r="A28" s="12" t="s">
        <v>17</v>
      </c>
      <c r="C28"/>
      <c r="D28" s="12"/>
      <c r="E28" s="12"/>
      <c r="F28" s="81"/>
      <c r="G28" s="12"/>
      <c r="H28" s="127" t="s">
        <v>938</v>
      </c>
      <c r="I28" s="12"/>
      <c r="J28" s="119">
        <f t="shared" si="1"/>
        <v>27282</v>
      </c>
      <c r="K28" s="83">
        <f t="shared" si="0"/>
        <v>600.20399999999995</v>
      </c>
    </row>
    <row r="29" spans="1:11" ht="14.4" x14ac:dyDescent="0.3">
      <c r="A29" s="12" t="s">
        <v>18</v>
      </c>
      <c r="B29" s="102"/>
      <c r="C29" s="123"/>
      <c r="D29" s="12"/>
      <c r="E29" s="12"/>
      <c r="F29" s="81"/>
      <c r="G29" s="12"/>
      <c r="H29" s="127" t="s">
        <v>921</v>
      </c>
      <c r="I29" s="12"/>
      <c r="J29" s="119">
        <f t="shared" si="1"/>
        <v>26350</v>
      </c>
      <c r="K29" s="83">
        <f t="shared" si="0"/>
        <v>579.69999999999993</v>
      </c>
    </row>
    <row r="30" spans="1:11" x14ac:dyDescent="0.25">
      <c r="A30" s="12" t="s">
        <v>19</v>
      </c>
      <c r="B30" s="81"/>
      <c r="C30" s="81"/>
      <c r="D30" s="12"/>
      <c r="E30" s="12"/>
      <c r="F30" s="81"/>
      <c r="G30" s="111"/>
      <c r="H30" s="127"/>
      <c r="I30" s="12"/>
      <c r="J30" s="119">
        <f>J29+D30+E30-H30-I30</f>
        <v>26350</v>
      </c>
      <c r="K30" s="83">
        <f t="shared" si="0"/>
        <v>579.69999999999993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7"/>
      <c r="I31" s="12"/>
      <c r="J31" s="119">
        <f t="shared" si="1"/>
        <v>26350</v>
      </c>
      <c r="K31" s="83">
        <f t="shared" si="0"/>
        <v>579.69999999999993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7"/>
      <c r="I32" s="12"/>
      <c r="J32" s="119">
        <f t="shared" si="1"/>
        <v>26350</v>
      </c>
      <c r="K32" s="83">
        <f t="shared" si="0"/>
        <v>579.69999999999993</v>
      </c>
    </row>
    <row r="33" spans="1:12" x14ac:dyDescent="0.25">
      <c r="A33" s="12" t="s">
        <v>22</v>
      </c>
      <c r="B33" s="81" t="s">
        <v>927</v>
      </c>
      <c r="C33" s="96"/>
      <c r="D33" s="12">
        <v>766</v>
      </c>
      <c r="E33" s="12"/>
      <c r="F33" s="81"/>
      <c r="G33" s="12"/>
      <c r="H33" s="127"/>
      <c r="I33" s="12"/>
      <c r="J33" s="119">
        <f>J32+D33+E33-H33-I33</f>
        <v>27116</v>
      </c>
      <c r="K33" s="83">
        <f t="shared" si="0"/>
        <v>596.55200000000002</v>
      </c>
    </row>
    <row r="34" spans="1:12" x14ac:dyDescent="0.25">
      <c r="A34" s="12" t="s">
        <v>23</v>
      </c>
      <c r="B34" s="81" t="s">
        <v>928</v>
      </c>
      <c r="C34" s="81" t="s">
        <v>929</v>
      </c>
      <c r="D34" s="12">
        <v>1235</v>
      </c>
      <c r="E34" s="12"/>
      <c r="F34" s="81"/>
      <c r="G34" s="12"/>
      <c r="H34" s="127"/>
      <c r="I34" s="12"/>
      <c r="J34" s="119">
        <f>J33+D34+E34-H34-I34</f>
        <v>28351</v>
      </c>
      <c r="K34" s="83">
        <f t="shared" si="0"/>
        <v>623.72199999999998</v>
      </c>
    </row>
    <row r="35" spans="1:12" x14ac:dyDescent="0.25">
      <c r="A35" s="12" t="s">
        <v>24</v>
      </c>
      <c r="B35" s="88"/>
      <c r="C35" s="96"/>
      <c r="D35" s="12"/>
      <c r="E35" s="12"/>
      <c r="F35" s="81"/>
      <c r="G35" s="12"/>
      <c r="H35" s="127" t="s">
        <v>922</v>
      </c>
      <c r="I35" s="12"/>
      <c r="J35" s="119">
        <f t="shared" si="1"/>
        <v>27865</v>
      </c>
      <c r="K35" s="83">
        <f t="shared" si="0"/>
        <v>613.03</v>
      </c>
    </row>
    <row r="36" spans="1:12" ht="13.5" customHeight="1" x14ac:dyDescent="0.25">
      <c r="A36" s="12" t="s">
        <v>25</v>
      </c>
      <c r="B36" s="81"/>
      <c r="C36" s="81"/>
      <c r="D36" s="12"/>
      <c r="E36" s="12"/>
      <c r="F36" s="12"/>
      <c r="G36" s="12"/>
      <c r="H36" s="127" t="s">
        <v>923</v>
      </c>
      <c r="I36" s="108"/>
      <c r="J36" s="119">
        <f t="shared" si="1"/>
        <v>27330</v>
      </c>
      <c r="K36" s="83">
        <f t="shared" si="0"/>
        <v>601.26</v>
      </c>
    </row>
    <row r="37" spans="1:12" x14ac:dyDescent="0.25">
      <c r="A37" s="12" t="s">
        <v>26</v>
      </c>
      <c r="B37" s="81"/>
      <c r="C37" s="100"/>
      <c r="D37" s="12"/>
      <c r="E37" s="12"/>
      <c r="F37" s="12"/>
      <c r="G37" s="12"/>
      <c r="H37" s="127"/>
      <c r="I37" s="12"/>
      <c r="J37" s="119">
        <f t="shared" si="1"/>
        <v>27330</v>
      </c>
      <c r="K37" s="83">
        <f t="shared" si="0"/>
        <v>601.26</v>
      </c>
    </row>
    <row r="38" spans="1:12" x14ac:dyDescent="0.25">
      <c r="A38" s="12" t="s">
        <v>27</v>
      </c>
      <c r="B38" s="88"/>
      <c r="C38" s="109"/>
      <c r="D38" s="12"/>
      <c r="E38" s="12"/>
      <c r="F38" s="12"/>
      <c r="G38" s="12"/>
      <c r="H38" s="127"/>
      <c r="I38" s="12"/>
      <c r="J38" s="119">
        <f t="shared" si="1"/>
        <v>27330</v>
      </c>
      <c r="K38" s="83">
        <f t="shared" si="0"/>
        <v>601.26</v>
      </c>
    </row>
    <row r="39" spans="1:12" x14ac:dyDescent="0.25">
      <c r="A39" s="12" t="s">
        <v>28</v>
      </c>
      <c r="B39" s="88"/>
      <c r="C39" s="81"/>
      <c r="D39" s="12"/>
      <c r="E39" s="12"/>
      <c r="F39" s="81"/>
      <c r="G39" s="12"/>
      <c r="H39" s="127"/>
      <c r="I39" s="12"/>
      <c r="J39" s="119">
        <f t="shared" si="1"/>
        <v>27330</v>
      </c>
      <c r="K39" s="83">
        <f t="shared" si="0"/>
        <v>601.26</v>
      </c>
    </row>
    <row r="40" spans="1:12" x14ac:dyDescent="0.25">
      <c r="A40" s="12" t="s">
        <v>29</v>
      </c>
      <c r="B40" s="96" t="s">
        <v>930</v>
      </c>
      <c r="C40" s="96" t="s">
        <v>931</v>
      </c>
      <c r="D40" s="12">
        <v>2092</v>
      </c>
      <c r="E40" s="12"/>
      <c r="F40" s="81"/>
      <c r="G40" s="12"/>
      <c r="H40" s="127"/>
      <c r="I40" s="12"/>
      <c r="J40" s="119">
        <f t="shared" si="1"/>
        <v>29422</v>
      </c>
      <c r="K40" s="83">
        <f t="shared" si="0"/>
        <v>647.28399999999999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"/>
      <c r="I41" s="12"/>
      <c r="J41" s="119">
        <f t="shared" si="1"/>
        <v>29422</v>
      </c>
      <c r="K41" s="83">
        <f t="shared" si="0"/>
        <v>647.28399999999999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5880</v>
      </c>
      <c r="E42" s="121">
        <f>SUM(E11:E41)</f>
        <v>5</v>
      </c>
      <c r="F42" s="120">
        <v>0</v>
      </c>
      <c r="G42" s="120"/>
      <c r="H42" s="121">
        <f>SUM(H11:H41)</f>
        <v>0</v>
      </c>
      <c r="I42" s="121">
        <f>SUM(I11:I41)</f>
        <v>0</v>
      </c>
      <c r="J42" s="69">
        <f>AVERAGE(J11:J41)</f>
        <v>28660.322580645163</v>
      </c>
      <c r="K42" s="32">
        <f>SUM(K11:K41)</f>
        <v>19546.339999999997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5885</v>
      </c>
      <c r="I45" s="59">
        <v>0.31</v>
      </c>
      <c r="J45" s="48">
        <f>H45*I45</f>
        <v>1824.35</v>
      </c>
      <c r="K45" s="50">
        <f>kurs*J45</f>
        <v>213778.61004499998</v>
      </c>
    </row>
    <row r="46" spans="1:12" x14ac:dyDescent="0.25">
      <c r="E46" s="42" t="s">
        <v>54</v>
      </c>
      <c r="F46" s="43"/>
      <c r="G46" s="43"/>
      <c r="H46" s="44">
        <f>H42+I42</f>
        <v>0</v>
      </c>
      <c r="I46" s="59">
        <v>0.22</v>
      </c>
      <c r="J46" s="48">
        <f>H46*I46</f>
        <v>0</v>
      </c>
      <c r="K46" s="50">
        <f t="shared" ref="K46" si="2">kurs*J46</f>
        <v>0</v>
      </c>
      <c r="L46" s="61"/>
    </row>
    <row r="47" spans="1:12" x14ac:dyDescent="0.25">
      <c r="E47" s="42" t="s">
        <v>163</v>
      </c>
      <c r="F47" s="43"/>
      <c r="G47" s="43"/>
      <c r="H47" s="44">
        <f>E42</f>
        <v>5</v>
      </c>
      <c r="I47" s="59">
        <v>0.28999999999999998</v>
      </c>
      <c r="J47" s="48">
        <f t="shared" ref="J47:J53" si="3">H47*I47</f>
        <v>1.45</v>
      </c>
      <c r="K47" s="50">
        <f t="shared" ref="K47:K50" si="4">kurs*J47</f>
        <v>169.912015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829</v>
      </c>
      <c r="F53" s="46"/>
      <c r="G53" s="46"/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19546.339999999997</v>
      </c>
      <c r="K55" s="50">
        <f>kurs*J55</f>
        <v>2290453.8036379996</v>
      </c>
      <c r="L55" s="61"/>
    </row>
    <row r="56" spans="3:12" x14ac:dyDescent="0.25">
      <c r="E56" s="22"/>
      <c r="I56" t="s">
        <v>56</v>
      </c>
      <c r="J56" s="52">
        <f>SUM(J45:J55)</f>
        <v>21372.139999999996</v>
      </c>
      <c r="K56" s="51">
        <f>SUM(K45:K55)</f>
        <v>2504402.3256979994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0577-D3BA-4AF3-B2F3-6EFE7F01E93C}">
  <dimension ref="A1:L61"/>
  <sheetViews>
    <sheetView view="pageBreakPreview" topLeftCell="A31" zoomScaleNormal="100" zoomScaleSheetLayoutView="100" workbookViewId="0">
      <selection activeCell="D54" sqref="D54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894</v>
      </c>
      <c r="H3" s="4"/>
      <c r="I3" s="4"/>
    </row>
    <row r="4" spans="1:11" x14ac:dyDescent="0.25">
      <c r="B4" s="2"/>
      <c r="C4" s="6"/>
      <c r="F4" s="3" t="s">
        <v>895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117.19070000000001</v>
      </c>
      <c r="F6" t="s">
        <v>42</v>
      </c>
      <c r="G6" s="102">
        <v>2505011407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125" t="s">
        <v>123</v>
      </c>
      <c r="E9" s="29" t="s">
        <v>165</v>
      </c>
      <c r="F9" s="30" t="s">
        <v>49</v>
      </c>
      <c r="G9" s="78" t="s">
        <v>50</v>
      </c>
      <c r="H9" s="124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35484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88"/>
      <c r="C11" s="96"/>
      <c r="D11" s="12"/>
      <c r="E11" s="56"/>
      <c r="F11" s="12"/>
      <c r="G11" s="12"/>
      <c r="H11" s="12"/>
      <c r="I11" s="56"/>
      <c r="J11" s="119">
        <f>D10+D11+E11-H11-I11</f>
        <v>35484</v>
      </c>
      <c r="K11" s="83">
        <f>0.022*J11</f>
        <v>780.64799999999991</v>
      </c>
    </row>
    <row r="12" spans="1:11" ht="14.25" customHeight="1" x14ac:dyDescent="0.25">
      <c r="A12" s="12" t="s">
        <v>1</v>
      </c>
      <c r="B12" s="88"/>
      <c r="C12" s="91"/>
      <c r="D12" s="12"/>
      <c r="E12" s="12"/>
      <c r="F12" s="12"/>
      <c r="G12" s="12"/>
      <c r="H12" s="12"/>
      <c r="I12" s="56"/>
      <c r="J12" s="119">
        <f>J11+D12+E12-H12-I12</f>
        <v>35484</v>
      </c>
      <c r="K12" s="83">
        <f t="shared" ref="K12:K40" si="0">0.022*J12</f>
        <v>780.64799999999991</v>
      </c>
    </row>
    <row r="13" spans="1:11" ht="13.5" customHeight="1" x14ac:dyDescent="0.3">
      <c r="A13" s="12" t="s">
        <v>2</v>
      </c>
      <c r="B13" s="88"/>
      <c r="C13" s="102"/>
      <c r="D13" s="56"/>
      <c r="E13" s="56"/>
      <c r="F13" s="12"/>
      <c r="G13" s="12"/>
      <c r="H13" s="12"/>
      <c r="I13" s="56"/>
      <c r="J13" s="119">
        <f t="shared" ref="J13:J40" si="1">J12+D13+E13-H13-I13</f>
        <v>35484</v>
      </c>
      <c r="K13" s="83">
        <f t="shared" si="0"/>
        <v>780.64799999999991</v>
      </c>
    </row>
    <row r="14" spans="1:11" ht="14.4" x14ac:dyDescent="0.3">
      <c r="A14" s="12" t="s">
        <v>3</v>
      </c>
      <c r="B14" s="88"/>
      <c r="C14" s="102"/>
      <c r="D14" s="12"/>
      <c r="E14" s="12"/>
      <c r="F14" s="12"/>
      <c r="G14" s="12"/>
      <c r="H14" s="12"/>
      <c r="I14" s="56"/>
      <c r="J14" s="119">
        <f>J13+D14+E14-H14-I14</f>
        <v>35484</v>
      </c>
      <c r="K14" s="83">
        <f t="shared" si="0"/>
        <v>780.64799999999991</v>
      </c>
    </row>
    <row r="15" spans="1:11" ht="14.4" x14ac:dyDescent="0.3">
      <c r="A15" s="12" t="s">
        <v>4</v>
      </c>
      <c r="B15" s="102" t="s">
        <v>902</v>
      </c>
      <c r="C15" s="109" t="s">
        <v>903</v>
      </c>
      <c r="D15" s="12">
        <v>970</v>
      </c>
      <c r="E15" s="12"/>
      <c r="F15" s="12"/>
      <c r="G15" s="12"/>
      <c r="H15" s="12"/>
      <c r="I15" s="56"/>
      <c r="J15" s="119">
        <f t="shared" si="1"/>
        <v>36454</v>
      </c>
      <c r="K15" s="83">
        <f t="shared" si="0"/>
        <v>801.98799999999994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/>
      <c r="I16" s="56"/>
      <c r="J16" s="119">
        <f t="shared" si="1"/>
        <v>36454</v>
      </c>
      <c r="K16" s="83">
        <f t="shared" si="0"/>
        <v>801.98799999999994</v>
      </c>
    </row>
    <row r="17" spans="1:11" x14ac:dyDescent="0.25">
      <c r="A17" s="12" t="s">
        <v>6</v>
      </c>
      <c r="B17" s="116"/>
      <c r="C17" s="81"/>
      <c r="D17" s="12"/>
      <c r="E17" s="12"/>
      <c r="F17" s="81"/>
      <c r="G17" s="12"/>
      <c r="H17" s="12"/>
      <c r="I17" s="12"/>
      <c r="J17" s="119">
        <f>J16+D17+E17-H17-I17</f>
        <v>36454</v>
      </c>
      <c r="K17" s="83">
        <f t="shared" si="0"/>
        <v>801.98799999999994</v>
      </c>
    </row>
    <row r="18" spans="1:11" ht="14.4" x14ac:dyDescent="0.3">
      <c r="A18" s="12" t="s">
        <v>7</v>
      </c>
      <c r="B18" s="88"/>
      <c r="C18" s="73"/>
      <c r="D18" s="12"/>
      <c r="E18" s="12"/>
      <c r="F18" s="12"/>
      <c r="G18" s="12"/>
      <c r="H18" s="126">
        <v>1189</v>
      </c>
      <c r="I18" s="12"/>
      <c r="J18" s="119">
        <f>J17+D18+E18-H18-I18</f>
        <v>35265</v>
      </c>
      <c r="K18" s="83">
        <f t="shared" si="0"/>
        <v>775.82999999999993</v>
      </c>
    </row>
    <row r="19" spans="1:11" ht="13.5" customHeight="1" x14ac:dyDescent="0.3">
      <c r="A19" s="12" t="s">
        <v>8</v>
      </c>
      <c r="B19" s="81" t="s">
        <v>905</v>
      </c>
      <c r="C19" s="81" t="s">
        <v>904</v>
      </c>
      <c r="D19" s="12">
        <v>903</v>
      </c>
      <c r="E19" s="12"/>
      <c r="F19" s="81"/>
      <c r="G19" s="12"/>
      <c r="H19" s="126" t="s">
        <v>896</v>
      </c>
      <c r="I19" s="12"/>
      <c r="J19" s="119">
        <f t="shared" si="1"/>
        <v>34979</v>
      </c>
      <c r="K19" s="83">
        <f t="shared" si="0"/>
        <v>769.53800000000001</v>
      </c>
    </row>
    <row r="20" spans="1:11" ht="14.4" x14ac:dyDescent="0.3">
      <c r="A20" s="12" t="s">
        <v>9</v>
      </c>
      <c r="B20" s="88"/>
      <c r="C20" s="102"/>
      <c r="D20" s="12">
        <v>40</v>
      </c>
      <c r="E20" s="12"/>
      <c r="F20" s="81"/>
      <c r="G20" s="12"/>
      <c r="H20" s="126" t="s">
        <v>897</v>
      </c>
      <c r="I20" s="12"/>
      <c r="J20" s="119">
        <f t="shared" si="1"/>
        <v>34086</v>
      </c>
      <c r="K20" s="83">
        <f t="shared" si="0"/>
        <v>749.89199999999994</v>
      </c>
    </row>
    <row r="21" spans="1:11" ht="14.4" x14ac:dyDescent="0.3">
      <c r="A21" s="12" t="s">
        <v>10</v>
      </c>
      <c r="B21" s="102" t="s">
        <v>912</v>
      </c>
      <c r="C21" s="102"/>
      <c r="D21" s="12"/>
      <c r="E21" s="12"/>
      <c r="F21" s="81"/>
      <c r="G21" s="12"/>
      <c r="H21" s="126" t="s">
        <v>913</v>
      </c>
      <c r="I21" s="12"/>
      <c r="J21" s="119">
        <f t="shared" si="1"/>
        <v>34046</v>
      </c>
      <c r="K21" s="83">
        <f t="shared" si="0"/>
        <v>749.01199999999994</v>
      </c>
    </row>
    <row r="22" spans="1:11" ht="14.4" x14ac:dyDescent="0.3">
      <c r="A22" s="12" t="s">
        <v>11</v>
      </c>
      <c r="B22" t="s">
        <v>906</v>
      </c>
      <c r="C22" s="109" t="s">
        <v>907</v>
      </c>
      <c r="D22" s="12">
        <v>2384</v>
      </c>
      <c r="E22" s="12"/>
      <c r="F22" s="81"/>
      <c r="G22" s="12"/>
      <c r="H22" s="126"/>
      <c r="I22" s="12"/>
      <c r="J22" s="119">
        <f t="shared" si="1"/>
        <v>36430</v>
      </c>
      <c r="K22" s="83">
        <f t="shared" si="0"/>
        <v>801.45999999999992</v>
      </c>
    </row>
    <row r="23" spans="1:11" ht="14.4" x14ac:dyDescent="0.3">
      <c r="A23" s="12" t="s">
        <v>12</v>
      </c>
      <c r="B23" s="81" t="s">
        <v>908</v>
      </c>
      <c r="C23" s="103"/>
      <c r="D23" s="12">
        <v>8</v>
      </c>
      <c r="E23" s="12"/>
      <c r="F23" s="81"/>
      <c r="G23" s="81"/>
      <c r="H23" s="126" t="s">
        <v>898</v>
      </c>
      <c r="I23" s="12"/>
      <c r="J23" s="119">
        <f>J22+D23+E23-H23-I23</f>
        <v>36019</v>
      </c>
      <c r="K23" s="83">
        <f t="shared" si="0"/>
        <v>792.41800000000001</v>
      </c>
    </row>
    <row r="24" spans="1:11" ht="14.4" x14ac:dyDescent="0.3">
      <c r="A24" s="12" t="s">
        <v>13</v>
      </c>
      <c r="B24" s="88"/>
      <c r="C24" s="88"/>
      <c r="D24" s="12"/>
      <c r="E24" s="12"/>
      <c r="F24" s="81"/>
      <c r="G24" s="12"/>
      <c r="H24" s="126"/>
      <c r="I24" s="12"/>
      <c r="J24" s="119">
        <f t="shared" si="1"/>
        <v>36019</v>
      </c>
      <c r="K24" s="83">
        <f t="shared" si="0"/>
        <v>792.41800000000001</v>
      </c>
    </row>
    <row r="25" spans="1:11" ht="14.4" x14ac:dyDescent="0.3">
      <c r="A25" s="12" t="s">
        <v>14</v>
      </c>
      <c r="B25" s="81" t="s">
        <v>909</v>
      </c>
      <c r="C25" s="109"/>
      <c r="D25" s="12">
        <v>3</v>
      </c>
      <c r="E25" s="12"/>
      <c r="F25" s="81"/>
      <c r="G25" s="12"/>
      <c r="H25" s="126"/>
      <c r="I25" s="12"/>
      <c r="J25" s="119">
        <f t="shared" si="1"/>
        <v>36022</v>
      </c>
      <c r="K25" s="83">
        <f t="shared" si="0"/>
        <v>792.48399999999992</v>
      </c>
    </row>
    <row r="26" spans="1:11" ht="13.5" customHeight="1" x14ac:dyDescent="0.3">
      <c r="A26" s="12" t="s">
        <v>15</v>
      </c>
      <c r="B26" s="88"/>
      <c r="C26" s="111"/>
      <c r="D26" s="12"/>
      <c r="E26" s="12"/>
      <c r="F26" s="81"/>
      <c r="G26" s="12"/>
      <c r="H26" s="126"/>
      <c r="I26" s="12"/>
      <c r="J26" s="119">
        <f t="shared" si="1"/>
        <v>36022</v>
      </c>
      <c r="K26" s="83">
        <f t="shared" si="0"/>
        <v>792.48399999999992</v>
      </c>
    </row>
    <row r="27" spans="1:11" ht="14.4" x14ac:dyDescent="0.3">
      <c r="A27" s="12" t="s">
        <v>16</v>
      </c>
      <c r="B27" s="102"/>
      <c r="C27" s="103"/>
      <c r="D27" s="12"/>
      <c r="E27" s="12"/>
      <c r="F27" s="81"/>
      <c r="G27" s="12"/>
      <c r="H27" s="126"/>
      <c r="I27" s="12"/>
      <c r="J27" s="119">
        <f t="shared" si="1"/>
        <v>36022</v>
      </c>
      <c r="K27" s="83">
        <f t="shared" si="0"/>
        <v>792.48399999999992</v>
      </c>
    </row>
    <row r="28" spans="1:11" ht="14.4" x14ac:dyDescent="0.3">
      <c r="A28" s="12" t="s">
        <v>17</v>
      </c>
      <c r="C28"/>
      <c r="D28" s="12"/>
      <c r="E28" s="12"/>
      <c r="F28" s="81"/>
      <c r="G28" s="12"/>
      <c r="H28" s="126"/>
      <c r="I28" s="12"/>
      <c r="J28" s="119">
        <f t="shared" si="1"/>
        <v>36022</v>
      </c>
      <c r="K28" s="83">
        <f t="shared" si="0"/>
        <v>792.48399999999992</v>
      </c>
    </row>
    <row r="29" spans="1:11" ht="14.4" x14ac:dyDescent="0.3">
      <c r="A29" s="12" t="s">
        <v>18</v>
      </c>
      <c r="B29" s="102"/>
      <c r="C29" s="123"/>
      <c r="D29" s="12"/>
      <c r="E29" s="12"/>
      <c r="F29" s="81"/>
      <c r="G29" s="12"/>
      <c r="H29" s="126"/>
      <c r="I29" s="12"/>
      <c r="J29" s="119">
        <f t="shared" si="1"/>
        <v>36022</v>
      </c>
      <c r="K29" s="83">
        <f t="shared" si="0"/>
        <v>792.48399999999992</v>
      </c>
    </row>
    <row r="30" spans="1:11" ht="14.4" x14ac:dyDescent="0.3">
      <c r="A30" s="12" t="s">
        <v>19</v>
      </c>
      <c r="B30" s="81"/>
      <c r="C30" s="81"/>
      <c r="D30" s="12"/>
      <c r="E30" s="12"/>
      <c r="F30" s="81"/>
      <c r="G30" s="111"/>
      <c r="H30" s="126" t="s">
        <v>899</v>
      </c>
      <c r="I30" s="12"/>
      <c r="J30" s="119">
        <f>J29+D30+E30-H30-I30</f>
        <v>34244</v>
      </c>
      <c r="K30" s="83">
        <f t="shared" si="0"/>
        <v>753.36799999999994</v>
      </c>
    </row>
    <row r="31" spans="1:11" ht="14.4" x14ac:dyDescent="0.3">
      <c r="A31" s="12" t="s">
        <v>20</v>
      </c>
      <c r="B31" s="104"/>
      <c r="C31" s="100"/>
      <c r="D31" s="12"/>
      <c r="E31" s="106"/>
      <c r="F31" s="81"/>
      <c r="G31" s="12"/>
      <c r="H31" s="126" t="s">
        <v>900</v>
      </c>
      <c r="I31" s="12"/>
      <c r="J31" s="119">
        <f t="shared" si="1"/>
        <v>33046</v>
      </c>
      <c r="K31" s="83">
        <f t="shared" si="0"/>
        <v>727.01199999999994</v>
      </c>
    </row>
    <row r="32" spans="1:11" ht="14.4" x14ac:dyDescent="0.3">
      <c r="A32" s="12" t="s">
        <v>21</v>
      </c>
      <c r="B32" s="81" t="s">
        <v>910</v>
      </c>
      <c r="C32" s="73"/>
      <c r="D32" s="12">
        <v>22</v>
      </c>
      <c r="E32" s="12"/>
      <c r="F32" s="81"/>
      <c r="G32" s="107"/>
      <c r="H32" s="126" t="s">
        <v>901</v>
      </c>
      <c r="I32" s="12"/>
      <c r="J32" s="119">
        <f t="shared" si="1"/>
        <v>31873</v>
      </c>
      <c r="K32" s="83">
        <f t="shared" si="0"/>
        <v>701.2059999999999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/>
      <c r="I33" s="12"/>
      <c r="J33" s="119">
        <f t="shared" si="1"/>
        <v>31873</v>
      </c>
      <c r="K33" s="83">
        <f t="shared" si="0"/>
        <v>701.2059999999999</v>
      </c>
    </row>
    <row r="34" spans="1:12" x14ac:dyDescent="0.25">
      <c r="A34" s="12" t="s">
        <v>23</v>
      </c>
      <c r="B34" s="81"/>
      <c r="C34" s="81"/>
      <c r="D34" s="12"/>
      <c r="E34" s="12"/>
      <c r="F34" s="81"/>
      <c r="G34" s="12"/>
      <c r="H34" s="12"/>
      <c r="I34" s="12"/>
      <c r="J34" s="119">
        <f t="shared" si="1"/>
        <v>31873</v>
      </c>
      <c r="K34" s="83">
        <f t="shared" si="0"/>
        <v>701.2059999999999</v>
      </c>
    </row>
    <row r="35" spans="1:12" x14ac:dyDescent="0.25">
      <c r="A35" s="12" t="s">
        <v>24</v>
      </c>
      <c r="B35" s="88"/>
      <c r="C35" s="96"/>
      <c r="D35" s="12"/>
      <c r="E35" s="12"/>
      <c r="F35" s="81"/>
      <c r="G35" s="12"/>
      <c r="H35" s="12"/>
      <c r="I35" s="12"/>
      <c r="J35" s="119">
        <f t="shared" si="1"/>
        <v>31873</v>
      </c>
      <c r="K35" s="83">
        <f t="shared" si="0"/>
        <v>701.2059999999999</v>
      </c>
    </row>
    <row r="36" spans="1:12" ht="13.5" customHeight="1" x14ac:dyDescent="0.25">
      <c r="A36" s="12" t="s">
        <v>25</v>
      </c>
      <c r="B36" s="81" t="s">
        <v>911</v>
      </c>
      <c r="C36" s="81"/>
      <c r="D36" s="12">
        <v>7</v>
      </c>
      <c r="E36" s="12"/>
      <c r="F36" s="12"/>
      <c r="G36" s="12"/>
      <c r="H36" s="12"/>
      <c r="I36" s="108"/>
      <c r="J36" s="119">
        <f t="shared" si="1"/>
        <v>31880</v>
      </c>
      <c r="K36" s="83">
        <f t="shared" si="0"/>
        <v>701.36</v>
      </c>
    </row>
    <row r="37" spans="1:12" x14ac:dyDescent="0.25">
      <c r="A37" s="12" t="s">
        <v>26</v>
      </c>
      <c r="B37" s="81" t="s">
        <v>916</v>
      </c>
      <c r="C37" s="100" t="s">
        <v>917</v>
      </c>
      <c r="D37" s="12">
        <v>941</v>
      </c>
      <c r="E37" s="12"/>
      <c r="F37" s="12"/>
      <c r="G37" s="12"/>
      <c r="H37" s="12"/>
      <c r="I37" s="12"/>
      <c r="J37" s="119">
        <f t="shared" si="1"/>
        <v>32821</v>
      </c>
      <c r="K37" s="83">
        <f t="shared" si="0"/>
        <v>722.06200000000001</v>
      </c>
    </row>
    <row r="38" spans="1:12" x14ac:dyDescent="0.25">
      <c r="A38" s="12" t="s">
        <v>27</v>
      </c>
      <c r="B38" s="88"/>
      <c r="C38" s="109"/>
      <c r="D38" s="12"/>
      <c r="E38" s="12"/>
      <c r="F38" s="12"/>
      <c r="G38" s="12"/>
      <c r="H38" s="127" t="s">
        <v>914</v>
      </c>
      <c r="I38" s="12"/>
      <c r="J38" s="119">
        <f t="shared" si="1"/>
        <v>32041</v>
      </c>
      <c r="K38" s="83">
        <f t="shared" si="0"/>
        <v>704.90199999999993</v>
      </c>
    </row>
    <row r="39" spans="1:12" x14ac:dyDescent="0.25">
      <c r="A39" s="12" t="s">
        <v>28</v>
      </c>
      <c r="B39" s="88"/>
      <c r="C39" s="81"/>
      <c r="D39" s="12"/>
      <c r="E39" s="12"/>
      <c r="F39" s="81"/>
      <c r="G39" s="12"/>
      <c r="H39" s="127" t="s">
        <v>915</v>
      </c>
      <c r="I39" s="12"/>
      <c r="J39" s="119">
        <f t="shared" si="1"/>
        <v>31613</v>
      </c>
      <c r="K39" s="83">
        <f t="shared" si="0"/>
        <v>695.48599999999999</v>
      </c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>
        <v>636</v>
      </c>
      <c r="I40" s="12"/>
      <c r="J40" s="119">
        <f t="shared" si="1"/>
        <v>30977</v>
      </c>
      <c r="K40" s="83">
        <f t="shared" si="0"/>
        <v>681.49399999999991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"/>
      <c r="I41" s="12"/>
      <c r="J41" s="119">
        <f t="shared" ref="J41" si="2">J40+D41+E41-H41-I41</f>
        <v>30977</v>
      </c>
      <c r="K41" s="83">
        <f t="shared" ref="K41" si="3">0.022*J41</f>
        <v>681.49399999999991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5278</v>
      </c>
      <c r="E42" s="121">
        <f>SUM(E11:E41)</f>
        <v>0</v>
      </c>
      <c r="F42" s="120">
        <v>0</v>
      </c>
      <c r="G42" s="120"/>
      <c r="H42" s="121">
        <f>SUM(H11:H41)</f>
        <v>1825</v>
      </c>
      <c r="I42" s="121">
        <f>SUM(I11:I41)</f>
        <v>0</v>
      </c>
      <c r="J42" s="69">
        <f>AVERAGE(J11:J41)</f>
        <v>34301.387096774197</v>
      </c>
      <c r="K42" s="32">
        <f>SUM(K11:K41)</f>
        <v>23393.545999999991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5278</v>
      </c>
      <c r="I45" s="59">
        <v>0.31</v>
      </c>
      <c r="J45" s="48">
        <f>H45*I45</f>
        <v>1636.18</v>
      </c>
      <c r="K45" s="50">
        <f>kurs*J45</f>
        <v>191745.07952600002</v>
      </c>
    </row>
    <row r="46" spans="1:12" x14ac:dyDescent="0.25">
      <c r="E46" s="42" t="s">
        <v>54</v>
      </c>
      <c r="F46" s="43"/>
      <c r="G46" s="43"/>
      <c r="H46" s="44">
        <f>H42+I42</f>
        <v>1825</v>
      </c>
      <c r="I46" s="59">
        <v>0.22</v>
      </c>
      <c r="J46" s="48">
        <f>H46*I46</f>
        <v>401.5</v>
      </c>
      <c r="K46" s="50">
        <f t="shared" ref="K46" si="4">kurs*J46</f>
        <v>47052.066050000001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5">H47*I47</f>
        <v>0</v>
      </c>
      <c r="K47" s="50">
        <f t="shared" ref="K47:K50" si="6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5"/>
        <v>0</v>
      </c>
      <c r="K48" s="50">
        <f t="shared" ref="K48:K49" si="7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5"/>
        <v>0</v>
      </c>
      <c r="K49" s="50">
        <f t="shared" si="7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5"/>
        <v>0</v>
      </c>
      <c r="K50" s="50">
        <f t="shared" si="6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5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5"/>
        <v>0</v>
      </c>
      <c r="K52" s="50">
        <f>kurs*J52</f>
        <v>0</v>
      </c>
    </row>
    <row r="53" spans="3:12" x14ac:dyDescent="0.25">
      <c r="E53" s="45" t="s">
        <v>829</v>
      </c>
      <c r="F53" s="46"/>
      <c r="G53" s="46"/>
      <c r="H53" s="47">
        <v>0</v>
      </c>
      <c r="I53" s="60">
        <v>200</v>
      </c>
      <c r="J53" s="48">
        <f t="shared" si="5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/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23393.545999999991</v>
      </c>
      <c r="K55" s="50">
        <f>kurs*J55</f>
        <v>2741506.0312221991</v>
      </c>
      <c r="L55" s="61"/>
    </row>
    <row r="56" spans="3:12" x14ac:dyDescent="0.25">
      <c r="E56" s="22"/>
      <c r="I56" t="s">
        <v>56</v>
      </c>
      <c r="J56" s="52">
        <f>SUM(J45:J55)</f>
        <v>25431.225999999991</v>
      </c>
      <c r="K56" s="51">
        <f>SUM(K45:K55)</f>
        <v>2980303.1767981993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53A6-B856-42DE-AFA8-F595EEA3279A}">
  <dimension ref="A1:L61"/>
  <sheetViews>
    <sheetView view="pageBreakPreview" topLeftCell="A34" zoomScaleNormal="100" zoomScaleSheetLayoutView="100" workbookViewId="0">
      <selection activeCell="E49" sqref="E49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893</v>
      </c>
      <c r="H3" s="4"/>
      <c r="I3" s="4"/>
    </row>
    <row r="4" spans="1:11" x14ac:dyDescent="0.25">
      <c r="B4" s="2"/>
      <c r="C4" s="6"/>
      <c r="F4" s="3" t="s">
        <v>892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117.2025</v>
      </c>
      <c r="F6" t="s">
        <v>42</v>
      </c>
      <c r="G6" s="102">
        <v>2504009115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34989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88" t="s">
        <v>879</v>
      </c>
      <c r="C11" s="96"/>
      <c r="D11" s="12">
        <v>1310</v>
      </c>
      <c r="E11" s="56"/>
      <c r="F11" s="12"/>
      <c r="G11" s="12"/>
      <c r="H11" s="12"/>
      <c r="I11" s="56"/>
      <c r="J11" s="119">
        <f>D10+D11+E11-H11-I11</f>
        <v>36299</v>
      </c>
      <c r="K11" s="83">
        <f>0.022*J11</f>
        <v>798.57799999999997</v>
      </c>
    </row>
    <row r="12" spans="1:11" ht="14.25" customHeight="1" x14ac:dyDescent="0.25">
      <c r="A12" s="12" t="s">
        <v>1</v>
      </c>
      <c r="B12" s="88" t="s">
        <v>880</v>
      </c>
      <c r="C12" s="91" t="s">
        <v>886</v>
      </c>
      <c r="D12" s="12">
        <f>765+528</f>
        <v>1293</v>
      </c>
      <c r="E12" s="12"/>
      <c r="F12" s="12"/>
      <c r="G12" s="12"/>
      <c r="H12" s="12"/>
      <c r="I12" s="56"/>
      <c r="J12" s="119">
        <f>J11+D12+E12-H12-I12</f>
        <v>37592</v>
      </c>
      <c r="K12" s="83">
        <f t="shared" ref="K12:K40" si="0">0.022*J12</f>
        <v>827.024</v>
      </c>
    </row>
    <row r="13" spans="1:11" ht="13.5" customHeight="1" x14ac:dyDescent="0.3">
      <c r="A13" s="12" t="s">
        <v>2</v>
      </c>
      <c r="B13" s="88" t="s">
        <v>887</v>
      </c>
      <c r="C13" s="102"/>
      <c r="D13" s="56">
        <v>71</v>
      </c>
      <c r="E13" s="56"/>
      <c r="F13" s="12"/>
      <c r="G13" s="12"/>
      <c r="H13" s="12"/>
      <c r="I13" s="56"/>
      <c r="J13" s="119">
        <f t="shared" ref="J13:J40" si="1">J12+D13+E13-H13-I13</f>
        <v>37663</v>
      </c>
      <c r="K13" s="83">
        <f t="shared" si="0"/>
        <v>828.5859999999999</v>
      </c>
    </row>
    <row r="14" spans="1:11" ht="14.4" x14ac:dyDescent="0.3">
      <c r="A14" s="12" t="s">
        <v>3</v>
      </c>
      <c r="B14" s="88" t="s">
        <v>881</v>
      </c>
      <c r="C14" s="102"/>
      <c r="D14" s="12">
        <v>943</v>
      </c>
      <c r="E14" s="12"/>
      <c r="F14" s="12"/>
      <c r="G14" s="12"/>
      <c r="H14" s="12"/>
      <c r="I14" s="56"/>
      <c r="J14" s="119">
        <f>J13+D14+E14-H14-I14</f>
        <v>38606</v>
      </c>
      <c r="K14" s="83">
        <f t="shared" si="0"/>
        <v>849.33199999999999</v>
      </c>
    </row>
    <row r="15" spans="1:11" ht="14.4" x14ac:dyDescent="0.3">
      <c r="A15" s="12" t="s">
        <v>4</v>
      </c>
      <c r="B15" s="102"/>
      <c r="C15" s="109"/>
      <c r="D15" s="12"/>
      <c r="E15" s="12"/>
      <c r="F15" s="12"/>
      <c r="G15" s="12"/>
      <c r="H15" s="12"/>
      <c r="I15" s="56"/>
      <c r="J15" s="119">
        <f t="shared" si="1"/>
        <v>38606</v>
      </c>
      <c r="K15" s="83">
        <f t="shared" si="0"/>
        <v>849.33199999999999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/>
      <c r="I16" s="56"/>
      <c r="J16" s="119">
        <f t="shared" si="1"/>
        <v>38606</v>
      </c>
      <c r="K16" s="83">
        <f t="shared" si="0"/>
        <v>849.33199999999999</v>
      </c>
    </row>
    <row r="17" spans="1:11" x14ac:dyDescent="0.25">
      <c r="A17" s="12" t="s">
        <v>6</v>
      </c>
      <c r="B17" s="116"/>
      <c r="C17" s="81"/>
      <c r="D17" s="12"/>
      <c r="E17" s="12"/>
      <c r="F17" s="81"/>
      <c r="G17" s="12"/>
      <c r="H17" s="12"/>
      <c r="I17" s="12"/>
      <c r="J17" s="119">
        <f>J16+D17+E17-H17-I17</f>
        <v>38606</v>
      </c>
      <c r="K17" s="83">
        <f t="shared" si="0"/>
        <v>849.33199999999999</v>
      </c>
    </row>
    <row r="18" spans="1:11" x14ac:dyDescent="0.25">
      <c r="A18" s="12" t="s">
        <v>7</v>
      </c>
      <c r="B18" s="88" t="s">
        <v>882</v>
      </c>
      <c r="C18" s="73"/>
      <c r="D18" s="12">
        <v>1227</v>
      </c>
      <c r="E18" s="12"/>
      <c r="F18" s="12"/>
      <c r="G18" s="12"/>
      <c r="H18" s="12"/>
      <c r="I18" s="12"/>
      <c r="J18" s="119">
        <f>J17+D18+E18-H18-I18</f>
        <v>39833</v>
      </c>
      <c r="K18" s="83">
        <f t="shared" si="0"/>
        <v>876.32599999999991</v>
      </c>
    </row>
    <row r="19" spans="1:11" ht="13.5" customHeight="1" x14ac:dyDescent="0.25">
      <c r="A19" s="12" t="s">
        <v>8</v>
      </c>
      <c r="B19" s="81"/>
      <c r="C19" s="81"/>
      <c r="D19" s="12"/>
      <c r="E19" s="12"/>
      <c r="F19" s="81"/>
      <c r="G19" s="12"/>
      <c r="H19" s="12">
        <v>4276</v>
      </c>
      <c r="I19" s="12"/>
      <c r="J19" s="119">
        <f t="shared" si="1"/>
        <v>35557</v>
      </c>
      <c r="K19" s="83">
        <f t="shared" si="0"/>
        <v>782.25399999999991</v>
      </c>
    </row>
    <row r="20" spans="1:11" ht="14.4" x14ac:dyDescent="0.3">
      <c r="A20" s="12" t="s">
        <v>9</v>
      </c>
      <c r="B20" s="88" t="s">
        <v>888</v>
      </c>
      <c r="C20" s="102"/>
      <c r="D20" s="12">
        <v>37</v>
      </c>
      <c r="E20" s="12"/>
      <c r="F20" s="81"/>
      <c r="G20" s="12"/>
      <c r="H20" s="12">
        <v>1192</v>
      </c>
      <c r="I20" s="12"/>
      <c r="J20" s="119">
        <f t="shared" si="1"/>
        <v>34402</v>
      </c>
      <c r="K20" s="83">
        <f t="shared" si="0"/>
        <v>756.84399999999994</v>
      </c>
    </row>
    <row r="21" spans="1:11" ht="14.4" x14ac:dyDescent="0.3">
      <c r="A21" s="12" t="s">
        <v>10</v>
      </c>
      <c r="B21" s="102"/>
      <c r="C21" s="102"/>
      <c r="D21" s="12"/>
      <c r="E21" s="12"/>
      <c r="F21" s="81"/>
      <c r="G21" s="12"/>
      <c r="H21" s="12">
        <v>957</v>
      </c>
      <c r="I21" s="12"/>
      <c r="J21" s="119">
        <f t="shared" si="1"/>
        <v>33445</v>
      </c>
      <c r="K21" s="83">
        <f t="shared" si="0"/>
        <v>735.79</v>
      </c>
    </row>
    <row r="22" spans="1:11" x14ac:dyDescent="0.25">
      <c r="A22" s="12" t="s">
        <v>11</v>
      </c>
      <c r="C22" s="109"/>
      <c r="D22" s="12"/>
      <c r="E22" s="12"/>
      <c r="F22" s="81"/>
      <c r="G22" s="12"/>
      <c r="H22" s="12"/>
      <c r="I22" s="12"/>
      <c r="J22" s="119">
        <f t="shared" si="1"/>
        <v>33445</v>
      </c>
      <c r="K22" s="83">
        <f t="shared" si="0"/>
        <v>735.79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2"/>
      <c r="I23" s="12"/>
      <c r="J23" s="119">
        <f>J22+D23+E23-H23-I23</f>
        <v>33445</v>
      </c>
      <c r="K23" s="83">
        <f t="shared" si="0"/>
        <v>735.79</v>
      </c>
    </row>
    <row r="24" spans="1:11" x14ac:dyDescent="0.25">
      <c r="A24" s="12" t="s">
        <v>13</v>
      </c>
      <c r="B24" s="88" t="s">
        <v>889</v>
      </c>
      <c r="C24" s="88" t="s">
        <v>883</v>
      </c>
      <c r="D24" s="12">
        <f>380+677+1414+4</f>
        <v>2475</v>
      </c>
      <c r="E24" s="12"/>
      <c r="F24" s="81"/>
      <c r="G24" s="12"/>
      <c r="H24" s="12"/>
      <c r="I24" s="12"/>
      <c r="J24" s="119">
        <f t="shared" si="1"/>
        <v>35920</v>
      </c>
      <c r="K24" s="83">
        <f t="shared" si="0"/>
        <v>790.24</v>
      </c>
    </row>
    <row r="25" spans="1:11" x14ac:dyDescent="0.25">
      <c r="A25" s="12" t="s">
        <v>14</v>
      </c>
      <c r="B25" s="81"/>
      <c r="C25" s="109"/>
      <c r="D25" s="12"/>
      <c r="E25" s="12"/>
      <c r="F25" s="81"/>
      <c r="G25" s="12"/>
      <c r="H25" s="12">
        <v>335</v>
      </c>
      <c r="I25" s="12"/>
      <c r="J25" s="119">
        <f t="shared" si="1"/>
        <v>35585</v>
      </c>
      <c r="K25" s="83">
        <f t="shared" si="0"/>
        <v>782.87</v>
      </c>
    </row>
    <row r="26" spans="1:11" ht="13.5" customHeight="1" x14ac:dyDescent="0.25">
      <c r="A26" s="12" t="s">
        <v>15</v>
      </c>
      <c r="B26" s="88" t="s">
        <v>890</v>
      </c>
      <c r="C26" s="111"/>
      <c r="D26" s="12">
        <v>17</v>
      </c>
      <c r="E26" s="12"/>
      <c r="F26" s="81"/>
      <c r="G26" s="12"/>
      <c r="H26" s="12">
        <v>462</v>
      </c>
      <c r="I26" s="12"/>
      <c r="J26" s="119">
        <f t="shared" si="1"/>
        <v>35140</v>
      </c>
      <c r="K26" s="83">
        <f t="shared" si="0"/>
        <v>773.07999999999993</v>
      </c>
    </row>
    <row r="27" spans="1:11" ht="14.4" x14ac:dyDescent="0.3">
      <c r="A27" s="12" t="s">
        <v>16</v>
      </c>
      <c r="B27" s="102"/>
      <c r="C27" s="103"/>
      <c r="D27" s="12"/>
      <c r="E27" s="12"/>
      <c r="F27" s="81"/>
      <c r="G27" s="12"/>
      <c r="H27" s="12"/>
      <c r="I27" s="12"/>
      <c r="J27" s="119">
        <f t="shared" si="1"/>
        <v>35140</v>
      </c>
      <c r="K27" s="83">
        <f t="shared" si="0"/>
        <v>773.07999999999993</v>
      </c>
    </row>
    <row r="28" spans="1:11" x14ac:dyDescent="0.25">
      <c r="A28" s="12" t="s">
        <v>17</v>
      </c>
      <c r="C28"/>
      <c r="D28" s="12"/>
      <c r="E28" s="12"/>
      <c r="F28" s="81"/>
      <c r="G28" s="12"/>
      <c r="H28" s="12"/>
      <c r="I28" s="12"/>
      <c r="J28" s="119">
        <f t="shared" si="1"/>
        <v>35140</v>
      </c>
      <c r="K28" s="83">
        <f t="shared" si="0"/>
        <v>773.07999999999993</v>
      </c>
    </row>
    <row r="29" spans="1:11" ht="14.4" x14ac:dyDescent="0.3">
      <c r="A29" s="12" t="s">
        <v>18</v>
      </c>
      <c r="B29" s="102"/>
      <c r="C29" s="123"/>
      <c r="D29" s="12"/>
      <c r="E29" s="12"/>
      <c r="F29" s="81"/>
      <c r="G29" s="12"/>
      <c r="H29" s="12"/>
      <c r="I29" s="12"/>
      <c r="J29" s="119">
        <f t="shared" si="1"/>
        <v>35140</v>
      </c>
      <c r="K29" s="83">
        <f t="shared" si="0"/>
        <v>773.07999999999993</v>
      </c>
    </row>
    <row r="30" spans="1:11" x14ac:dyDescent="0.25">
      <c r="A30" s="12" t="s">
        <v>19</v>
      </c>
      <c r="B30" s="81"/>
      <c r="C30" s="81"/>
      <c r="D30" s="12"/>
      <c r="E30" s="12"/>
      <c r="F30" s="81"/>
      <c r="G30" s="111"/>
      <c r="H30" s="12"/>
      <c r="I30" s="12"/>
      <c r="J30" s="119">
        <f>J29+D30+E30-H30-I30</f>
        <v>35140</v>
      </c>
      <c r="K30" s="83">
        <f t="shared" si="0"/>
        <v>773.07999999999993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"/>
      <c r="I31" s="12"/>
      <c r="J31" s="119">
        <f t="shared" si="1"/>
        <v>35140</v>
      </c>
      <c r="K31" s="83">
        <f t="shared" si="0"/>
        <v>773.07999999999993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"/>
      <c r="I32" s="12"/>
      <c r="J32" s="119">
        <f t="shared" si="1"/>
        <v>35140</v>
      </c>
      <c r="K32" s="83">
        <f t="shared" si="0"/>
        <v>773.07999999999993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/>
      <c r="I33" s="12"/>
      <c r="J33" s="119">
        <f t="shared" si="1"/>
        <v>35140</v>
      </c>
      <c r="K33" s="83">
        <f t="shared" si="0"/>
        <v>773.07999999999993</v>
      </c>
    </row>
    <row r="34" spans="1:12" x14ac:dyDescent="0.25">
      <c r="A34" s="12" t="s">
        <v>23</v>
      </c>
      <c r="B34" s="81"/>
      <c r="C34" s="81"/>
      <c r="D34" s="12"/>
      <c r="E34" s="12"/>
      <c r="F34" s="81"/>
      <c r="G34" s="12"/>
      <c r="H34" s="12"/>
      <c r="I34" s="12"/>
      <c r="J34" s="119">
        <f t="shared" si="1"/>
        <v>35140</v>
      </c>
      <c r="K34" s="83">
        <f t="shared" si="0"/>
        <v>773.07999999999993</v>
      </c>
    </row>
    <row r="35" spans="1:12" x14ac:dyDescent="0.25">
      <c r="A35" s="12" t="s">
        <v>24</v>
      </c>
      <c r="B35" s="88" t="s">
        <v>891</v>
      </c>
      <c r="C35" s="96"/>
      <c r="D35" s="12">
        <v>12</v>
      </c>
      <c r="E35" s="12"/>
      <c r="F35" s="81"/>
      <c r="G35" s="12"/>
      <c r="H35" s="12"/>
      <c r="I35" s="12"/>
      <c r="J35" s="119">
        <f t="shared" si="1"/>
        <v>35152</v>
      </c>
      <c r="K35" s="83">
        <f t="shared" si="0"/>
        <v>773.34399999999994</v>
      </c>
    </row>
    <row r="36" spans="1:12" ht="13.5" customHeight="1" x14ac:dyDescent="0.25">
      <c r="A36" s="12" t="s">
        <v>25</v>
      </c>
      <c r="B36" s="81"/>
      <c r="C36" s="81"/>
      <c r="D36" s="12"/>
      <c r="E36" s="12"/>
      <c r="F36" s="12"/>
      <c r="G36" s="12"/>
      <c r="H36" s="12"/>
      <c r="I36" s="108"/>
      <c r="J36" s="119">
        <f t="shared" si="1"/>
        <v>35152</v>
      </c>
      <c r="K36" s="83">
        <f t="shared" si="0"/>
        <v>773.34399999999994</v>
      </c>
    </row>
    <row r="37" spans="1:12" ht="14.4" x14ac:dyDescent="0.3">
      <c r="A37" s="12" t="s">
        <v>26</v>
      </c>
      <c r="B37" s="102"/>
      <c r="C37" s="100"/>
      <c r="D37" s="12"/>
      <c r="E37" s="12"/>
      <c r="F37" s="12"/>
      <c r="G37" s="12"/>
      <c r="H37" s="12"/>
      <c r="I37" s="12"/>
      <c r="J37" s="119">
        <f t="shared" si="1"/>
        <v>35152</v>
      </c>
      <c r="K37" s="83">
        <f t="shared" si="0"/>
        <v>773.34399999999994</v>
      </c>
    </row>
    <row r="38" spans="1:12" x14ac:dyDescent="0.25">
      <c r="A38" s="12" t="s">
        <v>27</v>
      </c>
      <c r="B38" s="88" t="s">
        <v>884</v>
      </c>
      <c r="C38" s="109"/>
      <c r="D38" s="12">
        <v>1257</v>
      </c>
      <c r="E38" s="12"/>
      <c r="F38" s="12"/>
      <c r="G38" s="12"/>
      <c r="H38" s="12">
        <v>1021</v>
      </c>
      <c r="I38" s="12"/>
      <c r="J38" s="119">
        <f t="shared" si="1"/>
        <v>35388</v>
      </c>
      <c r="K38" s="83">
        <f t="shared" si="0"/>
        <v>778.53599999999994</v>
      </c>
    </row>
    <row r="39" spans="1:12" x14ac:dyDescent="0.25">
      <c r="A39" s="12" t="s">
        <v>28</v>
      </c>
      <c r="B39" s="88" t="s">
        <v>885</v>
      </c>
      <c r="C39" s="81"/>
      <c r="D39" s="12">
        <v>1153</v>
      </c>
      <c r="E39" s="12"/>
      <c r="F39" s="81"/>
      <c r="G39" s="12"/>
      <c r="H39" s="12">
        <v>513</v>
      </c>
      <c r="I39" s="12"/>
      <c r="J39" s="119">
        <f t="shared" si="1"/>
        <v>36028</v>
      </c>
      <c r="K39" s="83">
        <f t="shared" si="0"/>
        <v>792.61599999999999</v>
      </c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>
        <v>544</v>
      </c>
      <c r="I40" s="12"/>
      <c r="J40" s="119">
        <f t="shared" si="1"/>
        <v>35484</v>
      </c>
      <c r="K40" s="83">
        <f t="shared" si="0"/>
        <v>780.64799999999991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"/>
      <c r="I41" s="12"/>
      <c r="J41" s="119"/>
      <c r="K41" s="83"/>
    </row>
    <row r="42" spans="1:12" ht="15" thickBot="1" x14ac:dyDescent="0.35">
      <c r="A42" s="160"/>
      <c r="B42" s="160"/>
      <c r="C42" s="120" t="s">
        <v>31</v>
      </c>
      <c r="D42" s="121">
        <f>SUM(D11:D41)</f>
        <v>9795</v>
      </c>
      <c r="E42" s="121">
        <f>SUM(E11:E41)</f>
        <v>0</v>
      </c>
      <c r="F42" s="120">
        <v>0</v>
      </c>
      <c r="G42" s="120"/>
      <c r="H42" s="121">
        <f>SUM(H11:H41)</f>
        <v>9300</v>
      </c>
      <c r="I42" s="121">
        <f>SUM(I11:I41)</f>
        <v>0</v>
      </c>
      <c r="J42" s="69">
        <f>AVERAGE(J11:J41)</f>
        <v>35874.199999999997</v>
      </c>
      <c r="K42" s="32">
        <f>SUM(K11:K41)</f>
        <v>23676.972000000009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9795</v>
      </c>
      <c r="I45" s="59">
        <v>0.31</v>
      </c>
      <c r="J45" s="48">
        <f>H45*I45</f>
        <v>3036.45</v>
      </c>
      <c r="K45" s="50">
        <f>kurs*J45</f>
        <v>355879.53112499998</v>
      </c>
    </row>
    <row r="46" spans="1:12" x14ac:dyDescent="0.25">
      <c r="E46" s="42" t="s">
        <v>54</v>
      </c>
      <c r="F46" s="43"/>
      <c r="G46" s="43"/>
      <c r="H46" s="44">
        <f>H42+I42</f>
        <v>9300</v>
      </c>
      <c r="I46" s="59">
        <v>0.22</v>
      </c>
      <c r="J46" s="48">
        <f>H46*I46</f>
        <v>2046</v>
      </c>
      <c r="K46" s="50">
        <f t="shared" ref="K46" si="2">kurs*J46</f>
        <v>239796.315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829</v>
      </c>
      <c r="F53" s="46"/>
      <c r="G53" s="46" t="s">
        <v>832</v>
      </c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 t="s">
        <v>841</v>
      </c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23676.972000000009</v>
      </c>
      <c r="K55" s="50">
        <f>kurs*J55</f>
        <v>2775000.3108300013</v>
      </c>
      <c r="L55" s="61"/>
    </row>
    <row r="56" spans="3:12" x14ac:dyDescent="0.25">
      <c r="E56" s="22"/>
      <c r="I56" t="s">
        <v>56</v>
      </c>
      <c r="J56" s="52">
        <f>SUM(J45:J55)</f>
        <v>28759.42200000001</v>
      </c>
      <c r="K56" s="51">
        <f>SUM(K45:K55)</f>
        <v>3370676.1569550009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CDE9-F3B7-4D5E-A396-1090D2069843}">
  <dimension ref="A1:L61"/>
  <sheetViews>
    <sheetView view="pageBreakPreview" topLeftCell="A34" zoomScaleNormal="100" zoomScaleSheetLayoutView="100" workbookViewId="0">
      <selection activeCell="B40" sqref="B40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863</v>
      </c>
      <c r="H3" s="4"/>
      <c r="I3" s="4"/>
    </row>
    <row r="4" spans="1:11" x14ac:dyDescent="0.25">
      <c r="B4" s="2"/>
      <c r="C4" s="6"/>
      <c r="F4" s="3" t="s">
        <v>864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117.1468</v>
      </c>
      <c r="F6" t="s">
        <v>42</v>
      </c>
      <c r="G6" s="102">
        <v>2503006813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41720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/>
      <c r="I11" s="56"/>
      <c r="J11" s="119">
        <f>D10+D11+E11-H11-I11</f>
        <v>41720</v>
      </c>
      <c r="K11" s="83">
        <f>0.022*J11</f>
        <v>917.83999999999992</v>
      </c>
    </row>
    <row r="12" spans="1:11" ht="14.25" customHeight="1" x14ac:dyDescent="0.25">
      <c r="A12" s="12" t="s">
        <v>1</v>
      </c>
      <c r="B12" s="81"/>
      <c r="C12" s="91"/>
      <c r="D12" s="12"/>
      <c r="E12" s="12"/>
      <c r="F12" s="12"/>
      <c r="G12" s="12"/>
      <c r="H12" s="12"/>
      <c r="I12" s="56"/>
      <c r="J12" s="119">
        <f>J11+D12+E12-H12-I12</f>
        <v>41720</v>
      </c>
      <c r="K12" s="83">
        <f t="shared" ref="K12:K38" si="0">0.022*J12</f>
        <v>917.83999999999992</v>
      </c>
    </row>
    <row r="13" spans="1:11" ht="13.5" customHeight="1" x14ac:dyDescent="0.3">
      <c r="A13" s="12" t="s">
        <v>2</v>
      </c>
      <c r="B13" s="102" t="s">
        <v>865</v>
      </c>
      <c r="C13" s="102" t="s">
        <v>866</v>
      </c>
      <c r="D13" s="56">
        <f>574+1500+1095+19</f>
        <v>3188</v>
      </c>
      <c r="E13" s="56"/>
      <c r="F13" s="12"/>
      <c r="G13" s="12"/>
      <c r="H13" s="12"/>
      <c r="I13" s="56"/>
      <c r="J13" s="119">
        <f t="shared" ref="J13:J38" si="1">J12+D13+E13-H13-I13</f>
        <v>44908</v>
      </c>
      <c r="K13" s="83">
        <f t="shared" si="0"/>
        <v>987.976</v>
      </c>
    </row>
    <row r="14" spans="1:11" ht="14.4" x14ac:dyDescent="0.3">
      <c r="A14" s="12" t="s">
        <v>3</v>
      </c>
      <c r="B14" s="102" t="s">
        <v>867</v>
      </c>
      <c r="C14" s="102" t="s">
        <v>868</v>
      </c>
      <c r="D14" s="12">
        <f>1229+1063</f>
        <v>2292</v>
      </c>
      <c r="E14" s="12"/>
      <c r="F14" s="12"/>
      <c r="G14" s="12"/>
      <c r="H14" s="12">
        <v>286</v>
      </c>
      <c r="I14" s="56"/>
      <c r="J14" s="119">
        <f>J13+D14+E14-H14-I14</f>
        <v>46914</v>
      </c>
      <c r="K14" s="83">
        <f t="shared" si="0"/>
        <v>1032.1079999999999</v>
      </c>
    </row>
    <row r="15" spans="1:11" ht="14.4" x14ac:dyDescent="0.3">
      <c r="A15" s="12" t="s">
        <v>4</v>
      </c>
      <c r="B15" s="102" t="s">
        <v>869</v>
      </c>
      <c r="C15" s="109"/>
      <c r="D15" s="12">
        <v>44</v>
      </c>
      <c r="E15" s="12"/>
      <c r="F15" s="12"/>
      <c r="G15" s="12"/>
      <c r="H15" s="12">
        <v>786</v>
      </c>
      <c r="I15" s="56"/>
      <c r="J15" s="119">
        <f t="shared" si="1"/>
        <v>46172</v>
      </c>
      <c r="K15" s="83">
        <f t="shared" si="0"/>
        <v>1015.784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>
        <v>1280</v>
      </c>
      <c r="I16" s="56"/>
      <c r="J16" s="119">
        <f t="shared" si="1"/>
        <v>44892</v>
      </c>
      <c r="K16" s="83">
        <f t="shared" si="0"/>
        <v>987.62399999999991</v>
      </c>
    </row>
    <row r="17" spans="1:11" x14ac:dyDescent="0.25">
      <c r="A17" s="12" t="s">
        <v>6</v>
      </c>
      <c r="B17" s="116" t="s">
        <v>878</v>
      </c>
      <c r="C17" s="81"/>
      <c r="D17" s="12"/>
      <c r="E17" s="12"/>
      <c r="F17" s="81"/>
      <c r="G17" s="12"/>
      <c r="H17" s="12">
        <v>882</v>
      </c>
      <c r="I17" s="12"/>
      <c r="J17" s="119">
        <f>J16+D17+E17-H17-I17</f>
        <v>44010</v>
      </c>
      <c r="K17" s="83">
        <f t="shared" si="0"/>
        <v>968.21999999999991</v>
      </c>
    </row>
    <row r="18" spans="1:11" x14ac:dyDescent="0.25">
      <c r="A18" s="12" t="s">
        <v>7</v>
      </c>
      <c r="B18" s="81"/>
      <c r="C18" s="73"/>
      <c r="D18" s="12"/>
      <c r="E18" s="12"/>
      <c r="F18" s="12"/>
      <c r="G18" s="12"/>
      <c r="H18" s="12"/>
      <c r="I18" s="12"/>
      <c r="J18" s="119">
        <f>J17+D18+E18-H18-I18</f>
        <v>44010</v>
      </c>
      <c r="K18" s="83">
        <f t="shared" si="0"/>
        <v>968.21999999999991</v>
      </c>
    </row>
    <row r="19" spans="1:11" ht="13.5" customHeight="1" x14ac:dyDescent="0.25">
      <c r="A19" s="12" t="s">
        <v>8</v>
      </c>
      <c r="B19" s="81"/>
      <c r="C19" s="81"/>
      <c r="D19" s="12"/>
      <c r="E19" s="12"/>
      <c r="F19" s="81"/>
      <c r="G19" s="12"/>
      <c r="H19" s="12"/>
      <c r="I19" s="12"/>
      <c r="J19" s="119">
        <f t="shared" si="1"/>
        <v>44010</v>
      </c>
      <c r="K19" s="83">
        <f t="shared" si="0"/>
        <v>968.21999999999991</v>
      </c>
    </row>
    <row r="20" spans="1:11" ht="14.4" x14ac:dyDescent="0.3">
      <c r="A20" s="12" t="s">
        <v>9</v>
      </c>
      <c r="B20" s="122" t="s">
        <v>870</v>
      </c>
      <c r="C20" s="102" t="s">
        <v>871</v>
      </c>
      <c r="D20" s="12">
        <f>22+252+1067</f>
        <v>1341</v>
      </c>
      <c r="E20" s="12"/>
      <c r="F20" s="81"/>
      <c r="G20" s="12"/>
      <c r="H20" s="12"/>
      <c r="I20" s="12"/>
      <c r="J20" s="119">
        <f t="shared" si="1"/>
        <v>45351</v>
      </c>
      <c r="K20" s="83">
        <f t="shared" si="0"/>
        <v>997.72199999999998</v>
      </c>
    </row>
    <row r="21" spans="1:11" ht="14.4" x14ac:dyDescent="0.3">
      <c r="A21" s="12" t="s">
        <v>10</v>
      </c>
      <c r="B21" s="102" t="s">
        <v>872</v>
      </c>
      <c r="C21" s="102" t="s">
        <v>873</v>
      </c>
      <c r="D21" s="12">
        <f>4+13</f>
        <v>17</v>
      </c>
      <c r="E21" s="12"/>
      <c r="F21" s="81"/>
      <c r="G21" s="12"/>
      <c r="H21" s="12"/>
      <c r="I21" s="12"/>
      <c r="J21" s="119">
        <f t="shared" si="1"/>
        <v>45368</v>
      </c>
      <c r="K21" s="83">
        <f t="shared" si="0"/>
        <v>998.09599999999989</v>
      </c>
    </row>
    <row r="22" spans="1:11" x14ac:dyDescent="0.25">
      <c r="A22" s="12" t="s">
        <v>11</v>
      </c>
      <c r="C22" s="109"/>
      <c r="D22" s="12"/>
      <c r="E22" s="12"/>
      <c r="F22" s="81"/>
      <c r="G22" s="12"/>
      <c r="H22" s="12"/>
      <c r="I22" s="12"/>
      <c r="J22" s="119">
        <f t="shared" si="1"/>
        <v>45368</v>
      </c>
      <c r="K22" s="83">
        <f t="shared" si="0"/>
        <v>998.09599999999989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2"/>
      <c r="I23" s="12"/>
      <c r="J23" s="119">
        <f>J22+D23+E23-H23-I23</f>
        <v>45368</v>
      </c>
      <c r="K23" s="83">
        <f t="shared" si="0"/>
        <v>998.09599999999989</v>
      </c>
    </row>
    <row r="24" spans="1:11" x14ac:dyDescent="0.25">
      <c r="A24" s="12" t="s">
        <v>13</v>
      </c>
      <c r="C24" s="81"/>
      <c r="D24" s="12"/>
      <c r="E24" s="12"/>
      <c r="F24" s="81"/>
      <c r="G24" s="12"/>
      <c r="H24" s="12"/>
      <c r="I24" s="12"/>
      <c r="J24" s="119">
        <f t="shared" si="1"/>
        <v>45368</v>
      </c>
      <c r="K24" s="83">
        <f t="shared" si="0"/>
        <v>998.09599999999989</v>
      </c>
    </row>
    <row r="25" spans="1:11" x14ac:dyDescent="0.25">
      <c r="A25" s="12" t="s">
        <v>14</v>
      </c>
      <c r="B25" s="81"/>
      <c r="C25" s="109"/>
      <c r="D25" s="12"/>
      <c r="E25" s="12"/>
      <c r="F25" s="81"/>
      <c r="G25" s="12"/>
      <c r="H25" s="12"/>
      <c r="I25" s="12"/>
      <c r="J25" s="119">
        <f t="shared" si="1"/>
        <v>45368</v>
      </c>
      <c r="K25" s="83">
        <f t="shared" si="0"/>
        <v>998.09599999999989</v>
      </c>
    </row>
    <row r="26" spans="1:11" ht="13.5" customHeight="1" x14ac:dyDescent="0.25">
      <c r="A26" s="12" t="s">
        <v>15</v>
      </c>
      <c r="B26" s="92"/>
      <c r="C26" s="111"/>
      <c r="D26" s="12"/>
      <c r="E26" s="12"/>
      <c r="F26" s="81"/>
      <c r="G26" s="12"/>
      <c r="H26" s="12"/>
      <c r="I26" s="12"/>
      <c r="J26" s="119">
        <f t="shared" si="1"/>
        <v>45368</v>
      </c>
      <c r="K26" s="83">
        <f t="shared" si="0"/>
        <v>998.09599999999989</v>
      </c>
    </row>
    <row r="27" spans="1:11" ht="14.4" x14ac:dyDescent="0.3">
      <c r="A27" s="12" t="s">
        <v>16</v>
      </c>
      <c r="B27" s="102" t="s">
        <v>874</v>
      </c>
      <c r="C27" s="103"/>
      <c r="D27" s="12">
        <v>1045</v>
      </c>
      <c r="E27" s="12"/>
      <c r="F27" s="81"/>
      <c r="G27" s="12"/>
      <c r="H27" s="12"/>
      <c r="I27" s="12"/>
      <c r="J27" s="119">
        <f t="shared" si="1"/>
        <v>46413</v>
      </c>
      <c r="K27" s="83">
        <f t="shared" si="0"/>
        <v>1021.0859999999999</v>
      </c>
    </row>
    <row r="28" spans="1:11" x14ac:dyDescent="0.25">
      <c r="A28" s="12" t="s">
        <v>17</v>
      </c>
      <c r="C28"/>
      <c r="D28" s="12"/>
      <c r="E28" s="12"/>
      <c r="F28" s="81"/>
      <c r="G28" s="12"/>
      <c r="H28" s="12">
        <v>1324</v>
      </c>
      <c r="I28" s="12"/>
      <c r="J28" s="119">
        <f t="shared" si="1"/>
        <v>45089</v>
      </c>
      <c r="K28" s="83">
        <f t="shared" si="0"/>
        <v>991.95799999999997</v>
      </c>
    </row>
    <row r="29" spans="1:11" ht="14.4" x14ac:dyDescent="0.3">
      <c r="A29" s="12" t="s">
        <v>18</v>
      </c>
      <c r="B29" s="102" t="s">
        <v>875</v>
      </c>
      <c r="C29" s="123" t="s">
        <v>876</v>
      </c>
      <c r="D29" s="12">
        <f>33+1010</f>
        <v>1043</v>
      </c>
      <c r="E29" s="12"/>
      <c r="F29" s="81"/>
      <c r="G29" s="12"/>
      <c r="H29" s="12">
        <v>1514</v>
      </c>
      <c r="I29" s="12"/>
      <c r="J29" s="119">
        <f t="shared" si="1"/>
        <v>44618</v>
      </c>
      <c r="K29" s="83">
        <f t="shared" si="0"/>
        <v>981.59599999999989</v>
      </c>
    </row>
    <row r="30" spans="1:11" x14ac:dyDescent="0.25">
      <c r="A30" s="12" t="s">
        <v>19</v>
      </c>
      <c r="B30" s="81"/>
      <c r="C30" s="81"/>
      <c r="D30" s="12"/>
      <c r="E30" s="12"/>
      <c r="F30" s="81"/>
      <c r="G30" s="111"/>
      <c r="H30" s="12">
        <v>1154</v>
      </c>
      <c r="I30" s="12"/>
      <c r="J30" s="119">
        <f>J29+D30+E30-H30-I30</f>
        <v>43464</v>
      </c>
      <c r="K30" s="83">
        <f t="shared" si="0"/>
        <v>956.20799999999997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">
        <v>569</v>
      </c>
      <c r="I31" s="12"/>
      <c r="J31" s="119">
        <f t="shared" si="1"/>
        <v>42895</v>
      </c>
      <c r="K31" s="83">
        <f t="shared" si="0"/>
        <v>943.68999999999994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">
        <v>1038</v>
      </c>
      <c r="I32" s="12"/>
      <c r="J32" s="119">
        <f t="shared" si="1"/>
        <v>41857</v>
      </c>
      <c r="K32" s="83">
        <f t="shared" si="0"/>
        <v>920.85399999999993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/>
      <c r="I33" s="12"/>
      <c r="J33" s="119">
        <f t="shared" si="1"/>
        <v>41857</v>
      </c>
      <c r="K33" s="83">
        <f t="shared" si="0"/>
        <v>920.85399999999993</v>
      </c>
    </row>
    <row r="34" spans="1:12" x14ac:dyDescent="0.25">
      <c r="A34" s="12" t="s">
        <v>23</v>
      </c>
      <c r="B34" s="81"/>
      <c r="C34" s="81"/>
      <c r="D34" s="12"/>
      <c r="E34" s="12"/>
      <c r="F34" s="81"/>
      <c r="G34" s="12"/>
      <c r="H34" s="12">
        <v>1729</v>
      </c>
      <c r="I34" s="12"/>
      <c r="J34" s="119">
        <f t="shared" si="1"/>
        <v>40128</v>
      </c>
      <c r="K34" s="83">
        <f t="shared" si="0"/>
        <v>882.81599999999992</v>
      </c>
    </row>
    <row r="35" spans="1:12" x14ac:dyDescent="0.25">
      <c r="A35" s="12" t="s">
        <v>24</v>
      </c>
      <c r="B35" s="81"/>
      <c r="C35" s="96"/>
      <c r="D35" s="12"/>
      <c r="E35" s="12"/>
      <c r="F35" s="81"/>
      <c r="G35" s="12"/>
      <c r="H35" s="12">
        <v>3084</v>
      </c>
      <c r="I35" s="12"/>
      <c r="J35" s="119">
        <f t="shared" si="1"/>
        <v>37044</v>
      </c>
      <c r="K35" s="83">
        <f t="shared" si="0"/>
        <v>814.96799999999996</v>
      </c>
    </row>
    <row r="36" spans="1:12" ht="13.5" customHeight="1" x14ac:dyDescent="0.25">
      <c r="A36" s="12" t="s">
        <v>25</v>
      </c>
      <c r="B36" s="81"/>
      <c r="C36" s="81"/>
      <c r="D36" s="12"/>
      <c r="E36" s="12"/>
      <c r="F36" s="12"/>
      <c r="G36" s="12"/>
      <c r="H36" s="12">
        <v>1322</v>
      </c>
      <c r="I36" s="108"/>
      <c r="J36" s="119">
        <f t="shared" si="1"/>
        <v>35722</v>
      </c>
      <c r="K36" s="83">
        <f t="shared" si="0"/>
        <v>785.8839999999999</v>
      </c>
    </row>
    <row r="37" spans="1:12" ht="14.4" x14ac:dyDescent="0.3">
      <c r="A37" s="12" t="s">
        <v>26</v>
      </c>
      <c r="B37" s="102" t="s">
        <v>877</v>
      </c>
      <c r="C37" s="100"/>
      <c r="D37" s="12">
        <v>1243</v>
      </c>
      <c r="E37" s="12"/>
      <c r="F37" s="12"/>
      <c r="G37" s="12"/>
      <c r="H37" s="12">
        <v>1976</v>
      </c>
      <c r="I37" s="12"/>
      <c r="J37" s="119">
        <f t="shared" si="1"/>
        <v>34989</v>
      </c>
      <c r="K37" s="83">
        <f t="shared" si="0"/>
        <v>769.75799999999992</v>
      </c>
    </row>
    <row r="38" spans="1:12" x14ac:dyDescent="0.25">
      <c r="A38" s="12" t="s">
        <v>27</v>
      </c>
      <c r="B38" s="81"/>
      <c r="C38" s="109"/>
      <c r="D38" s="12"/>
      <c r="E38" s="12"/>
      <c r="F38" s="12"/>
      <c r="G38" s="12"/>
      <c r="H38" s="12"/>
      <c r="I38" s="12"/>
      <c r="J38" s="119">
        <f t="shared" si="1"/>
        <v>34989</v>
      </c>
      <c r="K38" s="83">
        <f t="shared" si="0"/>
        <v>769.75799999999992</v>
      </c>
    </row>
    <row r="39" spans="1:12" x14ac:dyDescent="0.25">
      <c r="A39" s="12" t="s">
        <v>28</v>
      </c>
      <c r="B39" s="81"/>
      <c r="C39" s="81"/>
      <c r="D39" s="12"/>
      <c r="E39" s="12"/>
      <c r="F39" s="81"/>
      <c r="G39" s="12"/>
      <c r="H39" s="12"/>
      <c r="I39" s="12"/>
      <c r="J39" s="119">
        <f t="shared" ref="J39:J41" si="2">J38+D39+E39-H39-I39</f>
        <v>34989</v>
      </c>
      <c r="K39" s="83">
        <f t="shared" ref="K39:K41" si="3">0.022*J39</f>
        <v>769.75799999999992</v>
      </c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/>
      <c r="I40" s="12"/>
      <c r="J40" s="119">
        <f t="shared" si="2"/>
        <v>34989</v>
      </c>
      <c r="K40" s="83">
        <f t="shared" si="3"/>
        <v>769.75799999999992</v>
      </c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"/>
      <c r="I41" s="12"/>
      <c r="J41" s="119">
        <f t="shared" si="2"/>
        <v>34989</v>
      </c>
      <c r="K41" s="83">
        <f t="shared" si="3"/>
        <v>769.75799999999992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10213</v>
      </c>
      <c r="E42" s="121">
        <f>SUM(E11:E41)</f>
        <v>0</v>
      </c>
      <c r="F42" s="120">
        <v>0</v>
      </c>
      <c r="G42" s="120"/>
      <c r="H42" s="121">
        <f>SUM(H11:H41)</f>
        <v>16944</v>
      </c>
      <c r="I42" s="121">
        <f>SUM(I11:I41)</f>
        <v>0</v>
      </c>
      <c r="J42" s="69">
        <f>AVERAGE(J11:J41)</f>
        <v>42256.354838709674</v>
      </c>
      <c r="K42" s="32">
        <f>SUM(K11:K41)</f>
        <v>28818.833999999999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10213</v>
      </c>
      <c r="I45" s="59">
        <v>0.31</v>
      </c>
      <c r="J45" s="48">
        <f>H45*I45</f>
        <v>3166.03</v>
      </c>
      <c r="K45" s="50">
        <f>kurs*J45</f>
        <v>370890.28320400004</v>
      </c>
    </row>
    <row r="46" spans="1:12" x14ac:dyDescent="0.25">
      <c r="E46" s="42" t="s">
        <v>54</v>
      </c>
      <c r="F46" s="43"/>
      <c r="G46" s="43"/>
      <c r="H46" s="44">
        <f>H42+I42</f>
        <v>16944</v>
      </c>
      <c r="I46" s="59">
        <v>0.22</v>
      </c>
      <c r="J46" s="48">
        <f>H46*I46</f>
        <v>3727.68</v>
      </c>
      <c r="K46" s="50">
        <f t="shared" ref="K46" si="4">kurs*J46</f>
        <v>436685.78342399996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5">H47*I47</f>
        <v>0</v>
      </c>
      <c r="K47" s="50">
        <f t="shared" ref="K47:K50" si="6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5"/>
        <v>0</v>
      </c>
      <c r="K48" s="50">
        <f t="shared" ref="K48:K49" si="7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5"/>
        <v>0</v>
      </c>
      <c r="K49" s="50">
        <f t="shared" si="7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5"/>
        <v>0</v>
      </c>
      <c r="K50" s="50">
        <f t="shared" si="6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5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5"/>
        <v>0</v>
      </c>
      <c r="K52" s="50">
        <f>kurs*J52</f>
        <v>0</v>
      </c>
    </row>
    <row r="53" spans="3:12" x14ac:dyDescent="0.25">
      <c r="E53" s="45" t="s">
        <v>829</v>
      </c>
      <c r="F53" s="46"/>
      <c r="G53" s="46" t="s">
        <v>832</v>
      </c>
      <c r="H53" s="47">
        <v>0</v>
      </c>
      <c r="I53" s="60">
        <v>200</v>
      </c>
      <c r="J53" s="48">
        <f t="shared" si="5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 t="s">
        <v>841</v>
      </c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28818.833999999999</v>
      </c>
      <c r="K55" s="50">
        <f>kurs*J55</f>
        <v>3376034.1828311998</v>
      </c>
      <c r="L55" s="61"/>
    </row>
    <row r="56" spans="3:12" x14ac:dyDescent="0.25">
      <c r="E56" s="22"/>
      <c r="I56" t="s">
        <v>56</v>
      </c>
      <c r="J56" s="52">
        <f>SUM(J45:J55)</f>
        <v>35712.544000000002</v>
      </c>
      <c r="K56" s="51">
        <f>SUM(K45:K55)</f>
        <v>4183610.2494591996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2BCC-C041-4CAE-81F6-DE0BEF2AAD02}">
  <dimension ref="A1:L61"/>
  <sheetViews>
    <sheetView view="pageBreakPreview" topLeftCell="A31" zoomScaleNormal="100" zoomScaleSheetLayoutView="100" workbookViewId="0">
      <selection activeCell="C51" sqref="C51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842</v>
      </c>
      <c r="H3" s="4"/>
      <c r="I3" s="4"/>
    </row>
    <row r="4" spans="1:11" x14ac:dyDescent="0.25">
      <c r="B4" s="2"/>
      <c r="C4" s="6"/>
      <c r="F4" s="3" t="s">
        <v>843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117.1161</v>
      </c>
      <c r="F6" t="s">
        <v>42</v>
      </c>
      <c r="G6" s="102">
        <v>2502004304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36748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/>
      <c r="I11" s="56"/>
      <c r="J11" s="119">
        <f>D10+D11+E11-H11-I11</f>
        <v>36748</v>
      </c>
      <c r="K11" s="83">
        <f>0.022*J11</f>
        <v>808.4559999999999</v>
      </c>
    </row>
    <row r="12" spans="1:11" ht="14.25" customHeight="1" x14ac:dyDescent="0.25">
      <c r="A12" s="12" t="s">
        <v>1</v>
      </c>
      <c r="B12" s="81"/>
      <c r="C12" s="91"/>
      <c r="D12" s="12"/>
      <c r="E12" s="12"/>
      <c r="F12" s="12"/>
      <c r="G12" s="12"/>
      <c r="H12" s="12"/>
      <c r="I12" s="56"/>
      <c r="J12" s="119">
        <f>J11+D12+E12-H12-I12</f>
        <v>36748</v>
      </c>
      <c r="K12" s="83">
        <f t="shared" ref="K12:K38" si="0">0.022*J12</f>
        <v>808.4559999999999</v>
      </c>
    </row>
    <row r="13" spans="1:11" ht="13.5" customHeight="1" x14ac:dyDescent="0.25">
      <c r="A13" s="12" t="s">
        <v>2</v>
      </c>
      <c r="B13" s="81" t="s">
        <v>844</v>
      </c>
      <c r="C13" s="103" t="s">
        <v>845</v>
      </c>
      <c r="D13" s="56">
        <f>708+753</f>
        <v>1461</v>
      </c>
      <c r="E13" s="56"/>
      <c r="F13" s="12"/>
      <c r="G13" s="12"/>
      <c r="H13" s="12"/>
      <c r="I13" s="56"/>
      <c r="J13" s="119">
        <f t="shared" ref="J13:J38" si="1">J12+D13+E13-H13-I13</f>
        <v>38209</v>
      </c>
      <c r="K13" s="83">
        <f t="shared" si="0"/>
        <v>840.59799999999996</v>
      </c>
    </row>
    <row r="14" spans="1:11" x14ac:dyDescent="0.25">
      <c r="A14" s="12" t="s">
        <v>3</v>
      </c>
      <c r="B14" s="73" t="s">
        <v>846</v>
      </c>
      <c r="C14" s="109"/>
      <c r="D14" s="12">
        <v>926</v>
      </c>
      <c r="E14" s="12"/>
      <c r="F14" s="12"/>
      <c r="G14" s="12"/>
      <c r="H14" s="12"/>
      <c r="I14" s="56"/>
      <c r="J14" s="119">
        <f>J13+D14+E14-H14-I14</f>
        <v>39135</v>
      </c>
      <c r="K14" s="83">
        <f t="shared" si="0"/>
        <v>860.96999999999991</v>
      </c>
    </row>
    <row r="15" spans="1:11" x14ac:dyDescent="0.25">
      <c r="A15" s="12" t="s">
        <v>4</v>
      </c>
      <c r="B15" t="s">
        <v>847</v>
      </c>
      <c r="C15" s="109"/>
      <c r="D15" s="12">
        <v>1183</v>
      </c>
      <c r="E15" s="12"/>
      <c r="F15" s="12"/>
      <c r="G15" s="12"/>
      <c r="H15" s="12"/>
      <c r="I15" s="56"/>
      <c r="J15" s="119">
        <f t="shared" si="1"/>
        <v>40318</v>
      </c>
      <c r="K15" s="83">
        <f t="shared" si="0"/>
        <v>886.99599999999998</v>
      </c>
    </row>
    <row r="16" spans="1:11" x14ac:dyDescent="0.25">
      <c r="A16" s="12" t="s">
        <v>5</v>
      </c>
      <c r="B16" s="81" t="s">
        <v>848</v>
      </c>
      <c r="C16" s="111" t="s">
        <v>862</v>
      </c>
      <c r="D16" s="12">
        <f>170+129</f>
        <v>299</v>
      </c>
      <c r="E16" s="12"/>
      <c r="F16" s="12"/>
      <c r="G16" s="12"/>
      <c r="H16" s="105">
        <f>366+22+1200</f>
        <v>1588</v>
      </c>
      <c r="I16" s="56"/>
      <c r="J16" s="119">
        <f t="shared" si="1"/>
        <v>39029</v>
      </c>
      <c r="K16" s="83">
        <f t="shared" si="0"/>
        <v>858.63799999999992</v>
      </c>
    </row>
    <row r="17" spans="1:11" x14ac:dyDescent="0.25">
      <c r="A17" s="12" t="s">
        <v>6</v>
      </c>
      <c r="B17" s="116" t="s">
        <v>849</v>
      </c>
      <c r="C17" s="81"/>
      <c r="D17" s="12">
        <v>1242</v>
      </c>
      <c r="E17" s="12"/>
      <c r="F17" s="81"/>
      <c r="G17" s="12"/>
      <c r="H17" s="12">
        <v>1752</v>
      </c>
      <c r="I17" s="12"/>
      <c r="J17" s="119">
        <f>J16+D17+E17-H17-I17</f>
        <v>38519</v>
      </c>
      <c r="K17" s="83">
        <f t="shared" si="0"/>
        <v>847.41800000000001</v>
      </c>
    </row>
    <row r="18" spans="1:11" x14ac:dyDescent="0.25">
      <c r="A18" s="12" t="s">
        <v>7</v>
      </c>
      <c r="B18" s="81"/>
      <c r="C18" s="73"/>
      <c r="D18" s="12"/>
      <c r="E18" s="12"/>
      <c r="F18" s="12"/>
      <c r="G18" s="12"/>
      <c r="H18" s="12"/>
      <c r="I18" s="12"/>
      <c r="J18" s="119">
        <f>J17+D18+E18-H18-I18</f>
        <v>38519</v>
      </c>
      <c r="K18" s="83">
        <f t="shared" si="0"/>
        <v>847.41800000000001</v>
      </c>
    </row>
    <row r="19" spans="1:11" ht="13.5" customHeight="1" x14ac:dyDescent="0.25">
      <c r="A19" s="12" t="s">
        <v>8</v>
      </c>
      <c r="B19" s="81"/>
      <c r="C19" s="81"/>
      <c r="D19" s="12"/>
      <c r="E19" s="12"/>
      <c r="F19" s="81"/>
      <c r="G19" s="12"/>
      <c r="H19" s="12"/>
      <c r="I19" s="12"/>
      <c r="J19" s="119">
        <f t="shared" si="1"/>
        <v>38519</v>
      </c>
      <c r="K19" s="83">
        <f t="shared" si="0"/>
        <v>847.41800000000001</v>
      </c>
    </row>
    <row r="20" spans="1:11" x14ac:dyDescent="0.25">
      <c r="A20" s="12" t="s">
        <v>9</v>
      </c>
      <c r="B20" s="92" t="s">
        <v>850</v>
      </c>
      <c r="C20" s="109" t="s">
        <v>851</v>
      </c>
      <c r="D20" s="12">
        <f>1399+1206+554</f>
        <v>3159</v>
      </c>
      <c r="E20" s="12"/>
      <c r="F20" s="81"/>
      <c r="G20" s="12"/>
      <c r="H20" s="12"/>
      <c r="I20" s="12"/>
      <c r="J20" s="119">
        <f t="shared" si="1"/>
        <v>41678</v>
      </c>
      <c r="K20" s="83">
        <f t="shared" si="0"/>
        <v>916.91599999999994</v>
      </c>
    </row>
    <row r="21" spans="1:11" x14ac:dyDescent="0.25">
      <c r="A21" s="12" t="s">
        <v>10</v>
      </c>
      <c r="B21" s="81" t="s">
        <v>852</v>
      </c>
      <c r="C21" s="109"/>
      <c r="D21" s="12">
        <v>1227</v>
      </c>
      <c r="E21" s="12"/>
      <c r="F21" s="81"/>
      <c r="G21" s="12"/>
      <c r="H21" s="12">
        <v>738</v>
      </c>
      <c r="I21" s="12"/>
      <c r="J21" s="119">
        <f t="shared" si="1"/>
        <v>42167</v>
      </c>
      <c r="K21" s="83">
        <f t="shared" si="0"/>
        <v>927.67399999999998</v>
      </c>
    </row>
    <row r="22" spans="1:11" x14ac:dyDescent="0.25">
      <c r="A22" s="12" t="s">
        <v>11</v>
      </c>
      <c r="B22" t="s">
        <v>853</v>
      </c>
      <c r="C22" s="109" t="s">
        <v>854</v>
      </c>
      <c r="D22" s="12">
        <f>1236+27</f>
        <v>1263</v>
      </c>
      <c r="E22" s="12"/>
      <c r="F22" s="81"/>
      <c r="G22" s="12"/>
      <c r="H22" s="12"/>
      <c r="I22" s="12"/>
      <c r="J22" s="119">
        <f t="shared" si="1"/>
        <v>43430</v>
      </c>
      <c r="K22" s="83">
        <f t="shared" si="0"/>
        <v>955.45999999999992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2">
        <v>868</v>
      </c>
      <c r="I23" s="12"/>
      <c r="J23" s="119">
        <f>J22+D23+E23-H23-I23</f>
        <v>42562</v>
      </c>
      <c r="K23" s="83">
        <f t="shared" si="0"/>
        <v>936.36399999999992</v>
      </c>
    </row>
    <row r="24" spans="1:11" x14ac:dyDescent="0.25">
      <c r="A24" s="12" t="s">
        <v>13</v>
      </c>
      <c r="B24" t="s">
        <v>855</v>
      </c>
      <c r="C24" s="81"/>
      <c r="D24" s="12">
        <v>27</v>
      </c>
      <c r="E24" s="12"/>
      <c r="F24" s="81"/>
      <c r="G24" s="12"/>
      <c r="H24" s="12"/>
      <c r="I24" s="12"/>
      <c r="J24" s="119">
        <f t="shared" si="1"/>
        <v>42589</v>
      </c>
      <c r="K24" s="83">
        <f t="shared" si="0"/>
        <v>936.95799999999997</v>
      </c>
    </row>
    <row r="25" spans="1:11" x14ac:dyDescent="0.25">
      <c r="A25" s="12" t="s">
        <v>14</v>
      </c>
      <c r="B25" s="81"/>
      <c r="C25" s="109"/>
      <c r="D25" s="12"/>
      <c r="E25" s="12"/>
      <c r="F25" s="81"/>
      <c r="G25" s="12"/>
      <c r="H25" s="12"/>
      <c r="I25" s="12"/>
      <c r="J25" s="119">
        <f t="shared" si="1"/>
        <v>42589</v>
      </c>
      <c r="K25" s="83">
        <f t="shared" si="0"/>
        <v>936.95799999999997</v>
      </c>
    </row>
    <row r="26" spans="1:11" ht="13.5" customHeight="1" x14ac:dyDescent="0.25">
      <c r="A26" s="12" t="s">
        <v>15</v>
      </c>
      <c r="B26" s="92"/>
      <c r="C26" s="111"/>
      <c r="D26" s="12"/>
      <c r="E26" s="12"/>
      <c r="F26" s="81"/>
      <c r="G26" s="12"/>
      <c r="H26" s="12"/>
      <c r="I26" s="12"/>
      <c r="J26" s="119">
        <f t="shared" si="1"/>
        <v>42589</v>
      </c>
      <c r="K26" s="83">
        <f t="shared" si="0"/>
        <v>936.95799999999997</v>
      </c>
    </row>
    <row r="27" spans="1:11" x14ac:dyDescent="0.25">
      <c r="A27" s="12" t="s">
        <v>16</v>
      </c>
      <c r="B27" s="81"/>
      <c r="C27" s="103"/>
      <c r="D27" s="12"/>
      <c r="E27" s="12"/>
      <c r="F27" s="81"/>
      <c r="G27" s="12"/>
      <c r="H27" s="12"/>
      <c r="I27" s="12"/>
      <c r="J27" s="119">
        <f t="shared" si="1"/>
        <v>42589</v>
      </c>
      <c r="K27" s="83">
        <f t="shared" si="0"/>
        <v>936.95799999999997</v>
      </c>
    </row>
    <row r="28" spans="1:11" x14ac:dyDescent="0.25">
      <c r="A28" s="12" t="s">
        <v>17</v>
      </c>
      <c r="B28" t="s">
        <v>856</v>
      </c>
      <c r="C28" t="s">
        <v>857</v>
      </c>
      <c r="D28" s="12">
        <f>1506+1144</f>
        <v>2650</v>
      </c>
      <c r="E28" s="12"/>
      <c r="F28" s="81"/>
      <c r="G28" s="12"/>
      <c r="H28" s="12">
        <f>1420+89</f>
        <v>1509</v>
      </c>
      <c r="I28" s="12"/>
      <c r="J28" s="119">
        <f t="shared" si="1"/>
        <v>43730</v>
      </c>
      <c r="K28" s="83">
        <f t="shared" si="0"/>
        <v>962.06</v>
      </c>
    </row>
    <row r="29" spans="1:11" x14ac:dyDescent="0.25">
      <c r="A29" s="12" t="s">
        <v>18</v>
      </c>
      <c r="B29" s="81"/>
      <c r="C29" s="112"/>
      <c r="D29" s="12"/>
      <c r="E29" s="12"/>
      <c r="F29" s="81"/>
      <c r="G29" s="12"/>
      <c r="H29" s="12">
        <v>453</v>
      </c>
      <c r="I29" s="12"/>
      <c r="J29" s="119">
        <f t="shared" si="1"/>
        <v>43277</v>
      </c>
      <c r="K29" s="83">
        <f t="shared" si="0"/>
        <v>952.09399999999994</v>
      </c>
    </row>
    <row r="30" spans="1:11" x14ac:dyDescent="0.25">
      <c r="A30" s="12" t="s">
        <v>19</v>
      </c>
      <c r="B30" s="81"/>
      <c r="C30" s="81"/>
      <c r="D30" s="12"/>
      <c r="E30" s="12"/>
      <c r="F30" s="81"/>
      <c r="G30" s="111" t="s">
        <v>862</v>
      </c>
      <c r="H30" s="12">
        <v>129</v>
      </c>
      <c r="I30" s="12"/>
      <c r="J30" s="119">
        <f>J29+D30+E30-H30-I30</f>
        <v>43148</v>
      </c>
      <c r="K30" s="83">
        <f t="shared" si="0"/>
        <v>949.25599999999997</v>
      </c>
    </row>
    <row r="31" spans="1:11" x14ac:dyDescent="0.25">
      <c r="A31" s="12" t="s">
        <v>20</v>
      </c>
      <c r="B31" s="104" t="s">
        <v>858</v>
      </c>
      <c r="C31" s="100"/>
      <c r="D31" s="12">
        <v>1140</v>
      </c>
      <c r="E31" s="106"/>
      <c r="F31" s="81"/>
      <c r="G31" s="12"/>
      <c r="H31" s="12"/>
      <c r="I31" s="12"/>
      <c r="J31" s="119">
        <f t="shared" si="1"/>
        <v>44288</v>
      </c>
      <c r="K31" s="83">
        <f t="shared" si="0"/>
        <v>974.3359999999999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"/>
      <c r="I32" s="12"/>
      <c r="J32" s="119">
        <f t="shared" si="1"/>
        <v>44288</v>
      </c>
      <c r="K32" s="83">
        <f t="shared" si="0"/>
        <v>974.3359999999999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/>
      <c r="I33" s="12"/>
      <c r="J33" s="119">
        <f t="shared" si="1"/>
        <v>44288</v>
      </c>
      <c r="K33" s="83">
        <f t="shared" si="0"/>
        <v>974.3359999999999</v>
      </c>
    </row>
    <row r="34" spans="1:12" x14ac:dyDescent="0.25">
      <c r="A34" s="12" t="s">
        <v>23</v>
      </c>
      <c r="B34" s="81" t="s">
        <v>859</v>
      </c>
      <c r="C34" s="81" t="s">
        <v>860</v>
      </c>
      <c r="D34" s="12">
        <f>905+229+477</f>
        <v>1611</v>
      </c>
      <c r="E34" s="12"/>
      <c r="F34" s="81"/>
      <c r="G34" s="12"/>
      <c r="H34" s="12">
        <v>1280</v>
      </c>
      <c r="I34" s="12"/>
      <c r="J34" s="119">
        <f t="shared" si="1"/>
        <v>44619</v>
      </c>
      <c r="K34" s="83">
        <f t="shared" si="0"/>
        <v>981.61799999999994</v>
      </c>
    </row>
    <row r="35" spans="1:12" x14ac:dyDescent="0.25">
      <c r="A35" s="12" t="s">
        <v>24</v>
      </c>
      <c r="B35" s="81" t="s">
        <v>861</v>
      </c>
      <c r="C35" s="96"/>
      <c r="D35" s="12">
        <v>22</v>
      </c>
      <c r="E35" s="12"/>
      <c r="F35" s="81"/>
      <c r="G35" s="12"/>
      <c r="H35" s="12">
        <f>736+425</f>
        <v>1161</v>
      </c>
      <c r="I35" s="12"/>
      <c r="J35" s="119">
        <f t="shared" si="1"/>
        <v>43480</v>
      </c>
      <c r="K35" s="83">
        <f t="shared" si="0"/>
        <v>956.56</v>
      </c>
    </row>
    <row r="36" spans="1:12" ht="13.5" customHeight="1" x14ac:dyDescent="0.25">
      <c r="A36" s="12" t="s">
        <v>25</v>
      </c>
      <c r="B36" s="81"/>
      <c r="C36" s="81"/>
      <c r="D36" s="12"/>
      <c r="E36" s="12"/>
      <c r="F36" s="12"/>
      <c r="G36" s="12"/>
      <c r="H36" s="12">
        <v>455</v>
      </c>
      <c r="I36" s="108"/>
      <c r="J36" s="119">
        <f t="shared" si="1"/>
        <v>43025</v>
      </c>
      <c r="K36" s="83">
        <f t="shared" si="0"/>
        <v>946.55</v>
      </c>
    </row>
    <row r="37" spans="1:12" x14ac:dyDescent="0.25">
      <c r="A37" s="12" t="s">
        <v>26</v>
      </c>
      <c r="B37" s="104"/>
      <c r="C37" s="100"/>
      <c r="D37" s="12"/>
      <c r="E37" s="12"/>
      <c r="F37" s="12"/>
      <c r="G37" s="12"/>
      <c r="H37" s="12">
        <v>619</v>
      </c>
      <c r="I37" s="12"/>
      <c r="J37" s="119">
        <f t="shared" si="1"/>
        <v>42406</v>
      </c>
      <c r="K37" s="83">
        <f t="shared" si="0"/>
        <v>932.9319999999999</v>
      </c>
    </row>
    <row r="38" spans="1:12" x14ac:dyDescent="0.25">
      <c r="A38" s="12" t="s">
        <v>27</v>
      </c>
      <c r="B38" s="81"/>
      <c r="C38" s="109"/>
      <c r="D38" s="12"/>
      <c r="E38" s="12"/>
      <c r="F38" s="12"/>
      <c r="G38" s="12"/>
      <c r="H38" s="12">
        <v>686</v>
      </c>
      <c r="I38" s="12"/>
      <c r="J38" s="119">
        <f t="shared" si="1"/>
        <v>41720</v>
      </c>
      <c r="K38" s="83">
        <f t="shared" si="0"/>
        <v>917.83999999999992</v>
      </c>
    </row>
    <row r="39" spans="1:12" x14ac:dyDescent="0.25">
      <c r="A39" s="12" t="s">
        <v>28</v>
      </c>
      <c r="B39" s="81"/>
      <c r="C39" s="81"/>
      <c r="D39" s="12"/>
      <c r="E39" s="12"/>
      <c r="F39" s="81"/>
      <c r="G39" s="12"/>
      <c r="H39" s="12"/>
      <c r="I39" s="12"/>
      <c r="J39" s="119"/>
      <c r="K39" s="83"/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/>
      <c r="I40" s="12"/>
      <c r="J40" s="119"/>
      <c r="K40" s="83"/>
    </row>
    <row r="41" spans="1:12" x14ac:dyDescent="0.25">
      <c r="A41" s="12" t="s">
        <v>30</v>
      </c>
      <c r="B41" s="81"/>
      <c r="C41" s="96"/>
      <c r="D41" s="12"/>
      <c r="E41" s="12"/>
      <c r="F41" s="81"/>
      <c r="G41" s="12"/>
      <c r="H41" s="12"/>
      <c r="I41" s="12"/>
      <c r="J41" s="119"/>
      <c r="K41" s="83"/>
    </row>
    <row r="42" spans="1:12" ht="15" thickBot="1" x14ac:dyDescent="0.35">
      <c r="A42" s="160"/>
      <c r="B42" s="160"/>
      <c r="C42" s="120" t="s">
        <v>31</v>
      </c>
      <c r="D42" s="121">
        <f>SUM(D11:D41)</f>
        <v>16210</v>
      </c>
      <c r="E42" s="121">
        <f>SUM(E11:E41)</f>
        <v>0</v>
      </c>
      <c r="F42" s="120">
        <v>0</v>
      </c>
      <c r="G42" s="120"/>
      <c r="H42" s="121">
        <f>SUM(H11:H41)</f>
        <v>11238</v>
      </c>
      <c r="I42" s="121">
        <f>SUM(I11:I41)</f>
        <v>0</v>
      </c>
      <c r="J42" s="69">
        <f>AVERAGE(J11:J41)</f>
        <v>41578.785714285717</v>
      </c>
      <c r="K42" s="32">
        <f>SUM(K11:K41)</f>
        <v>25612.531999999999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16210</v>
      </c>
      <c r="I45" s="59">
        <v>0.31</v>
      </c>
      <c r="J45" s="48">
        <f>H45*I45</f>
        <v>5025.1000000000004</v>
      </c>
      <c r="K45" s="50">
        <f>kurs*J45</f>
        <v>588520.11411000008</v>
      </c>
    </row>
    <row r="46" spans="1:12" x14ac:dyDescent="0.25">
      <c r="E46" s="42" t="s">
        <v>54</v>
      </c>
      <c r="F46" s="43"/>
      <c r="G46" s="43"/>
      <c r="H46" s="44">
        <f>H42+I42</f>
        <v>11238</v>
      </c>
      <c r="I46" s="59">
        <v>0.22</v>
      </c>
      <c r="J46" s="48">
        <f>H46*I46</f>
        <v>2472.36</v>
      </c>
      <c r="K46" s="50">
        <f t="shared" ref="K46" si="2">kurs*J46</f>
        <v>289553.16099600005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3">H47*I47</f>
        <v>0</v>
      </c>
      <c r="K47" s="50">
        <f t="shared" ref="K47:K50" si="4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3"/>
        <v>0</v>
      </c>
      <c r="K48" s="50">
        <f t="shared" ref="K48:K49" si="5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1.65</v>
      </c>
      <c r="J49" s="48">
        <f t="shared" si="3"/>
        <v>0</v>
      </c>
      <c r="K49" s="50">
        <f t="shared" si="5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3"/>
        <v>0</v>
      </c>
      <c r="K50" s="50">
        <f t="shared" si="4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3"/>
        <v>0</v>
      </c>
      <c r="K52" s="50">
        <f>kurs*J52</f>
        <v>0</v>
      </c>
    </row>
    <row r="53" spans="3:12" x14ac:dyDescent="0.25">
      <c r="E53" s="45" t="s">
        <v>829</v>
      </c>
      <c r="F53" s="46"/>
      <c r="G53" s="46" t="s">
        <v>832</v>
      </c>
      <c r="H53" s="47">
        <v>0</v>
      </c>
      <c r="I53" s="60">
        <v>200</v>
      </c>
      <c r="J53" s="48">
        <f t="shared" si="3"/>
        <v>0</v>
      </c>
      <c r="K53" s="50">
        <f>kurs*J53</f>
        <v>0</v>
      </c>
    </row>
    <row r="54" spans="3:12" x14ac:dyDescent="0.25">
      <c r="E54" s="45" t="s">
        <v>840</v>
      </c>
      <c r="F54" s="46"/>
      <c r="G54" s="46" t="s">
        <v>841</v>
      </c>
      <c r="H54" s="47">
        <v>0</v>
      </c>
      <c r="I54" s="60">
        <v>200</v>
      </c>
      <c r="J54" s="48">
        <f>H54*I54</f>
        <v>0</v>
      </c>
      <c r="K54" s="50">
        <f>kurs*J54</f>
        <v>0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25612.531999999999</v>
      </c>
      <c r="K55" s="50">
        <f>kurs*J55</f>
        <v>2999639.8589651999</v>
      </c>
      <c r="L55" s="61"/>
    </row>
    <row r="56" spans="3:12" x14ac:dyDescent="0.25">
      <c r="E56" s="22"/>
      <c r="I56" t="s">
        <v>56</v>
      </c>
      <c r="J56" s="52">
        <f>SUM(J45:J55)</f>
        <v>33109.991999999998</v>
      </c>
      <c r="K56" s="51">
        <f>SUM(K45:K55)</f>
        <v>3877713.1340712002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DF2A-20E0-4012-AE11-4A5E2875FF4D}">
  <dimension ref="A1:L61"/>
  <sheetViews>
    <sheetView view="pageBreakPreview" topLeftCell="A34" zoomScaleNormal="100" zoomScaleSheetLayoutView="100" workbookViewId="0">
      <selection activeCell="G54" sqref="G54"/>
    </sheetView>
  </sheetViews>
  <sheetFormatPr defaultRowHeight="13.8" x14ac:dyDescent="0.25"/>
  <cols>
    <col min="1" max="1" width="17.5" customWidth="1"/>
    <col min="2" max="2" width="36.3984375" customWidth="1"/>
    <col min="3" max="3" width="45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838</v>
      </c>
      <c r="H3" s="4"/>
      <c r="I3" s="4"/>
    </row>
    <row r="4" spans="1:11" x14ac:dyDescent="0.25">
      <c r="B4" s="2"/>
      <c r="C4" s="6"/>
      <c r="F4" s="3" t="s">
        <v>839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117.0479</v>
      </c>
      <c r="F6" t="s">
        <v>42</v>
      </c>
      <c r="G6" s="102">
        <v>2501002120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22854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/>
      <c r="I11" s="56"/>
      <c r="J11" s="119">
        <f>D10+D11+E11-H11-I11</f>
        <v>22854</v>
      </c>
      <c r="K11" s="83">
        <f>0.022*J11</f>
        <v>502.78799999999995</v>
      </c>
    </row>
    <row r="12" spans="1:11" ht="14.25" customHeight="1" x14ac:dyDescent="0.25">
      <c r="A12" s="12" t="s">
        <v>1</v>
      </c>
      <c r="B12" s="81"/>
      <c r="C12" s="91"/>
      <c r="D12" s="12"/>
      <c r="E12" s="12"/>
      <c r="F12" s="12"/>
      <c r="G12" s="12"/>
      <c r="H12" s="12"/>
      <c r="I12" s="56"/>
      <c r="J12" s="119">
        <f>J11+D12+E12-H12-I12</f>
        <v>22854</v>
      </c>
      <c r="K12" s="83">
        <f t="shared" ref="K12:K41" si="0">0.022*J12</f>
        <v>502.78799999999995</v>
      </c>
    </row>
    <row r="13" spans="1:11" ht="13.5" customHeight="1" x14ac:dyDescent="0.25">
      <c r="A13" s="12" t="s">
        <v>2</v>
      </c>
      <c r="B13" s="81" t="s">
        <v>801</v>
      </c>
      <c r="C13" s="103"/>
      <c r="D13" s="56">
        <v>10</v>
      </c>
      <c r="E13" s="56"/>
      <c r="F13" s="12"/>
      <c r="G13" s="12"/>
      <c r="H13" s="12">
        <v>1188</v>
      </c>
      <c r="I13" s="56"/>
      <c r="J13" s="119">
        <f t="shared" ref="J13:J38" si="1">J12+D13+E13-H13-I13</f>
        <v>21676</v>
      </c>
      <c r="K13" s="83">
        <f t="shared" si="0"/>
        <v>476.87199999999996</v>
      </c>
    </row>
    <row r="14" spans="1:11" x14ac:dyDescent="0.25">
      <c r="A14" s="12" t="s">
        <v>3</v>
      </c>
      <c r="B14" s="73"/>
      <c r="C14" s="109"/>
      <c r="D14" s="12"/>
      <c r="E14" s="12"/>
      <c r="F14" s="12"/>
      <c r="G14" s="12"/>
      <c r="H14" s="12">
        <v>309</v>
      </c>
      <c r="I14" s="56"/>
      <c r="J14" s="119">
        <f>J13+D14+E14-H14-I14</f>
        <v>21367</v>
      </c>
      <c r="K14" s="83">
        <f t="shared" si="0"/>
        <v>470.07399999999996</v>
      </c>
    </row>
    <row r="15" spans="1:11" x14ac:dyDescent="0.25">
      <c r="A15" s="12" t="s">
        <v>4</v>
      </c>
      <c r="B15" s="95"/>
      <c r="C15" s="109"/>
      <c r="D15" s="12"/>
      <c r="E15" s="12"/>
      <c r="F15" s="12"/>
      <c r="G15" s="12"/>
      <c r="H15" s="12"/>
      <c r="I15" s="56"/>
      <c r="J15" s="119">
        <f t="shared" si="1"/>
        <v>21367</v>
      </c>
      <c r="K15" s="83">
        <f t="shared" si="0"/>
        <v>470.07399999999996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/>
      <c r="I16" s="56"/>
      <c r="J16" s="119">
        <f t="shared" si="1"/>
        <v>21367</v>
      </c>
      <c r="K16" s="83">
        <f t="shared" si="0"/>
        <v>470.07399999999996</v>
      </c>
    </row>
    <row r="17" spans="1:11" x14ac:dyDescent="0.25">
      <c r="A17" s="12" t="s">
        <v>6</v>
      </c>
      <c r="B17" s="116"/>
      <c r="C17" s="81"/>
      <c r="D17" s="12"/>
      <c r="E17" s="12"/>
      <c r="F17" s="81"/>
      <c r="G17" s="12"/>
      <c r="H17" s="12"/>
      <c r="I17" s="12"/>
      <c r="J17" s="119">
        <f>J16+D17+E17-H17-I17</f>
        <v>21367</v>
      </c>
      <c r="K17" s="83">
        <f t="shared" si="0"/>
        <v>470.07399999999996</v>
      </c>
    </row>
    <row r="18" spans="1:11" x14ac:dyDescent="0.25">
      <c r="A18" s="12" t="s">
        <v>7</v>
      </c>
      <c r="B18" s="81" t="s">
        <v>813</v>
      </c>
      <c r="C18" s="73"/>
      <c r="D18" s="12">
        <f>1003</f>
        <v>1003</v>
      </c>
      <c r="E18" s="12"/>
      <c r="F18" s="12"/>
      <c r="G18" s="12"/>
      <c r="H18" s="12">
        <v>745</v>
      </c>
      <c r="I18" s="12"/>
      <c r="J18" s="119">
        <f>J17+D18+E18-H18-I18</f>
        <v>21625</v>
      </c>
      <c r="K18" s="83">
        <f t="shared" si="0"/>
        <v>475.75</v>
      </c>
    </row>
    <row r="19" spans="1:11" ht="13.5" customHeight="1" x14ac:dyDescent="0.25">
      <c r="A19" s="12" t="s">
        <v>8</v>
      </c>
      <c r="B19" s="81" t="s">
        <v>814</v>
      </c>
      <c r="C19" s="81" t="s">
        <v>815</v>
      </c>
      <c r="D19" s="12">
        <f>1248+62</f>
        <v>1310</v>
      </c>
      <c r="E19" s="12"/>
      <c r="F19" s="81"/>
      <c r="G19" s="12"/>
      <c r="H19" s="12">
        <v>467</v>
      </c>
      <c r="I19" s="12"/>
      <c r="J19" s="119">
        <f t="shared" si="1"/>
        <v>22468</v>
      </c>
      <c r="K19" s="83">
        <f t="shared" si="0"/>
        <v>494.29599999999999</v>
      </c>
    </row>
    <row r="20" spans="1:11" x14ac:dyDescent="0.25">
      <c r="A20" s="12" t="s">
        <v>9</v>
      </c>
      <c r="B20" s="92" t="s">
        <v>816</v>
      </c>
      <c r="C20" s="109" t="s">
        <v>817</v>
      </c>
      <c r="D20" s="12">
        <f>836+857+880</f>
        <v>2573</v>
      </c>
      <c r="E20" s="12"/>
      <c r="F20" s="81"/>
      <c r="G20" s="12"/>
      <c r="H20" s="12">
        <f>734+22+179</f>
        <v>935</v>
      </c>
      <c r="I20" s="12"/>
      <c r="J20" s="119">
        <f t="shared" si="1"/>
        <v>24106</v>
      </c>
      <c r="K20" s="83">
        <f t="shared" si="0"/>
        <v>530.33199999999999</v>
      </c>
    </row>
    <row r="21" spans="1:11" x14ac:dyDescent="0.25">
      <c r="A21" s="12" t="s">
        <v>10</v>
      </c>
      <c r="B21" s="81"/>
      <c r="C21" s="109"/>
      <c r="D21" s="12"/>
      <c r="E21" s="12"/>
      <c r="F21" s="81"/>
      <c r="G21" s="12"/>
      <c r="H21" s="12"/>
      <c r="I21" s="12"/>
      <c r="J21" s="119">
        <f t="shared" si="1"/>
        <v>24106</v>
      </c>
      <c r="K21" s="83">
        <f t="shared" si="0"/>
        <v>530.33199999999999</v>
      </c>
    </row>
    <row r="22" spans="1:11" x14ac:dyDescent="0.25">
      <c r="A22" s="12" t="s">
        <v>11</v>
      </c>
      <c r="B22" s="95"/>
      <c r="C22" s="109"/>
      <c r="D22" s="12"/>
      <c r="E22" s="12"/>
      <c r="F22" s="81"/>
      <c r="G22" s="12"/>
      <c r="H22" s="12"/>
      <c r="I22" s="12"/>
      <c r="J22" s="119">
        <f t="shared" si="1"/>
        <v>24106</v>
      </c>
      <c r="K22" s="83">
        <f t="shared" si="0"/>
        <v>530.33199999999999</v>
      </c>
    </row>
    <row r="23" spans="1:11" x14ac:dyDescent="0.25">
      <c r="A23" s="12" t="s">
        <v>12</v>
      </c>
      <c r="B23" s="81" t="s">
        <v>818</v>
      </c>
      <c r="C23" s="103" t="s">
        <v>822</v>
      </c>
      <c r="D23" s="12">
        <f>1119+1073+752+17+54+23</f>
        <v>3038</v>
      </c>
      <c r="E23" s="12"/>
      <c r="F23" s="81"/>
      <c r="G23" s="81"/>
      <c r="H23" s="12">
        <v>110</v>
      </c>
      <c r="I23" s="12"/>
      <c r="J23" s="119">
        <f>J22+D23+E23-H23-I23</f>
        <v>27034</v>
      </c>
      <c r="K23" s="83">
        <f t="shared" si="0"/>
        <v>594.74799999999993</v>
      </c>
    </row>
    <row r="24" spans="1:11" x14ac:dyDescent="0.25">
      <c r="A24" s="12" t="s">
        <v>13</v>
      </c>
      <c r="B24" s="81" t="s">
        <v>819</v>
      </c>
      <c r="C24" s="81"/>
      <c r="D24" s="12">
        <f>738</f>
        <v>738</v>
      </c>
      <c r="E24" s="12"/>
      <c r="F24" s="81"/>
      <c r="G24" s="12"/>
      <c r="H24" s="12">
        <f>493+1123</f>
        <v>1616</v>
      </c>
      <c r="I24" s="12"/>
      <c r="J24" s="119">
        <f t="shared" si="1"/>
        <v>26156</v>
      </c>
      <c r="K24" s="83">
        <f t="shared" si="0"/>
        <v>575.43200000000002</v>
      </c>
    </row>
    <row r="25" spans="1:11" x14ac:dyDescent="0.25">
      <c r="A25" s="12" t="s">
        <v>14</v>
      </c>
      <c r="B25" s="81" t="s">
        <v>820</v>
      </c>
      <c r="C25" s="109" t="s">
        <v>821</v>
      </c>
      <c r="D25" s="12">
        <f>1212+1200</f>
        <v>2412</v>
      </c>
      <c r="E25" s="12"/>
      <c r="F25" s="81"/>
      <c r="G25" s="12"/>
      <c r="H25" s="12">
        <v>937</v>
      </c>
      <c r="I25" s="12"/>
      <c r="J25" s="119">
        <f t="shared" si="1"/>
        <v>27631</v>
      </c>
      <c r="K25" s="83">
        <f t="shared" si="0"/>
        <v>607.88199999999995</v>
      </c>
    </row>
    <row r="26" spans="1:11" ht="13.5" customHeight="1" x14ac:dyDescent="0.25">
      <c r="A26" s="12" t="s">
        <v>15</v>
      </c>
      <c r="B26" s="92"/>
      <c r="C26" s="111"/>
      <c r="D26" s="12"/>
      <c r="E26" s="12"/>
      <c r="F26" s="81"/>
      <c r="G26" s="12"/>
      <c r="H26" s="12">
        <v>948</v>
      </c>
      <c r="I26" s="12"/>
      <c r="J26" s="119">
        <f t="shared" si="1"/>
        <v>26683</v>
      </c>
      <c r="K26" s="83">
        <f t="shared" si="0"/>
        <v>587.02599999999995</v>
      </c>
    </row>
    <row r="27" spans="1:11" x14ac:dyDescent="0.25">
      <c r="A27" s="12" t="s">
        <v>16</v>
      </c>
      <c r="B27" s="81" t="s">
        <v>823</v>
      </c>
      <c r="C27" s="103"/>
      <c r="D27" s="12">
        <v>125</v>
      </c>
      <c r="E27" s="12"/>
      <c r="F27" s="81"/>
      <c r="G27" s="12"/>
      <c r="H27" s="12">
        <f>85+892</f>
        <v>977</v>
      </c>
      <c r="I27" s="12"/>
      <c r="J27" s="119">
        <f t="shared" si="1"/>
        <v>25831</v>
      </c>
      <c r="K27" s="83">
        <f t="shared" si="0"/>
        <v>568.28199999999993</v>
      </c>
    </row>
    <row r="28" spans="1:11" x14ac:dyDescent="0.25">
      <c r="A28" s="12" t="s">
        <v>17</v>
      </c>
      <c r="B28" s="81"/>
      <c r="C28" s="73"/>
      <c r="D28" s="12"/>
      <c r="E28" s="12"/>
      <c r="F28" s="81"/>
      <c r="G28" s="12"/>
      <c r="H28" s="12"/>
      <c r="I28" s="12"/>
      <c r="J28" s="119">
        <f t="shared" si="1"/>
        <v>25831</v>
      </c>
      <c r="K28" s="83">
        <f t="shared" si="0"/>
        <v>568.28199999999993</v>
      </c>
    </row>
    <row r="29" spans="1:11" x14ac:dyDescent="0.25">
      <c r="A29" s="12" t="s">
        <v>18</v>
      </c>
      <c r="B29" s="81"/>
      <c r="C29" s="112"/>
      <c r="D29" s="12"/>
      <c r="E29" s="12"/>
      <c r="F29" s="81"/>
      <c r="G29" s="12"/>
      <c r="H29" s="12"/>
      <c r="I29" s="12"/>
      <c r="J29" s="119">
        <f t="shared" si="1"/>
        <v>25831</v>
      </c>
      <c r="K29" s="83">
        <f t="shared" si="0"/>
        <v>568.28199999999993</v>
      </c>
    </row>
    <row r="30" spans="1:11" x14ac:dyDescent="0.25">
      <c r="A30" s="12" t="s">
        <v>19</v>
      </c>
      <c r="B30" s="81" t="s">
        <v>824</v>
      </c>
      <c r="C30" s="81" t="s">
        <v>825</v>
      </c>
      <c r="D30" s="12">
        <f>1222+1241+1106+1215+834+40</f>
        <v>5658</v>
      </c>
      <c r="E30" s="12"/>
      <c r="F30" s="81"/>
      <c r="G30" s="12"/>
      <c r="H30" s="12"/>
      <c r="I30" s="12"/>
      <c r="J30" s="119">
        <f>J29+D30+E30-H30-I30</f>
        <v>31489</v>
      </c>
      <c r="K30" s="83">
        <f t="shared" si="0"/>
        <v>692.75799999999992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">
        <v>175</v>
      </c>
      <c r="I31" s="12"/>
      <c r="J31" s="119">
        <f t="shared" si="1"/>
        <v>31314</v>
      </c>
      <c r="K31" s="83">
        <f t="shared" si="0"/>
        <v>688.90800000000002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">
        <v>1164</v>
      </c>
      <c r="I32" s="12"/>
      <c r="J32" s="119">
        <f t="shared" si="1"/>
        <v>30150</v>
      </c>
      <c r="K32" s="83">
        <f t="shared" si="0"/>
        <v>663.3</v>
      </c>
    </row>
    <row r="33" spans="1:12" x14ac:dyDescent="0.25">
      <c r="A33" s="12" t="s">
        <v>22</v>
      </c>
      <c r="B33" s="104" t="s">
        <v>826</v>
      </c>
      <c r="C33" s="96"/>
      <c r="D33" s="12">
        <v>24</v>
      </c>
      <c r="E33" s="12"/>
      <c r="F33" s="81"/>
      <c r="G33" s="12"/>
      <c r="H33" s="12">
        <v>3067</v>
      </c>
      <c r="I33" s="12"/>
      <c r="J33" s="119">
        <f t="shared" si="1"/>
        <v>27107</v>
      </c>
      <c r="K33" s="83">
        <f t="shared" si="0"/>
        <v>596.35399999999993</v>
      </c>
    </row>
    <row r="34" spans="1:12" x14ac:dyDescent="0.25">
      <c r="A34" s="12" t="s">
        <v>23</v>
      </c>
      <c r="B34" s="104"/>
      <c r="C34" s="96"/>
      <c r="D34" s="12"/>
      <c r="E34" s="12"/>
      <c r="F34" s="81"/>
      <c r="G34" s="12"/>
      <c r="H34" s="12">
        <v>1020</v>
      </c>
      <c r="I34" s="12"/>
      <c r="J34" s="119">
        <f t="shared" si="1"/>
        <v>26087</v>
      </c>
      <c r="K34" s="83">
        <f t="shared" si="0"/>
        <v>573.91399999999999</v>
      </c>
    </row>
    <row r="35" spans="1:12" x14ac:dyDescent="0.25">
      <c r="A35" s="12" t="s">
        <v>24</v>
      </c>
      <c r="B35" s="104"/>
      <c r="C35" s="96"/>
      <c r="D35" s="12"/>
      <c r="E35" s="12"/>
      <c r="F35" s="81"/>
      <c r="G35" s="12"/>
      <c r="H35" s="12"/>
      <c r="I35" s="12"/>
      <c r="J35" s="119">
        <f t="shared" si="1"/>
        <v>26087</v>
      </c>
      <c r="K35" s="83">
        <f t="shared" si="0"/>
        <v>573.91399999999999</v>
      </c>
    </row>
    <row r="36" spans="1:12" ht="13.5" customHeight="1" x14ac:dyDescent="0.25">
      <c r="A36" s="12" t="s">
        <v>25</v>
      </c>
      <c r="B36" s="81"/>
      <c r="C36" s="81"/>
      <c r="D36" s="12"/>
      <c r="E36" s="12"/>
      <c r="F36" s="12"/>
      <c r="G36" s="12"/>
      <c r="H36" s="12"/>
      <c r="I36" s="108"/>
      <c r="J36" s="119">
        <f t="shared" si="1"/>
        <v>26087</v>
      </c>
      <c r="K36" s="83">
        <f t="shared" si="0"/>
        <v>573.91399999999999</v>
      </c>
    </row>
    <row r="37" spans="1:12" x14ac:dyDescent="0.25">
      <c r="A37" s="12" t="s">
        <v>26</v>
      </c>
      <c r="B37" s="104" t="s">
        <v>827</v>
      </c>
      <c r="C37" s="100" t="s">
        <v>828</v>
      </c>
      <c r="D37" s="12">
        <f>1287+612+1122+3009</f>
        <v>6030</v>
      </c>
      <c r="E37" s="12"/>
      <c r="F37" s="12"/>
      <c r="G37" s="12"/>
      <c r="H37" s="12"/>
      <c r="I37" s="12"/>
      <c r="J37" s="119">
        <f t="shared" si="1"/>
        <v>32117</v>
      </c>
      <c r="K37" s="83">
        <f t="shared" si="0"/>
        <v>706.57399999999996</v>
      </c>
    </row>
    <row r="38" spans="1:12" x14ac:dyDescent="0.25">
      <c r="A38" s="12" t="s">
        <v>27</v>
      </c>
      <c r="B38" s="81" t="s">
        <v>830</v>
      </c>
      <c r="C38" s="109" t="s">
        <v>831</v>
      </c>
      <c r="D38" s="12">
        <f>962+951+905</f>
        <v>2818</v>
      </c>
      <c r="E38" s="12"/>
      <c r="F38" s="12"/>
      <c r="G38" s="12"/>
      <c r="H38" s="12"/>
      <c r="I38" s="12"/>
      <c r="J38" s="119">
        <f t="shared" si="1"/>
        <v>34935</v>
      </c>
      <c r="K38" s="83">
        <f t="shared" si="0"/>
        <v>768.56999999999994</v>
      </c>
    </row>
    <row r="39" spans="1:12" x14ac:dyDescent="0.25">
      <c r="A39" s="12" t="s">
        <v>28</v>
      </c>
      <c r="B39" s="81" t="s">
        <v>833</v>
      </c>
      <c r="C39" s="81" t="s">
        <v>834</v>
      </c>
      <c r="D39" s="12">
        <f>985+2716+95</f>
        <v>3796</v>
      </c>
      <c r="E39" s="12"/>
      <c r="F39" s="81"/>
      <c r="G39" s="12"/>
      <c r="H39" s="12">
        <v>4219</v>
      </c>
      <c r="I39" s="12"/>
      <c r="J39" s="119">
        <f>J38+D39+E39-H39-I39</f>
        <v>34512</v>
      </c>
      <c r="K39" s="83">
        <f t="shared" si="0"/>
        <v>759.26400000000001</v>
      </c>
    </row>
    <row r="40" spans="1:12" x14ac:dyDescent="0.25">
      <c r="A40" s="12" t="s">
        <v>29</v>
      </c>
      <c r="B40" s="96" t="s">
        <v>835</v>
      </c>
      <c r="C40" s="96" t="s">
        <v>836</v>
      </c>
      <c r="D40" s="12">
        <f>861+1235</f>
        <v>2096</v>
      </c>
      <c r="E40" s="12"/>
      <c r="F40" s="81"/>
      <c r="G40" s="12"/>
      <c r="H40" s="12">
        <v>531</v>
      </c>
      <c r="I40" s="12"/>
      <c r="J40" s="119">
        <f t="shared" ref="J40:J41" si="2">J39+D40+E40-H40-I40</f>
        <v>36077</v>
      </c>
      <c r="K40" s="83">
        <f t="shared" si="0"/>
        <v>793.69399999999996</v>
      </c>
    </row>
    <row r="41" spans="1:12" x14ac:dyDescent="0.25">
      <c r="A41" s="12" t="s">
        <v>30</v>
      </c>
      <c r="B41" s="81" t="s">
        <v>837</v>
      </c>
      <c r="C41" s="96"/>
      <c r="D41" s="12">
        <v>1235</v>
      </c>
      <c r="E41" s="12"/>
      <c r="F41" s="81"/>
      <c r="G41" s="12"/>
      <c r="H41" s="12">
        <v>564</v>
      </c>
      <c r="I41" s="12"/>
      <c r="J41" s="119">
        <f t="shared" si="2"/>
        <v>36748</v>
      </c>
      <c r="K41" s="83">
        <f t="shared" si="0"/>
        <v>808.4559999999999</v>
      </c>
    </row>
    <row r="42" spans="1:12" ht="15" thickBot="1" x14ac:dyDescent="0.35">
      <c r="A42" s="160"/>
      <c r="B42" s="160"/>
      <c r="C42" s="120" t="s">
        <v>31</v>
      </c>
      <c r="D42" s="121">
        <f>SUM(D11:D41)</f>
        <v>32866</v>
      </c>
      <c r="E42" s="121">
        <f>SUM(E11:E41)</f>
        <v>0</v>
      </c>
      <c r="F42" s="120">
        <v>0</v>
      </c>
      <c r="G42" s="120"/>
      <c r="H42" s="121">
        <f>SUM(H11:H41)</f>
        <v>18972</v>
      </c>
      <c r="I42" s="121">
        <f>SUM(I11:I41)</f>
        <v>0</v>
      </c>
      <c r="J42" s="69">
        <f>AVERAGE(J11:J41)</f>
        <v>26676.451612903227</v>
      </c>
      <c r="K42" s="32">
        <f>SUM(K11:K41)</f>
        <v>18193.339999999997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32866</v>
      </c>
      <c r="I45" s="59">
        <v>0.31</v>
      </c>
      <c r="J45" s="48">
        <f>H45*I45</f>
        <v>10188.459999999999</v>
      </c>
      <c r="K45" s="50">
        <f>kurs*J45</f>
        <v>1192537.847234</v>
      </c>
    </row>
    <row r="46" spans="1:12" x14ac:dyDescent="0.25">
      <c r="E46" s="42" t="s">
        <v>54</v>
      </c>
      <c r="F46" s="43"/>
      <c r="G46" s="43"/>
      <c r="H46" s="44">
        <f>H42+I42</f>
        <v>18972</v>
      </c>
      <c r="I46" s="59">
        <v>0.22</v>
      </c>
      <c r="J46" s="48">
        <f>H46*I46</f>
        <v>4173.84</v>
      </c>
      <c r="K46" s="50">
        <f t="shared" ref="K46" si="3">kurs*J46</f>
        <v>488539.20693600003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0.28999999999999998</v>
      </c>
      <c r="J47" s="48">
        <f t="shared" ref="J47:J53" si="4">H47*I47</f>
        <v>0</v>
      </c>
      <c r="K47" s="50">
        <f t="shared" ref="K47:K50" si="5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1.65</v>
      </c>
      <c r="J48" s="48">
        <f t="shared" si="4"/>
        <v>0</v>
      </c>
      <c r="K48" s="50">
        <f t="shared" ref="K48:K49" si="6">kurs*J48</f>
        <v>0</v>
      </c>
    </row>
    <row r="49" spans="3:12" x14ac:dyDescent="0.25">
      <c r="E49" s="42" t="s">
        <v>582</v>
      </c>
      <c r="F49" s="43"/>
      <c r="G49" s="43"/>
      <c r="H49" s="44">
        <v>88</v>
      </c>
      <c r="I49" s="59">
        <v>1.65</v>
      </c>
      <c r="J49" s="48">
        <f t="shared" si="4"/>
        <v>145.19999999999999</v>
      </c>
      <c r="K49" s="50">
        <f t="shared" si="6"/>
        <v>16995.355079999998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0.2</v>
      </c>
      <c r="J50" s="48">
        <f t="shared" si="4"/>
        <v>0</v>
      </c>
      <c r="K50" s="50">
        <f t="shared" si="5"/>
        <v>0</v>
      </c>
    </row>
    <row r="51" spans="3:12" x14ac:dyDescent="0.25">
      <c r="E51" s="45" t="s">
        <v>360</v>
      </c>
      <c r="F51" s="46"/>
      <c r="G51" s="46"/>
      <c r="H51" s="47">
        <v>11465</v>
      </c>
      <c r="I51" s="60">
        <v>0.12</v>
      </c>
      <c r="J51" s="48">
        <f t="shared" si="4"/>
        <v>1375.8</v>
      </c>
      <c r="K51" s="50">
        <f>kurs*J51</f>
        <v>161034.50081999999</v>
      </c>
    </row>
    <row r="52" spans="3:12" x14ac:dyDescent="0.25">
      <c r="E52" s="45" t="s">
        <v>629</v>
      </c>
      <c r="F52" s="46"/>
      <c r="G52" s="46"/>
      <c r="H52" s="47">
        <v>1713</v>
      </c>
      <c r="I52" s="60">
        <v>0.08</v>
      </c>
      <c r="J52" s="48">
        <f t="shared" si="4"/>
        <v>137.04</v>
      </c>
      <c r="K52" s="50">
        <f>kurs*J52</f>
        <v>16040.244215999999</v>
      </c>
    </row>
    <row r="53" spans="3:12" x14ac:dyDescent="0.25">
      <c r="E53" s="45" t="s">
        <v>829</v>
      </c>
      <c r="F53" s="46"/>
      <c r="G53" s="46" t="s">
        <v>832</v>
      </c>
      <c r="H53" s="47">
        <v>2</v>
      </c>
      <c r="I53" s="60">
        <v>400</v>
      </c>
      <c r="J53" s="48">
        <f t="shared" si="4"/>
        <v>800</v>
      </c>
      <c r="K53" s="50">
        <f>kurs*J53</f>
        <v>93638.319999999992</v>
      </c>
    </row>
    <row r="54" spans="3:12" x14ac:dyDescent="0.25">
      <c r="E54" s="45" t="s">
        <v>840</v>
      </c>
      <c r="F54" s="46"/>
      <c r="G54" s="46" t="s">
        <v>841</v>
      </c>
      <c r="H54" s="47">
        <v>1</v>
      </c>
      <c r="I54" s="60">
        <v>200</v>
      </c>
      <c r="J54" s="48">
        <f>H54*I54</f>
        <v>200</v>
      </c>
      <c r="K54" s="50">
        <f>kurs*J54</f>
        <v>23409.579999999998</v>
      </c>
    </row>
    <row r="55" spans="3:12" x14ac:dyDescent="0.25">
      <c r="E55" s="45" t="s">
        <v>55</v>
      </c>
      <c r="F55" s="46"/>
      <c r="G55" s="46"/>
      <c r="H55" s="46"/>
      <c r="I55" s="60"/>
      <c r="J55" s="49">
        <f>K42</f>
        <v>18193.339999999997</v>
      </c>
      <c r="K55" s="50">
        <f>kurs*J55</f>
        <v>2129492.2409859993</v>
      </c>
      <c r="L55" s="61"/>
    </row>
    <row r="56" spans="3:12" x14ac:dyDescent="0.25">
      <c r="E56" s="22"/>
      <c r="I56" t="s">
        <v>56</v>
      </c>
      <c r="J56" s="52">
        <f>SUM(J45:J55)</f>
        <v>35213.679999999993</v>
      </c>
      <c r="K56" s="51">
        <f>SUM(K45:K55)</f>
        <v>4121687.2952719992</v>
      </c>
      <c r="L56" s="62"/>
    </row>
    <row r="57" spans="3:12" ht="13.5" customHeight="1" x14ac:dyDescent="0.3">
      <c r="F57" s="23"/>
      <c r="G57" s="24" t="s">
        <v>32</v>
      </c>
    </row>
    <row r="58" spans="3:12" ht="11.25" customHeight="1" x14ac:dyDescent="0.25"/>
    <row r="59" spans="3:12" x14ac:dyDescent="0.25">
      <c r="H59" s="25"/>
      <c r="I59" s="25"/>
      <c r="J59" s="26"/>
      <c r="K59" s="25"/>
    </row>
    <row r="60" spans="3:12" x14ac:dyDescent="0.25">
      <c r="C60" s="2" t="s">
        <v>34</v>
      </c>
      <c r="H60" s="25"/>
      <c r="I60" s="25"/>
      <c r="J60" s="25"/>
      <c r="K60" s="25"/>
    </row>
    <row r="61" spans="3:12" ht="12.75" customHeight="1" x14ac:dyDescent="0.25">
      <c r="C61" s="2" t="s">
        <v>33</v>
      </c>
      <c r="H61" s="25"/>
      <c r="I61" s="27"/>
      <c r="J61" s="25"/>
      <c r="K61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E9C7-391F-4FDF-BA74-161AF522FB9B}">
  <dimension ref="A1"/>
  <sheetViews>
    <sheetView workbookViewId="0"/>
  </sheetViews>
  <sheetFormatPr defaultRowHeight="13.8" x14ac:dyDescent="0.25"/>
  <sheetData/>
  <pageMargins left="0.7" right="0.7" top="0.75" bottom="0.75" header="0.3" footer="0.3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66C6-7899-4BED-9698-1B204C7CCD9E}">
  <dimension ref="A1:L60"/>
  <sheetViews>
    <sheetView view="pageBreakPreview" topLeftCell="A34" zoomScaleNormal="100" zoomScaleSheetLayoutView="100" workbookViewId="0">
      <selection activeCell="G53" sqref="G53"/>
    </sheetView>
  </sheetViews>
  <sheetFormatPr defaultRowHeight="13.8" x14ac:dyDescent="0.25"/>
  <cols>
    <col min="1" max="1" width="17.5" customWidth="1"/>
    <col min="2" max="2" width="37.8984375" bestFit="1" customWidth="1"/>
    <col min="3" max="3" width="28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734</v>
      </c>
      <c r="H3" s="4"/>
      <c r="I3" s="4"/>
    </row>
    <row r="4" spans="1:11" x14ac:dyDescent="0.25">
      <c r="B4" s="2"/>
      <c r="C4" s="6"/>
      <c r="F4" s="3" t="s">
        <v>812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117.1155</v>
      </c>
      <c r="F6" t="s">
        <v>42</v>
      </c>
      <c r="G6" s="102">
        <v>2412029545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15840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/>
      <c r="I11" s="56"/>
      <c r="J11" s="82">
        <f>D10+D11+E11-H11-I11</f>
        <v>15840</v>
      </c>
      <c r="K11" s="83">
        <f>0.02*J11</f>
        <v>316.8</v>
      </c>
    </row>
    <row r="12" spans="1:11" ht="14.25" customHeight="1" x14ac:dyDescent="0.25">
      <c r="A12" s="12" t="s">
        <v>1</v>
      </c>
      <c r="B12" s="91" t="s">
        <v>708</v>
      </c>
      <c r="C12" s="91"/>
      <c r="D12" s="12">
        <v>843</v>
      </c>
      <c r="E12" s="12"/>
      <c r="F12" s="12"/>
      <c r="G12" s="12"/>
      <c r="H12" s="12">
        <v>240</v>
      </c>
      <c r="I12" s="56"/>
      <c r="J12" s="82">
        <f>J11+D12+E12-H12-I12</f>
        <v>16443</v>
      </c>
      <c r="K12" s="83">
        <f t="shared" ref="K12:K40" si="0">0.02*J12</f>
        <v>328.86</v>
      </c>
    </row>
    <row r="13" spans="1:11" ht="13.5" customHeight="1" x14ac:dyDescent="0.25">
      <c r="A13" s="12" t="s">
        <v>2</v>
      </c>
      <c r="B13" t="s">
        <v>709</v>
      </c>
      <c r="D13" s="56">
        <v>11</v>
      </c>
      <c r="E13" s="56"/>
      <c r="F13" s="12"/>
      <c r="G13" s="12"/>
      <c r="H13" s="12"/>
      <c r="I13" s="56"/>
      <c r="J13" s="82">
        <f t="shared" ref="J13:J38" si="1">J12+D13+E13-H13-I13</f>
        <v>16454</v>
      </c>
      <c r="K13" s="83">
        <f t="shared" si="0"/>
        <v>329.08</v>
      </c>
    </row>
    <row r="14" spans="1:11" x14ac:dyDescent="0.25">
      <c r="A14" s="12" t="s">
        <v>3</v>
      </c>
      <c r="B14" s="73" t="s">
        <v>710</v>
      </c>
      <c r="C14" s="109" t="s">
        <v>711</v>
      </c>
      <c r="D14" s="12">
        <f>1026+960</f>
        <v>1986</v>
      </c>
      <c r="E14" s="12"/>
      <c r="F14" s="12"/>
      <c r="G14" s="12"/>
      <c r="H14" s="12">
        <v>1548</v>
      </c>
      <c r="I14" s="56"/>
      <c r="J14" s="82">
        <f>J13+D14+E14-H14-I14</f>
        <v>16892</v>
      </c>
      <c r="K14" s="83">
        <f t="shared" si="0"/>
        <v>337.84000000000003</v>
      </c>
    </row>
    <row r="15" spans="1:11" x14ac:dyDescent="0.25">
      <c r="A15" s="12" t="s">
        <v>4</v>
      </c>
      <c r="B15" s="95"/>
      <c r="C15" s="109"/>
      <c r="D15" s="12"/>
      <c r="E15" s="12"/>
      <c r="F15" s="12"/>
      <c r="G15" s="12"/>
      <c r="H15" s="12">
        <v>1007</v>
      </c>
      <c r="I15" s="56"/>
      <c r="J15" s="82">
        <f t="shared" si="1"/>
        <v>15885</v>
      </c>
      <c r="K15" s="83">
        <f t="shared" si="0"/>
        <v>317.7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>
        <v>569</v>
      </c>
      <c r="I16" s="56"/>
      <c r="J16" s="82">
        <f t="shared" si="1"/>
        <v>15316</v>
      </c>
      <c r="K16" s="83">
        <f t="shared" si="0"/>
        <v>306.32</v>
      </c>
    </row>
    <row r="17" spans="1:11" x14ac:dyDescent="0.25">
      <c r="A17" s="12" t="s">
        <v>6</v>
      </c>
      <c r="B17" s="116"/>
      <c r="C17"/>
      <c r="D17" s="12"/>
      <c r="E17" s="12"/>
      <c r="F17" s="81"/>
      <c r="G17" s="12"/>
      <c r="H17" s="12"/>
      <c r="I17" s="12"/>
      <c r="J17" s="82">
        <f>J16+D17+E17-H17-I17</f>
        <v>15316</v>
      </c>
      <c r="K17" s="83">
        <f t="shared" si="0"/>
        <v>306.32</v>
      </c>
    </row>
    <row r="18" spans="1:11" x14ac:dyDescent="0.25">
      <c r="A18" s="12" t="s">
        <v>7</v>
      </c>
      <c r="B18" s="81"/>
      <c r="C18" s="73"/>
      <c r="D18" s="12"/>
      <c r="E18" s="12"/>
      <c r="F18" s="12"/>
      <c r="G18" s="12"/>
      <c r="H18" s="12"/>
      <c r="I18" s="12"/>
      <c r="J18" s="82">
        <f>J17+D18+E18-H18-I18</f>
        <v>15316</v>
      </c>
      <c r="K18" s="83">
        <f t="shared" si="0"/>
        <v>306.32</v>
      </c>
    </row>
    <row r="19" spans="1:11" ht="13.5" customHeight="1" x14ac:dyDescent="0.25">
      <c r="A19" s="12" t="s">
        <v>8</v>
      </c>
      <c r="B19" s="95"/>
      <c r="C19" s="109"/>
      <c r="D19" s="12"/>
      <c r="E19" s="12"/>
      <c r="F19" s="81"/>
      <c r="G19" s="12"/>
      <c r="H19" s="12"/>
      <c r="I19" s="12"/>
      <c r="J19" s="82">
        <f t="shared" si="1"/>
        <v>15316</v>
      </c>
      <c r="K19" s="83">
        <f t="shared" si="0"/>
        <v>306.32</v>
      </c>
    </row>
    <row r="20" spans="1:11" x14ac:dyDescent="0.25">
      <c r="A20" s="12" t="s">
        <v>9</v>
      </c>
      <c r="B20" s="92"/>
      <c r="C20" s="109"/>
      <c r="D20" s="12"/>
      <c r="E20" s="12"/>
      <c r="F20" s="81"/>
      <c r="G20" s="12"/>
      <c r="H20" s="12">
        <v>594</v>
      </c>
      <c r="I20" s="12"/>
      <c r="J20" s="82">
        <f t="shared" si="1"/>
        <v>14722</v>
      </c>
      <c r="K20" s="83">
        <f t="shared" si="0"/>
        <v>294.44</v>
      </c>
    </row>
    <row r="21" spans="1:11" x14ac:dyDescent="0.25">
      <c r="A21" s="12" t="s">
        <v>10</v>
      </c>
      <c r="B21" t="s">
        <v>712</v>
      </c>
      <c r="C21" s="109" t="s">
        <v>713</v>
      </c>
      <c r="D21" s="12">
        <f>504+252</f>
        <v>756</v>
      </c>
      <c r="E21" s="12"/>
      <c r="F21" s="81"/>
      <c r="G21" s="12"/>
      <c r="H21" s="12">
        <v>544</v>
      </c>
      <c r="I21" s="12"/>
      <c r="J21" s="82">
        <f t="shared" si="1"/>
        <v>14934</v>
      </c>
      <c r="K21" s="83">
        <f t="shared" si="0"/>
        <v>298.68</v>
      </c>
    </row>
    <row r="22" spans="1:11" x14ac:dyDescent="0.25">
      <c r="A22" s="12" t="s">
        <v>11</v>
      </c>
      <c r="B22" s="95"/>
      <c r="C22" s="109"/>
      <c r="D22" s="12"/>
      <c r="E22" s="12"/>
      <c r="F22" s="81"/>
      <c r="G22" s="12"/>
      <c r="H22" s="12">
        <v>234</v>
      </c>
      <c r="I22" s="12"/>
      <c r="J22" s="82">
        <f t="shared" si="1"/>
        <v>14700</v>
      </c>
      <c r="K22" s="83">
        <f t="shared" si="0"/>
        <v>294</v>
      </c>
    </row>
    <row r="23" spans="1:11" x14ac:dyDescent="0.25">
      <c r="A23" s="12" t="s">
        <v>12</v>
      </c>
      <c r="B23" s="88" t="s">
        <v>714</v>
      </c>
      <c r="C23" s="117"/>
      <c r="D23" s="12">
        <v>1318</v>
      </c>
      <c r="E23" s="12"/>
      <c r="F23" s="81"/>
      <c r="G23" s="81"/>
      <c r="H23" s="12"/>
      <c r="I23" s="12"/>
      <c r="J23" s="82">
        <f>J22+D23+E23-H23-I23</f>
        <v>16018</v>
      </c>
      <c r="K23" s="83">
        <f t="shared" si="0"/>
        <v>320.36</v>
      </c>
    </row>
    <row r="24" spans="1:11" x14ac:dyDescent="0.25">
      <c r="A24" s="12" t="s">
        <v>13</v>
      </c>
      <c r="B24" s="81"/>
      <c r="C24"/>
      <c r="D24" s="12"/>
      <c r="E24" s="12"/>
      <c r="F24" s="81"/>
      <c r="G24" s="12"/>
      <c r="H24" s="12"/>
      <c r="I24" s="12"/>
      <c r="J24" s="82">
        <f t="shared" si="1"/>
        <v>16018</v>
      </c>
      <c r="K24" s="83">
        <f t="shared" si="0"/>
        <v>320.36</v>
      </c>
    </row>
    <row r="25" spans="1:11" x14ac:dyDescent="0.25">
      <c r="A25" s="12" t="s">
        <v>14</v>
      </c>
      <c r="B25" s="81"/>
      <c r="C25" s="109"/>
      <c r="D25" s="12"/>
      <c r="E25" s="12"/>
      <c r="F25" s="81"/>
      <c r="G25" s="12"/>
      <c r="H25" s="12"/>
      <c r="I25" s="12"/>
      <c r="J25" s="82">
        <f t="shared" si="1"/>
        <v>16018</v>
      </c>
      <c r="K25" s="83">
        <f t="shared" si="0"/>
        <v>320.36</v>
      </c>
    </row>
    <row r="26" spans="1:11" ht="13.5" customHeight="1" x14ac:dyDescent="0.25">
      <c r="A26" s="12" t="s">
        <v>15</v>
      </c>
      <c r="B26" s="92" t="s">
        <v>802</v>
      </c>
      <c r="C26" s="111" t="s">
        <v>803</v>
      </c>
      <c r="D26" s="12">
        <f>355+734+1011+45</f>
        <v>2145</v>
      </c>
      <c r="E26" s="12"/>
      <c r="F26" s="81"/>
      <c r="G26" s="12"/>
      <c r="H26" s="12">
        <v>349</v>
      </c>
      <c r="I26" s="12"/>
      <c r="J26" s="82">
        <f t="shared" si="1"/>
        <v>17814</v>
      </c>
      <c r="K26" s="83">
        <f t="shared" si="0"/>
        <v>356.28000000000003</v>
      </c>
    </row>
    <row r="27" spans="1:11" x14ac:dyDescent="0.25">
      <c r="A27" s="12" t="s">
        <v>16</v>
      </c>
      <c r="B27" s="81" t="s">
        <v>805</v>
      </c>
      <c r="C27" s="2" t="s">
        <v>804</v>
      </c>
      <c r="D27" s="12">
        <f>493+747</f>
        <v>1240</v>
      </c>
      <c r="E27" s="12"/>
      <c r="F27" s="81"/>
      <c r="G27" s="12"/>
      <c r="H27" s="12">
        <v>977</v>
      </c>
      <c r="I27" s="12"/>
      <c r="J27" s="82">
        <f t="shared" si="1"/>
        <v>18077</v>
      </c>
      <c r="K27" s="83">
        <f t="shared" si="0"/>
        <v>361.54</v>
      </c>
    </row>
    <row r="28" spans="1:11" x14ac:dyDescent="0.25">
      <c r="A28" s="12" t="s">
        <v>17</v>
      </c>
      <c r="B28" s="81"/>
      <c r="C28" s="73"/>
      <c r="D28" s="12"/>
      <c r="E28" s="12"/>
      <c r="F28" s="81"/>
      <c r="G28" s="12"/>
      <c r="H28" s="12">
        <v>687</v>
      </c>
      <c r="I28" s="12"/>
      <c r="J28" s="82">
        <f t="shared" si="1"/>
        <v>17390</v>
      </c>
      <c r="K28" s="83">
        <f t="shared" si="0"/>
        <v>347.8</v>
      </c>
    </row>
    <row r="29" spans="1:11" x14ac:dyDescent="0.25">
      <c r="A29" s="12" t="s">
        <v>18</v>
      </c>
      <c r="C29" s="112"/>
      <c r="D29" s="12"/>
      <c r="E29" s="12"/>
      <c r="F29" s="81"/>
      <c r="G29" s="12"/>
      <c r="H29" s="12">
        <v>313</v>
      </c>
      <c r="I29" s="12"/>
      <c r="J29" s="82">
        <f t="shared" si="1"/>
        <v>17077</v>
      </c>
      <c r="K29" s="83">
        <f t="shared" si="0"/>
        <v>341.54</v>
      </c>
    </row>
    <row r="30" spans="1:11" x14ac:dyDescent="0.25">
      <c r="A30" s="12" t="s">
        <v>19</v>
      </c>
      <c r="B30" s="104" t="s">
        <v>806</v>
      </c>
      <c r="C30" s="96"/>
      <c r="D30" s="12">
        <f>110+13</f>
        <v>123</v>
      </c>
      <c r="E30" s="12"/>
      <c r="F30" s="81"/>
      <c r="G30" s="12"/>
      <c r="H30" s="12"/>
      <c r="I30" s="12"/>
      <c r="J30" s="82">
        <f>J29+D30+E30-H30-I30</f>
        <v>17200</v>
      </c>
      <c r="K30" s="83">
        <f t="shared" si="0"/>
        <v>344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"/>
      <c r="I31" s="12"/>
      <c r="J31" s="82">
        <f t="shared" si="1"/>
        <v>17200</v>
      </c>
      <c r="K31" s="83">
        <f t="shared" si="0"/>
        <v>344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"/>
      <c r="I32" s="12"/>
      <c r="J32" s="82">
        <f t="shared" si="1"/>
        <v>17200</v>
      </c>
      <c r="K32" s="83">
        <f t="shared" si="0"/>
        <v>344</v>
      </c>
    </row>
    <row r="33" spans="1:12" x14ac:dyDescent="0.25">
      <c r="A33" s="12" t="s">
        <v>22</v>
      </c>
      <c r="B33" s="104" t="s">
        <v>808</v>
      </c>
      <c r="C33" s="96" t="s">
        <v>809</v>
      </c>
      <c r="D33" s="12">
        <f>781+1017+839+1017+8+467+326</f>
        <v>4455</v>
      </c>
      <c r="E33" s="12"/>
      <c r="F33" s="81"/>
      <c r="G33" s="12"/>
      <c r="H33" s="12"/>
      <c r="I33" s="12"/>
      <c r="J33" s="82">
        <f t="shared" si="1"/>
        <v>21655</v>
      </c>
      <c r="K33" s="83">
        <f t="shared" si="0"/>
        <v>433.1</v>
      </c>
    </row>
    <row r="34" spans="1:12" x14ac:dyDescent="0.25">
      <c r="A34" s="12" t="s">
        <v>23</v>
      </c>
      <c r="B34" s="104"/>
      <c r="C34" s="96"/>
      <c r="D34" s="12"/>
      <c r="E34" s="12"/>
      <c r="F34" s="81"/>
      <c r="G34" s="12"/>
      <c r="H34" s="12">
        <v>1418</v>
      </c>
      <c r="I34" s="12"/>
      <c r="J34" s="82">
        <f t="shared" si="1"/>
        <v>20237</v>
      </c>
      <c r="K34" s="83">
        <f t="shared" si="0"/>
        <v>404.74</v>
      </c>
    </row>
    <row r="35" spans="1:12" x14ac:dyDescent="0.25">
      <c r="A35" s="12" t="s">
        <v>24</v>
      </c>
      <c r="B35" s="104"/>
      <c r="C35" s="96"/>
      <c r="D35" s="12"/>
      <c r="E35" s="12"/>
      <c r="F35" s="81"/>
      <c r="G35" s="12"/>
      <c r="H35" s="12">
        <v>750</v>
      </c>
      <c r="I35" s="12"/>
      <c r="J35" s="82">
        <f t="shared" si="1"/>
        <v>19487</v>
      </c>
      <c r="K35" s="83">
        <f t="shared" si="0"/>
        <v>389.74</v>
      </c>
    </row>
    <row r="36" spans="1:12" ht="13.5" customHeight="1" x14ac:dyDescent="0.25">
      <c r="A36" s="12" t="s">
        <v>25</v>
      </c>
      <c r="B36" t="s">
        <v>810</v>
      </c>
      <c r="C36" t="s">
        <v>782</v>
      </c>
      <c r="D36" s="12">
        <f>1069+1308+766</f>
        <v>3143</v>
      </c>
      <c r="E36" s="12"/>
      <c r="F36" s="12"/>
      <c r="G36" s="12"/>
      <c r="H36" s="12">
        <v>450</v>
      </c>
      <c r="I36" s="108"/>
      <c r="J36" s="82">
        <f t="shared" si="1"/>
        <v>22180</v>
      </c>
      <c r="K36" s="83">
        <f t="shared" si="0"/>
        <v>443.6</v>
      </c>
    </row>
    <row r="37" spans="1:12" x14ac:dyDescent="0.25">
      <c r="A37" s="12" t="s">
        <v>26</v>
      </c>
      <c r="B37" s="104"/>
      <c r="C37" s="100"/>
      <c r="D37" s="12"/>
      <c r="E37" s="12"/>
      <c r="F37" s="12"/>
      <c r="G37" s="12"/>
      <c r="H37" s="12"/>
      <c r="I37" s="12"/>
      <c r="J37" s="82">
        <f t="shared" si="1"/>
        <v>22180</v>
      </c>
      <c r="K37" s="83">
        <f t="shared" si="0"/>
        <v>443.6</v>
      </c>
    </row>
    <row r="38" spans="1:12" x14ac:dyDescent="0.25">
      <c r="A38" s="12" t="s">
        <v>27</v>
      </c>
      <c r="B38" s="81"/>
      <c r="C38" s="109"/>
      <c r="D38" s="12"/>
      <c r="E38" s="12"/>
      <c r="F38" s="12"/>
      <c r="G38" s="12"/>
      <c r="H38" s="12"/>
      <c r="I38" s="12"/>
      <c r="J38" s="82">
        <f t="shared" si="1"/>
        <v>22180</v>
      </c>
      <c r="K38" s="83">
        <f t="shared" si="0"/>
        <v>443.6</v>
      </c>
    </row>
    <row r="39" spans="1:12" x14ac:dyDescent="0.25">
      <c r="A39" s="12" t="s">
        <v>28</v>
      </c>
      <c r="B39" s="104"/>
      <c r="C39" s="104"/>
      <c r="D39" s="12"/>
      <c r="E39" s="12"/>
      <c r="F39" s="81"/>
      <c r="G39" s="12"/>
      <c r="H39" s="12"/>
      <c r="I39" s="12"/>
      <c r="J39" s="82">
        <f>J38+D39+E39-H39-I39</f>
        <v>22180</v>
      </c>
      <c r="K39" s="83">
        <f t="shared" si="0"/>
        <v>443.6</v>
      </c>
    </row>
    <row r="40" spans="1:12" x14ac:dyDescent="0.25">
      <c r="A40" s="12" t="s">
        <v>29</v>
      </c>
      <c r="B40" s="96" t="s">
        <v>811</v>
      </c>
      <c r="C40" s="96" t="s">
        <v>793</v>
      </c>
      <c r="D40" s="12">
        <f>22+323+537+602+807</f>
        <v>2291</v>
      </c>
      <c r="E40" s="12"/>
      <c r="F40" s="81"/>
      <c r="G40" s="12"/>
      <c r="H40" s="12">
        <v>1617</v>
      </c>
      <c r="I40" s="12"/>
      <c r="J40" s="82">
        <f t="shared" ref="J40" si="2">J39+D40+E40-H40-I40</f>
        <v>22854</v>
      </c>
      <c r="K40" s="83">
        <f t="shared" si="0"/>
        <v>457.08</v>
      </c>
    </row>
    <row r="41" spans="1:12" x14ac:dyDescent="0.25">
      <c r="A41" s="12" t="s">
        <v>30</v>
      </c>
      <c r="B41" s="96"/>
      <c r="C41" s="96"/>
      <c r="D41" s="12"/>
      <c r="E41" s="12"/>
      <c r="F41" s="81"/>
      <c r="G41" s="12"/>
      <c r="H41" s="12"/>
      <c r="I41" s="12"/>
      <c r="J41" s="82">
        <f t="shared" ref="J41" si="3">J40+D41+E41-H41-I41</f>
        <v>22854</v>
      </c>
      <c r="K41" s="83">
        <f t="shared" ref="K41" si="4">0.02*J41</f>
        <v>457.08</v>
      </c>
    </row>
    <row r="42" spans="1:12" ht="15" thickBot="1" x14ac:dyDescent="0.35">
      <c r="A42" s="168"/>
      <c r="B42" s="169"/>
      <c r="C42" s="19" t="s">
        <v>31</v>
      </c>
      <c r="D42" s="20">
        <f>SUM(D11:D41)</f>
        <v>18311</v>
      </c>
      <c r="E42" s="20">
        <f>SUM(E11:E41)</f>
        <v>0</v>
      </c>
      <c r="F42" s="21">
        <v>0</v>
      </c>
      <c r="G42" s="21"/>
      <c r="H42" s="20">
        <f>SUM(H11:H41)</f>
        <v>11297</v>
      </c>
      <c r="I42" s="20">
        <f>SUM(I11:I41)</f>
        <v>0</v>
      </c>
      <c r="J42" s="69">
        <f>AVERAGE(J11:J41)</f>
        <v>17837.193548387098</v>
      </c>
      <c r="K42" s="32">
        <f>SUM(K11:K41)</f>
        <v>11059.060000000001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18311</v>
      </c>
      <c r="I45" s="59">
        <v>0.28000000000000003</v>
      </c>
      <c r="J45" s="48">
        <f>H45*I45</f>
        <v>5127.0800000000008</v>
      </c>
      <c r="K45" s="50">
        <f>kurs*J45</f>
        <v>600460.53774000006</v>
      </c>
    </row>
    <row r="46" spans="1:12" x14ac:dyDescent="0.25">
      <c r="E46" s="42" t="s">
        <v>54</v>
      </c>
      <c r="F46" s="43"/>
      <c r="G46" s="43"/>
      <c r="H46" s="44">
        <f>H42+I42</f>
        <v>11297</v>
      </c>
      <c r="I46" s="59">
        <v>0.2</v>
      </c>
      <c r="J46" s="48">
        <f>H46*I46</f>
        <v>2259.4</v>
      </c>
      <c r="K46" s="50">
        <f t="shared" ref="K46" si="5">kurs*J46</f>
        <v>264610.76069999998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6">H47*I47</f>
        <v>0</v>
      </c>
      <c r="K47" s="50">
        <f t="shared" ref="K47:K50" si="7">kurs*J47</f>
        <v>0</v>
      </c>
    </row>
    <row r="48" spans="1:12" x14ac:dyDescent="0.25">
      <c r="E48" s="42" t="s">
        <v>581</v>
      </c>
      <c r="F48" s="43"/>
      <c r="G48" s="43"/>
      <c r="H48" s="44">
        <v>2</v>
      </c>
      <c r="I48" s="59">
        <v>1.5</v>
      </c>
      <c r="J48" s="48">
        <f t="shared" si="6"/>
        <v>3</v>
      </c>
      <c r="K48" s="50">
        <f t="shared" ref="K48:K49" si="8">kurs*J48</f>
        <v>351.34649999999999</v>
      </c>
    </row>
    <row r="49" spans="3:12" x14ac:dyDescent="0.25">
      <c r="E49" s="42" t="s">
        <v>582</v>
      </c>
      <c r="F49" s="43"/>
      <c r="G49" s="43"/>
      <c r="H49" s="44">
        <v>2</v>
      </c>
      <c r="I49" s="59">
        <v>1.5</v>
      </c>
      <c r="J49" s="48">
        <f t="shared" si="6"/>
        <v>3</v>
      </c>
      <c r="K49" s="50">
        <f t="shared" si="8"/>
        <v>351.34649999999999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0.19</v>
      </c>
      <c r="J50" s="48">
        <f t="shared" si="6"/>
        <v>0</v>
      </c>
      <c r="K50" s="50">
        <f t="shared" si="7"/>
        <v>0</v>
      </c>
    </row>
    <row r="51" spans="3:12" x14ac:dyDescent="0.25">
      <c r="E51" s="45" t="s">
        <v>360</v>
      </c>
      <c r="F51" s="46"/>
      <c r="G51" s="46"/>
      <c r="H51" s="47">
        <v>11465</v>
      </c>
      <c r="I51" s="60">
        <v>0.1</v>
      </c>
      <c r="J51" s="48">
        <f t="shared" si="6"/>
        <v>1146.5</v>
      </c>
      <c r="K51" s="50">
        <f>kurs*J51</f>
        <v>134272.92074999999</v>
      </c>
    </row>
    <row r="52" spans="3:12" x14ac:dyDescent="0.25">
      <c r="E52" s="45" t="s">
        <v>629</v>
      </c>
      <c r="F52" s="46"/>
      <c r="G52" s="46"/>
      <c r="H52" s="47">
        <v>1713</v>
      </c>
      <c r="I52" s="60">
        <v>0.08</v>
      </c>
      <c r="J52" s="48">
        <f t="shared" si="6"/>
        <v>137.04</v>
      </c>
      <c r="K52" s="50">
        <f>kurs*J52</f>
        <v>16049.508119999999</v>
      </c>
    </row>
    <row r="53" spans="3:12" x14ac:dyDescent="0.25">
      <c r="E53" s="45" t="s">
        <v>656</v>
      </c>
      <c r="F53" s="46"/>
      <c r="G53" s="46" t="s">
        <v>807</v>
      </c>
      <c r="H53" s="47">
        <v>2</v>
      </c>
      <c r="I53" s="60">
        <v>200</v>
      </c>
      <c r="J53" s="48">
        <f t="shared" si="6"/>
        <v>400</v>
      </c>
      <c r="K53" s="50">
        <f>kurs*J53</f>
        <v>46846.2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11059.060000000001</v>
      </c>
      <c r="K54" s="50">
        <f>kurs*J54</f>
        <v>1295187.34143</v>
      </c>
      <c r="L54" s="61"/>
    </row>
    <row r="55" spans="3:12" x14ac:dyDescent="0.25">
      <c r="E55" s="22"/>
      <c r="I55" t="s">
        <v>56</v>
      </c>
      <c r="J55" s="52">
        <f>SUM(J45:J54)</f>
        <v>20135.080000000002</v>
      </c>
      <c r="K55" s="51">
        <f>SUM(K45:K54)</f>
        <v>2358129.9617400002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6B18-E079-4690-AC15-E7762DBE6C12}">
  <dimension ref="A1:L34"/>
  <sheetViews>
    <sheetView topLeftCell="A4" workbookViewId="0">
      <selection activeCell="A28" sqref="A28"/>
    </sheetView>
  </sheetViews>
  <sheetFormatPr defaultRowHeight="13.8" x14ac:dyDescent="0.25"/>
  <cols>
    <col min="1" max="1" width="59.8984375" bestFit="1" customWidth="1"/>
    <col min="2" max="2" width="34.19921875" bestFit="1" customWidth="1"/>
    <col min="3" max="3" width="19.19921875" bestFit="1" customWidth="1"/>
  </cols>
  <sheetData>
    <row r="1" spans="1:12" x14ac:dyDescent="0.25">
      <c r="A1" t="s">
        <v>429</v>
      </c>
      <c r="B1" t="s">
        <v>431</v>
      </c>
      <c r="C1" t="s">
        <v>430</v>
      </c>
      <c r="D1" t="s">
        <v>715</v>
      </c>
      <c r="E1" t="s">
        <v>716</v>
      </c>
      <c r="F1" t="s">
        <v>432</v>
      </c>
      <c r="G1" t="s">
        <v>196</v>
      </c>
      <c r="H1" t="s">
        <v>717</v>
      </c>
      <c r="I1" t="s">
        <v>718</v>
      </c>
      <c r="J1" t="s">
        <v>719</v>
      </c>
      <c r="K1" t="s">
        <v>437</v>
      </c>
      <c r="L1" t="s">
        <v>720</v>
      </c>
    </row>
    <row r="2" spans="1:12" s="84" customFormat="1" x14ac:dyDescent="0.25">
      <c r="A2" s="84" t="s">
        <v>423</v>
      </c>
      <c r="B2" s="84" t="s">
        <v>446</v>
      </c>
      <c r="C2" s="84" t="s">
        <v>721</v>
      </c>
      <c r="D2" s="84" t="s">
        <v>493</v>
      </c>
      <c r="E2" s="84" t="s">
        <v>722</v>
      </c>
      <c r="F2" s="84">
        <v>11</v>
      </c>
      <c r="G2" s="84" t="s">
        <v>448</v>
      </c>
      <c r="H2" s="84" t="s">
        <v>723</v>
      </c>
      <c r="I2" s="84" t="s">
        <v>724</v>
      </c>
      <c r="J2" s="84" t="s">
        <v>449</v>
      </c>
      <c r="K2" s="84" t="s">
        <v>181</v>
      </c>
    </row>
    <row r="3" spans="1:12" s="84" customFormat="1" x14ac:dyDescent="0.25">
      <c r="A3" s="84" t="s">
        <v>424</v>
      </c>
      <c r="B3" s="84" t="s">
        <v>446</v>
      </c>
      <c r="C3" s="84" t="s">
        <v>721</v>
      </c>
      <c r="D3" s="84" t="s">
        <v>493</v>
      </c>
      <c r="E3" s="84" t="s">
        <v>725</v>
      </c>
      <c r="F3" s="84">
        <v>1</v>
      </c>
      <c r="G3" s="84" t="s">
        <v>448</v>
      </c>
      <c r="H3" s="84" t="s">
        <v>726</v>
      </c>
      <c r="I3" s="84" t="s">
        <v>724</v>
      </c>
      <c r="J3" s="84" t="s">
        <v>449</v>
      </c>
      <c r="K3" s="84" t="s">
        <v>181</v>
      </c>
    </row>
    <row r="4" spans="1:12" s="84" customFormat="1" x14ac:dyDescent="0.25">
      <c r="A4" s="84" t="s">
        <v>708</v>
      </c>
      <c r="B4" s="84" t="s">
        <v>446</v>
      </c>
      <c r="C4" s="84" t="s">
        <v>721</v>
      </c>
      <c r="D4" s="84" t="s">
        <v>727</v>
      </c>
      <c r="E4" s="84" t="s">
        <v>728</v>
      </c>
      <c r="F4" s="84">
        <v>99</v>
      </c>
      <c r="G4" s="84" t="s">
        <v>448</v>
      </c>
      <c r="H4" s="84" t="s">
        <v>729</v>
      </c>
      <c r="I4" s="84" t="s">
        <v>724</v>
      </c>
      <c r="J4" s="84" t="s">
        <v>449</v>
      </c>
      <c r="K4" s="84" t="s">
        <v>181</v>
      </c>
    </row>
    <row r="5" spans="1:12" s="84" customFormat="1" x14ac:dyDescent="0.25">
      <c r="A5" s="84" t="s">
        <v>709</v>
      </c>
      <c r="B5" s="84" t="s">
        <v>446</v>
      </c>
      <c r="C5" s="84" t="s">
        <v>730</v>
      </c>
      <c r="D5" s="84" t="s">
        <v>730</v>
      </c>
      <c r="E5" s="84" t="s">
        <v>731</v>
      </c>
      <c r="F5" s="84">
        <v>10</v>
      </c>
      <c r="G5" s="84" t="s">
        <v>448</v>
      </c>
      <c r="H5" s="84" t="s">
        <v>732</v>
      </c>
    </row>
    <row r="6" spans="1:12" s="84" customFormat="1" x14ac:dyDescent="0.25"/>
    <row r="7" spans="1:12" s="84" customFormat="1" x14ac:dyDescent="0.25">
      <c r="B7" s="84" t="s">
        <v>724</v>
      </c>
      <c r="C7" s="84" t="s">
        <v>449</v>
      </c>
      <c r="D7" s="84" t="s">
        <v>181</v>
      </c>
    </row>
    <row r="8" spans="1:12" s="84" customFormat="1" x14ac:dyDescent="0.25">
      <c r="A8" s="84" t="s">
        <v>710</v>
      </c>
      <c r="B8" s="84" t="s">
        <v>446</v>
      </c>
      <c r="C8" s="84" t="s">
        <v>733</v>
      </c>
      <c r="D8" s="84" t="s">
        <v>734</v>
      </c>
      <c r="E8" s="84" t="s">
        <v>735</v>
      </c>
      <c r="F8" s="84">
        <v>152</v>
      </c>
      <c r="G8" s="84" t="s">
        <v>448</v>
      </c>
      <c r="H8" s="84" t="s">
        <v>736</v>
      </c>
    </row>
    <row r="9" spans="1:12" s="84" customFormat="1" x14ac:dyDescent="0.25">
      <c r="B9" s="84" t="s">
        <v>724</v>
      </c>
      <c r="C9" s="84" t="s">
        <v>449</v>
      </c>
      <c r="D9" s="84" t="s">
        <v>181</v>
      </c>
    </row>
    <row r="10" spans="1:12" s="84" customFormat="1" x14ac:dyDescent="0.25">
      <c r="A10" s="84" t="s">
        <v>711</v>
      </c>
      <c r="B10" s="84" t="s">
        <v>446</v>
      </c>
      <c r="C10" s="84" t="s">
        <v>733</v>
      </c>
      <c r="D10" s="84" t="s">
        <v>721</v>
      </c>
      <c r="E10" s="84" t="s">
        <v>737</v>
      </c>
      <c r="F10" s="84">
        <v>113</v>
      </c>
      <c r="G10" s="84" t="s">
        <v>448</v>
      </c>
      <c r="H10" s="84" t="s">
        <v>738</v>
      </c>
      <c r="I10" s="84" t="s">
        <v>724</v>
      </c>
      <c r="J10" s="84" t="s">
        <v>449</v>
      </c>
      <c r="K10" s="84" t="s">
        <v>181</v>
      </c>
    </row>
    <row r="11" spans="1:12" s="84" customFormat="1" x14ac:dyDescent="0.25">
      <c r="A11" s="84" t="s">
        <v>712</v>
      </c>
      <c r="B11" s="84" t="s">
        <v>446</v>
      </c>
      <c r="C11" s="84" t="s">
        <v>739</v>
      </c>
      <c r="D11" s="84" t="s">
        <v>740</v>
      </c>
      <c r="E11" s="84" t="s">
        <v>741</v>
      </c>
      <c r="F11" s="84">
        <v>53</v>
      </c>
      <c r="G11" s="84" t="s">
        <v>448</v>
      </c>
      <c r="H11" s="84" t="s">
        <v>742</v>
      </c>
      <c r="I11" s="84" t="s">
        <v>724</v>
      </c>
      <c r="J11" s="84" t="s">
        <v>449</v>
      </c>
      <c r="K11" s="84" t="s">
        <v>181</v>
      </c>
    </row>
    <row r="12" spans="1:12" s="84" customFormat="1" x14ac:dyDescent="0.25">
      <c r="A12" s="84" t="s">
        <v>713</v>
      </c>
      <c r="B12" s="84" t="s">
        <v>446</v>
      </c>
      <c r="C12" s="84" t="s">
        <v>739</v>
      </c>
      <c r="D12" s="84" t="s">
        <v>730</v>
      </c>
      <c r="E12" s="84" t="s">
        <v>743</v>
      </c>
      <c r="F12" s="84">
        <v>45</v>
      </c>
      <c r="G12" s="84" t="s">
        <v>448</v>
      </c>
      <c r="H12" s="84" t="s">
        <v>744</v>
      </c>
      <c r="I12" s="84" t="s">
        <v>724</v>
      </c>
      <c r="J12" s="84" t="s">
        <v>449</v>
      </c>
      <c r="K12" s="84" t="s">
        <v>181</v>
      </c>
    </row>
    <row r="13" spans="1:12" s="84" customFormat="1" x14ac:dyDescent="0.25">
      <c r="A13" s="84" t="s">
        <v>714</v>
      </c>
      <c r="B13" s="84" t="s">
        <v>745</v>
      </c>
      <c r="C13" s="84" t="s">
        <v>746</v>
      </c>
      <c r="D13" s="84" t="s">
        <v>730</v>
      </c>
      <c r="E13" s="84" t="s">
        <v>747</v>
      </c>
      <c r="F13" s="84">
        <v>256</v>
      </c>
      <c r="G13" s="84" t="s">
        <v>448</v>
      </c>
      <c r="H13" s="84" t="s">
        <v>748</v>
      </c>
      <c r="I13" s="84" t="s">
        <v>724</v>
      </c>
      <c r="J13" s="84" t="s">
        <v>449</v>
      </c>
      <c r="K13" s="84" t="s">
        <v>181</v>
      </c>
    </row>
    <row r="14" spans="1:12" s="84" customFormat="1" x14ac:dyDescent="0.25">
      <c r="A14" s="84" t="s">
        <v>749</v>
      </c>
      <c r="B14" s="84" t="s">
        <v>750</v>
      </c>
      <c r="C14" s="84" t="s">
        <v>746</v>
      </c>
      <c r="D14" s="84" t="s">
        <v>751</v>
      </c>
      <c r="E14" s="84" t="s">
        <v>752</v>
      </c>
      <c r="F14" s="84">
        <v>98</v>
      </c>
      <c r="G14" s="84" t="s">
        <v>448</v>
      </c>
      <c r="H14" s="84" t="s">
        <v>753</v>
      </c>
      <c r="I14" s="84" t="s">
        <v>724</v>
      </c>
      <c r="J14" s="84" t="s">
        <v>449</v>
      </c>
      <c r="K14" s="84" t="s">
        <v>181</v>
      </c>
    </row>
    <row r="15" spans="1:12" s="84" customFormat="1" x14ac:dyDescent="0.25">
      <c r="A15" s="84" t="s">
        <v>754</v>
      </c>
      <c r="B15" s="84" t="s">
        <v>745</v>
      </c>
      <c r="C15" s="84" t="s">
        <v>755</v>
      </c>
      <c r="D15" s="84" t="s">
        <v>756</v>
      </c>
      <c r="F15" s="84">
        <v>47</v>
      </c>
      <c r="G15" s="84" t="s">
        <v>448</v>
      </c>
      <c r="H15" s="84" t="s">
        <v>757</v>
      </c>
      <c r="I15" s="84" t="s">
        <v>724</v>
      </c>
      <c r="J15" s="84" t="s">
        <v>449</v>
      </c>
      <c r="K15" s="84" t="s">
        <v>181</v>
      </c>
    </row>
    <row r="16" spans="1:12" s="84" customFormat="1" x14ac:dyDescent="0.25">
      <c r="A16" s="84" t="s">
        <v>758</v>
      </c>
      <c r="B16" s="84" t="s">
        <v>446</v>
      </c>
      <c r="C16" s="84" t="s">
        <v>755</v>
      </c>
      <c r="D16" s="84" t="s">
        <v>755</v>
      </c>
      <c r="E16" s="84" t="s">
        <v>759</v>
      </c>
      <c r="F16" s="84">
        <v>12</v>
      </c>
      <c r="G16" s="84" t="s">
        <v>448</v>
      </c>
    </row>
    <row r="18" spans="1:11" s="84" customFormat="1" x14ac:dyDescent="0.25">
      <c r="A18" s="84" t="s">
        <v>760</v>
      </c>
      <c r="B18" s="84" t="s">
        <v>750</v>
      </c>
      <c r="C18" s="84" t="s">
        <v>755</v>
      </c>
      <c r="D18" s="84" t="s">
        <v>761</v>
      </c>
      <c r="E18" s="84" t="s">
        <v>762</v>
      </c>
      <c r="F18" s="84">
        <v>117</v>
      </c>
      <c r="G18" s="84" t="s">
        <v>448</v>
      </c>
      <c r="H18" s="84" t="s">
        <v>763</v>
      </c>
      <c r="I18" s="84" t="s">
        <v>724</v>
      </c>
      <c r="J18" s="84" t="s">
        <v>449</v>
      </c>
      <c r="K18" s="84" t="s">
        <v>181</v>
      </c>
    </row>
    <row r="19" spans="1:11" s="84" customFormat="1" x14ac:dyDescent="0.25">
      <c r="A19" s="84" t="s">
        <v>764</v>
      </c>
      <c r="B19" s="84" t="s">
        <v>745</v>
      </c>
      <c r="C19" s="84" t="s">
        <v>765</v>
      </c>
      <c r="D19" s="84" t="s">
        <v>766</v>
      </c>
      <c r="F19" s="84">
        <v>131</v>
      </c>
      <c r="G19" s="84" t="s">
        <v>448</v>
      </c>
      <c r="H19" s="84" t="s">
        <v>767</v>
      </c>
      <c r="I19" s="84" t="s">
        <v>724</v>
      </c>
      <c r="J19" s="84" t="s">
        <v>449</v>
      </c>
      <c r="K19" s="84" t="s">
        <v>181</v>
      </c>
    </row>
    <row r="20" spans="1:11" s="84" customFormat="1" x14ac:dyDescent="0.25">
      <c r="A20" s="84" t="s">
        <v>768</v>
      </c>
      <c r="B20" s="84" t="s">
        <v>745</v>
      </c>
      <c r="C20" s="84" t="s">
        <v>765</v>
      </c>
      <c r="D20" s="84" t="s">
        <v>766</v>
      </c>
      <c r="F20" s="84">
        <v>137</v>
      </c>
      <c r="G20" s="84" t="s">
        <v>448</v>
      </c>
      <c r="H20" s="84" t="s">
        <v>769</v>
      </c>
    </row>
    <row r="21" spans="1:11" s="84" customFormat="1" x14ac:dyDescent="0.25">
      <c r="B21" s="84" t="s">
        <v>724</v>
      </c>
      <c r="C21" s="84" t="s">
        <v>449</v>
      </c>
      <c r="D21" s="84" t="s">
        <v>181</v>
      </c>
    </row>
    <row r="22" spans="1:11" s="84" customFormat="1" x14ac:dyDescent="0.25">
      <c r="A22" s="84" t="s">
        <v>770</v>
      </c>
      <c r="B22" s="84" t="s">
        <v>745</v>
      </c>
      <c r="C22" s="84" t="s">
        <v>765</v>
      </c>
      <c r="D22" s="84" t="s">
        <v>771</v>
      </c>
      <c r="F22" s="84">
        <v>124</v>
      </c>
      <c r="G22" s="84" t="s">
        <v>448</v>
      </c>
      <c r="H22" s="84" t="s">
        <v>772</v>
      </c>
      <c r="I22" s="84" t="s">
        <v>724</v>
      </c>
      <c r="J22" s="84" t="s">
        <v>449</v>
      </c>
      <c r="K22" s="84" t="s">
        <v>181</v>
      </c>
    </row>
    <row r="23" spans="1:11" s="84" customFormat="1" x14ac:dyDescent="0.25">
      <c r="A23" s="84" t="s">
        <v>773</v>
      </c>
      <c r="B23" s="84" t="s">
        <v>745</v>
      </c>
      <c r="C23" s="84" t="s">
        <v>765</v>
      </c>
      <c r="D23" s="84" t="s">
        <v>766</v>
      </c>
      <c r="F23" s="84">
        <v>139</v>
      </c>
      <c r="G23" s="84" t="s">
        <v>448</v>
      </c>
      <c r="H23" s="84" t="s">
        <v>774</v>
      </c>
      <c r="I23" s="84" t="s">
        <v>724</v>
      </c>
      <c r="J23" s="84" t="s">
        <v>449</v>
      </c>
      <c r="K23" s="84" t="s">
        <v>181</v>
      </c>
    </row>
    <row r="24" spans="1:11" s="84" customFormat="1" x14ac:dyDescent="0.25">
      <c r="A24" s="84" t="s">
        <v>775</v>
      </c>
      <c r="B24" s="84" t="s">
        <v>446</v>
      </c>
      <c r="C24" s="84" t="s">
        <v>765</v>
      </c>
      <c r="D24" s="84" t="s">
        <v>765</v>
      </c>
      <c r="E24" s="84" t="s">
        <v>776</v>
      </c>
      <c r="F24" s="84">
        <v>8</v>
      </c>
      <c r="G24" s="84" t="s">
        <v>448</v>
      </c>
      <c r="H24" s="84" t="s">
        <v>777</v>
      </c>
      <c r="I24" s="84" t="s">
        <v>724</v>
      </c>
      <c r="J24" s="84" t="s">
        <v>449</v>
      </c>
      <c r="K24" s="84" t="s">
        <v>181</v>
      </c>
    </row>
    <row r="25" spans="1:11" s="84" customFormat="1" x14ac:dyDescent="0.25">
      <c r="A25" s="84" t="s">
        <v>778</v>
      </c>
      <c r="B25" s="84" t="s">
        <v>745</v>
      </c>
      <c r="C25" s="84" t="s">
        <v>779</v>
      </c>
      <c r="D25" s="84" t="s">
        <v>780</v>
      </c>
      <c r="F25" s="84">
        <v>167</v>
      </c>
      <c r="G25" s="84" t="s">
        <v>448</v>
      </c>
      <c r="H25" s="84" t="s">
        <v>781</v>
      </c>
      <c r="I25" s="84" t="s">
        <v>724</v>
      </c>
      <c r="J25" s="84" t="s">
        <v>449</v>
      </c>
      <c r="K25" s="84" t="s">
        <v>181</v>
      </c>
    </row>
    <row r="26" spans="1:11" s="84" customFormat="1" x14ac:dyDescent="0.25">
      <c r="A26" s="84" t="s">
        <v>782</v>
      </c>
      <c r="B26" s="84" t="s">
        <v>745</v>
      </c>
      <c r="C26" s="84" t="s">
        <v>779</v>
      </c>
      <c r="D26" s="84" t="s">
        <v>780</v>
      </c>
      <c r="F26" s="84">
        <v>82</v>
      </c>
      <c r="G26" s="84" t="s">
        <v>448</v>
      </c>
      <c r="H26" s="84" t="s">
        <v>783</v>
      </c>
    </row>
    <row r="27" spans="1:11" s="84" customFormat="1" x14ac:dyDescent="0.25">
      <c r="A27" s="84" t="s">
        <v>784</v>
      </c>
      <c r="B27" s="84" t="s">
        <v>745</v>
      </c>
      <c r="C27" s="84" t="s">
        <v>779</v>
      </c>
      <c r="D27" s="84" t="s">
        <v>780</v>
      </c>
      <c r="F27" s="84">
        <v>99</v>
      </c>
      <c r="G27" s="84" t="s">
        <v>448</v>
      </c>
      <c r="H27" s="84" t="s">
        <v>785</v>
      </c>
      <c r="I27" s="84" t="s">
        <v>724</v>
      </c>
      <c r="J27" s="84" t="s">
        <v>449</v>
      </c>
      <c r="K27" s="84" t="s">
        <v>181</v>
      </c>
    </row>
    <row r="28" spans="1:11" x14ac:dyDescent="0.25">
      <c r="A28" s="118" t="s">
        <v>786</v>
      </c>
      <c r="B28" t="s">
        <v>745</v>
      </c>
      <c r="C28" t="s">
        <v>787</v>
      </c>
      <c r="D28" t="s">
        <v>788</v>
      </c>
      <c r="F28">
        <v>78</v>
      </c>
      <c r="G28" t="s">
        <v>448</v>
      </c>
      <c r="H28" t="s">
        <v>789</v>
      </c>
      <c r="I28" t="s">
        <v>724</v>
      </c>
      <c r="J28" t="s">
        <v>449</v>
      </c>
      <c r="K28" t="s">
        <v>181</v>
      </c>
    </row>
    <row r="29" spans="1:11" x14ac:dyDescent="0.25">
      <c r="A29" s="118" t="s">
        <v>790</v>
      </c>
      <c r="B29" t="s">
        <v>745</v>
      </c>
      <c r="C29" t="s">
        <v>787</v>
      </c>
      <c r="D29" t="s">
        <v>791</v>
      </c>
      <c r="F29">
        <v>65</v>
      </c>
      <c r="G29" t="s">
        <v>448</v>
      </c>
      <c r="H29" t="s">
        <v>792</v>
      </c>
      <c r="I29" t="s">
        <v>724</v>
      </c>
      <c r="J29" t="s">
        <v>449</v>
      </c>
      <c r="K29" t="s">
        <v>181</v>
      </c>
    </row>
    <row r="30" spans="1:11" x14ac:dyDescent="0.25">
      <c r="A30" s="118" t="s">
        <v>793</v>
      </c>
      <c r="B30" t="s">
        <v>745</v>
      </c>
      <c r="C30" t="s">
        <v>787</v>
      </c>
      <c r="D30" t="s">
        <v>779</v>
      </c>
      <c r="F30">
        <v>74</v>
      </c>
      <c r="G30" t="s">
        <v>448</v>
      </c>
      <c r="H30" t="s">
        <v>794</v>
      </c>
      <c r="I30" t="s">
        <v>724</v>
      </c>
      <c r="J30" t="s">
        <v>449</v>
      </c>
      <c r="K30" t="s">
        <v>181</v>
      </c>
    </row>
    <row r="31" spans="1:11" x14ac:dyDescent="0.25">
      <c r="A31" s="118" t="s">
        <v>795</v>
      </c>
      <c r="B31" t="s">
        <v>745</v>
      </c>
      <c r="C31" t="s">
        <v>787</v>
      </c>
      <c r="D31" t="s">
        <v>787</v>
      </c>
      <c r="F31">
        <v>91</v>
      </c>
      <c r="G31" t="s">
        <v>448</v>
      </c>
      <c r="H31" t="s">
        <v>796</v>
      </c>
    </row>
    <row r="32" spans="1:11" x14ac:dyDescent="0.25">
      <c r="B32" t="s">
        <v>724</v>
      </c>
      <c r="C32" t="s">
        <v>449</v>
      </c>
      <c r="D32" t="s">
        <v>181</v>
      </c>
    </row>
    <row r="33" spans="1:11" x14ac:dyDescent="0.25">
      <c r="A33" t="s">
        <v>797</v>
      </c>
      <c r="B33" t="s">
        <v>745</v>
      </c>
      <c r="C33" t="s">
        <v>798</v>
      </c>
      <c r="D33" t="s">
        <v>799</v>
      </c>
      <c r="F33">
        <v>160</v>
      </c>
      <c r="G33" t="s">
        <v>448</v>
      </c>
      <c r="H33" t="s">
        <v>800</v>
      </c>
      <c r="I33" t="s">
        <v>724</v>
      </c>
      <c r="J33" t="s">
        <v>449</v>
      </c>
      <c r="K33" t="s">
        <v>181</v>
      </c>
    </row>
    <row r="34" spans="1:11" x14ac:dyDescent="0.25">
      <c r="A34" t="s">
        <v>801</v>
      </c>
      <c r="B34" t="s">
        <v>745</v>
      </c>
      <c r="C34" t="s">
        <v>799</v>
      </c>
      <c r="D34" t="s">
        <v>799</v>
      </c>
      <c r="F34">
        <v>3</v>
      </c>
      <c r="G34" t="s">
        <v>448</v>
      </c>
      <c r="H34" t="s">
        <v>801</v>
      </c>
      <c r="I34" t="s">
        <v>724</v>
      </c>
      <c r="J34" t="s">
        <v>449</v>
      </c>
      <c r="K34" t="s">
        <v>181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0170-B4C3-45D5-9C97-D1D8FF84E73B}">
  <dimension ref="A1:L60"/>
  <sheetViews>
    <sheetView view="pageBreakPreview" topLeftCell="A34" zoomScaleNormal="100" zoomScaleSheetLayoutView="100" workbookViewId="0">
      <selection activeCell="J55" sqref="J55"/>
    </sheetView>
  </sheetViews>
  <sheetFormatPr defaultRowHeight="13.8" x14ac:dyDescent="0.25"/>
  <cols>
    <col min="1" max="1" width="17.5" customWidth="1"/>
    <col min="2" max="2" width="34.0976562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706</v>
      </c>
      <c r="H3" s="4"/>
      <c r="I3" s="4"/>
    </row>
    <row r="4" spans="1:11" x14ac:dyDescent="0.25">
      <c r="B4" s="2"/>
      <c r="C4" s="6"/>
      <c r="F4" s="3" t="s">
        <v>707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116.9922</v>
      </c>
      <c r="F6" t="s">
        <v>42</v>
      </c>
      <c r="G6" s="102">
        <v>2411027642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20315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>
        <v>269</v>
      </c>
      <c r="I11" s="56"/>
      <c r="J11" s="82">
        <f>D10+D11+E11-H11-I11</f>
        <v>20046</v>
      </c>
      <c r="K11" s="83">
        <f>0.02*J11</f>
        <v>400.92</v>
      </c>
    </row>
    <row r="12" spans="1:11" ht="14.25" customHeight="1" x14ac:dyDescent="0.25">
      <c r="A12" s="12" t="s">
        <v>1</v>
      </c>
      <c r="B12" s="91"/>
      <c r="C12" s="91"/>
      <c r="D12" s="12"/>
      <c r="E12" s="12"/>
      <c r="F12" s="12"/>
      <c r="G12" s="12"/>
      <c r="H12" s="12"/>
      <c r="I12" s="56"/>
      <c r="J12" s="82">
        <f>J11+D12+E12-H12-I12</f>
        <v>20046</v>
      </c>
      <c r="K12" s="83">
        <f t="shared" ref="K12:K40" si="0">0.02*J12</f>
        <v>400.92</v>
      </c>
    </row>
    <row r="13" spans="1:11" ht="13.5" customHeight="1" x14ac:dyDescent="0.25">
      <c r="A13" s="12" t="s">
        <v>2</v>
      </c>
      <c r="D13" s="56"/>
      <c r="E13" s="56"/>
      <c r="F13" s="12"/>
      <c r="G13" s="12"/>
      <c r="H13" s="12"/>
      <c r="I13" s="56"/>
      <c r="J13" s="82">
        <f t="shared" ref="J13:J38" si="1">J12+D13+E13-H13-I13</f>
        <v>20046</v>
      </c>
      <c r="K13" s="83">
        <f t="shared" si="0"/>
        <v>400.92</v>
      </c>
    </row>
    <row r="14" spans="1:11" x14ac:dyDescent="0.25">
      <c r="A14" s="12" t="s">
        <v>3</v>
      </c>
      <c r="B14" s="73"/>
      <c r="C14" s="109"/>
      <c r="D14" s="12"/>
      <c r="E14" s="12"/>
      <c r="F14" s="12"/>
      <c r="G14" s="12"/>
      <c r="H14" s="12"/>
      <c r="I14" s="56"/>
      <c r="J14" s="82">
        <f>J13+D14+E14-H14-I14</f>
        <v>20046</v>
      </c>
      <c r="K14" s="83">
        <f t="shared" si="0"/>
        <v>400.92</v>
      </c>
    </row>
    <row r="15" spans="1:11" x14ac:dyDescent="0.25">
      <c r="A15" s="12" t="s">
        <v>4</v>
      </c>
      <c r="B15" s="95"/>
      <c r="C15" s="109"/>
      <c r="D15" s="12"/>
      <c r="E15" s="12"/>
      <c r="F15" s="12"/>
      <c r="G15" s="12"/>
      <c r="H15" s="12">
        <f>625+1713</f>
        <v>2338</v>
      </c>
      <c r="I15" s="56"/>
      <c r="J15" s="82">
        <f t="shared" si="1"/>
        <v>17708</v>
      </c>
      <c r="K15" s="83">
        <f t="shared" si="0"/>
        <v>354.16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>
        <v>1419</v>
      </c>
      <c r="I16" s="56"/>
      <c r="J16" s="82">
        <f t="shared" si="1"/>
        <v>16289</v>
      </c>
      <c r="K16" s="83">
        <f t="shared" si="0"/>
        <v>325.78000000000003</v>
      </c>
    </row>
    <row r="17" spans="1:11" x14ac:dyDescent="0.25">
      <c r="A17" s="12" t="s">
        <v>6</v>
      </c>
      <c r="B17" s="116"/>
      <c r="C17"/>
      <c r="D17" s="12"/>
      <c r="E17" s="12"/>
      <c r="F17" s="81"/>
      <c r="G17" s="12"/>
      <c r="H17" s="12">
        <v>548</v>
      </c>
      <c r="I17" s="12"/>
      <c r="J17" s="82">
        <f>J16+D17+E17-H17-I17</f>
        <v>15741</v>
      </c>
      <c r="K17" s="83">
        <f t="shared" si="0"/>
        <v>314.82</v>
      </c>
    </row>
    <row r="18" spans="1:11" x14ac:dyDescent="0.25">
      <c r="A18" s="12" t="s">
        <v>7</v>
      </c>
      <c r="B18" s="81"/>
      <c r="C18" s="73"/>
      <c r="D18" s="12"/>
      <c r="E18" s="12"/>
      <c r="F18" s="12"/>
      <c r="G18" s="12"/>
      <c r="H18" s="12">
        <v>286</v>
      </c>
      <c r="I18" s="12"/>
      <c r="J18" s="82">
        <f>J17+D18+E18-H18-I18</f>
        <v>15455</v>
      </c>
      <c r="K18" s="83">
        <f t="shared" si="0"/>
        <v>309.10000000000002</v>
      </c>
    </row>
    <row r="19" spans="1:11" ht="13.5" customHeight="1" x14ac:dyDescent="0.25">
      <c r="A19" s="12" t="s">
        <v>8</v>
      </c>
      <c r="B19" s="95"/>
      <c r="C19" s="109"/>
      <c r="D19" s="12"/>
      <c r="E19" s="12"/>
      <c r="F19" s="81"/>
      <c r="G19" s="12"/>
      <c r="H19" s="12"/>
      <c r="I19" s="12"/>
      <c r="J19" s="82">
        <f t="shared" si="1"/>
        <v>15455</v>
      </c>
      <c r="K19" s="83">
        <f t="shared" si="0"/>
        <v>309.10000000000002</v>
      </c>
    </row>
    <row r="20" spans="1:11" x14ac:dyDescent="0.25">
      <c r="A20" s="12" t="s">
        <v>9</v>
      </c>
      <c r="B20" s="92"/>
      <c r="C20" s="109"/>
      <c r="D20" s="12"/>
      <c r="E20" s="12"/>
      <c r="F20" s="81"/>
      <c r="G20" s="12"/>
      <c r="H20" s="12"/>
      <c r="I20" s="12"/>
      <c r="J20" s="82">
        <f t="shared" si="1"/>
        <v>15455</v>
      </c>
      <c r="K20" s="83">
        <f t="shared" si="0"/>
        <v>309.10000000000002</v>
      </c>
    </row>
    <row r="21" spans="1:11" x14ac:dyDescent="0.25">
      <c r="A21" s="12" t="s">
        <v>10</v>
      </c>
      <c r="B21" t="s">
        <v>698</v>
      </c>
      <c r="C21" s="109"/>
      <c r="D21" s="12">
        <v>3</v>
      </c>
      <c r="E21" s="12"/>
      <c r="F21" s="81"/>
      <c r="G21" s="12"/>
      <c r="H21" s="12"/>
      <c r="I21" s="12"/>
      <c r="J21" s="82">
        <f t="shared" si="1"/>
        <v>15458</v>
      </c>
      <c r="K21" s="83">
        <f t="shared" si="0"/>
        <v>309.16000000000003</v>
      </c>
    </row>
    <row r="22" spans="1:11" x14ac:dyDescent="0.25">
      <c r="A22" s="12" t="s">
        <v>11</v>
      </c>
      <c r="B22" s="95"/>
      <c r="C22" s="109"/>
      <c r="D22" s="12"/>
      <c r="E22" s="12"/>
      <c r="F22" s="81"/>
      <c r="G22" s="12"/>
      <c r="H22" s="12"/>
      <c r="I22" s="12"/>
      <c r="J22" s="82">
        <f t="shared" si="1"/>
        <v>15458</v>
      </c>
      <c r="K22" s="83">
        <f t="shared" si="0"/>
        <v>309.16000000000003</v>
      </c>
    </row>
    <row r="23" spans="1:11" x14ac:dyDescent="0.25">
      <c r="A23" s="12" t="s">
        <v>12</v>
      </c>
      <c r="B23" s="88" t="s">
        <v>696</v>
      </c>
      <c r="C23" s="117" t="s">
        <v>697</v>
      </c>
      <c r="D23" s="12">
        <f>767+903+710</f>
        <v>2380</v>
      </c>
      <c r="E23" s="12"/>
      <c r="F23" s="81"/>
      <c r="G23" s="81"/>
      <c r="H23" s="12">
        <v>372</v>
      </c>
      <c r="I23" s="12"/>
      <c r="J23" s="82">
        <f>J22+D23+E23-H23-I23</f>
        <v>17466</v>
      </c>
      <c r="K23" s="83">
        <f t="shared" si="0"/>
        <v>349.32</v>
      </c>
    </row>
    <row r="24" spans="1:11" x14ac:dyDescent="0.25">
      <c r="A24" s="12" t="s">
        <v>13</v>
      </c>
      <c r="B24" s="81"/>
      <c r="C24"/>
      <c r="D24" s="12"/>
      <c r="E24" s="12"/>
      <c r="F24" s="81"/>
      <c r="G24" s="12"/>
      <c r="H24" s="12">
        <v>414</v>
      </c>
      <c r="I24" s="12"/>
      <c r="J24" s="82">
        <f t="shared" si="1"/>
        <v>17052</v>
      </c>
      <c r="K24" s="83">
        <f t="shared" si="0"/>
        <v>341.04</v>
      </c>
    </row>
    <row r="25" spans="1:11" x14ac:dyDescent="0.25">
      <c r="A25" s="12" t="s">
        <v>14</v>
      </c>
      <c r="B25" s="81"/>
      <c r="C25" s="109"/>
      <c r="D25" s="12"/>
      <c r="E25" s="12"/>
      <c r="F25" s="81"/>
      <c r="G25" s="12"/>
      <c r="H25" s="12">
        <v>317</v>
      </c>
      <c r="I25" s="12"/>
      <c r="J25" s="82">
        <f t="shared" si="1"/>
        <v>16735</v>
      </c>
      <c r="K25" s="83">
        <f t="shared" si="0"/>
        <v>334.7</v>
      </c>
    </row>
    <row r="26" spans="1:11" x14ac:dyDescent="0.25">
      <c r="A26" s="12" t="s">
        <v>15</v>
      </c>
      <c r="B26" s="92"/>
      <c r="C26" s="111"/>
      <c r="D26" s="12"/>
      <c r="E26" s="12"/>
      <c r="F26" s="81"/>
      <c r="G26" s="12"/>
      <c r="H26" s="12"/>
      <c r="I26" s="12"/>
      <c r="J26" s="82">
        <f t="shared" si="1"/>
        <v>16735</v>
      </c>
      <c r="K26" s="83">
        <f t="shared" si="0"/>
        <v>334.7</v>
      </c>
    </row>
    <row r="27" spans="1:11" x14ac:dyDescent="0.25">
      <c r="A27" s="12" t="s">
        <v>16</v>
      </c>
      <c r="B27" s="81"/>
      <c r="D27" s="12"/>
      <c r="E27" s="12"/>
      <c r="F27" s="81"/>
      <c r="G27" s="12"/>
      <c r="H27" s="12"/>
      <c r="I27" s="12"/>
      <c r="J27" s="82">
        <f t="shared" si="1"/>
        <v>16735</v>
      </c>
      <c r="K27" s="83">
        <f t="shared" si="0"/>
        <v>334.7</v>
      </c>
    </row>
    <row r="28" spans="1:11" x14ac:dyDescent="0.25">
      <c r="A28" s="12" t="s">
        <v>17</v>
      </c>
      <c r="B28" s="81"/>
      <c r="C28" s="73"/>
      <c r="D28" s="12"/>
      <c r="E28" s="12"/>
      <c r="F28" s="81"/>
      <c r="G28" s="12"/>
      <c r="H28" s="12"/>
      <c r="I28" s="12"/>
      <c r="J28" s="82">
        <f t="shared" si="1"/>
        <v>16735</v>
      </c>
      <c r="K28" s="83">
        <f t="shared" si="0"/>
        <v>334.7</v>
      </c>
    </row>
    <row r="29" spans="1:11" x14ac:dyDescent="0.25">
      <c r="A29" s="12" t="s">
        <v>18</v>
      </c>
      <c r="B29" t="s">
        <v>702</v>
      </c>
      <c r="C29" s="112"/>
      <c r="D29" s="12">
        <v>5</v>
      </c>
      <c r="E29" s="12"/>
      <c r="F29" s="81"/>
      <c r="G29" s="12"/>
      <c r="H29" s="12">
        <v>711</v>
      </c>
      <c r="I29" s="12"/>
      <c r="J29" s="82">
        <f t="shared" si="1"/>
        <v>16029</v>
      </c>
      <c r="K29" s="83">
        <f t="shared" si="0"/>
        <v>320.58</v>
      </c>
    </row>
    <row r="30" spans="1:11" x14ac:dyDescent="0.25">
      <c r="A30" s="12" t="s">
        <v>19</v>
      </c>
      <c r="B30" s="104" t="s">
        <v>699</v>
      </c>
      <c r="C30" s="96"/>
      <c r="D30" s="12">
        <v>929</v>
      </c>
      <c r="E30" s="12"/>
      <c r="F30" s="81"/>
      <c r="G30" s="12"/>
      <c r="H30" s="12">
        <v>1075</v>
      </c>
      <c r="I30" s="12"/>
      <c r="J30" s="82">
        <f>J29+D30+E30-H30-I30</f>
        <v>15883</v>
      </c>
      <c r="K30" s="83">
        <f t="shared" si="0"/>
        <v>317.66000000000003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">
        <v>872</v>
      </c>
      <c r="I31" s="12"/>
      <c r="J31" s="82">
        <f t="shared" si="1"/>
        <v>15011</v>
      </c>
      <c r="K31" s="83">
        <f t="shared" si="0"/>
        <v>300.22000000000003</v>
      </c>
    </row>
    <row r="32" spans="1:11" x14ac:dyDescent="0.25">
      <c r="A32" s="12" t="s">
        <v>21</v>
      </c>
      <c r="B32" s="81" t="s">
        <v>700</v>
      </c>
      <c r="C32" s="73" t="s">
        <v>701</v>
      </c>
      <c r="D32" s="12">
        <f>342+633</f>
        <v>975</v>
      </c>
      <c r="E32" s="12"/>
      <c r="F32" s="81"/>
      <c r="G32" s="107"/>
      <c r="H32" s="12">
        <v>242</v>
      </c>
      <c r="I32" s="12"/>
      <c r="J32" s="82">
        <f t="shared" si="1"/>
        <v>15744</v>
      </c>
      <c r="K32" s="83">
        <f t="shared" si="0"/>
        <v>314.88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/>
      <c r="I33" s="12"/>
      <c r="J33" s="82">
        <f t="shared" si="1"/>
        <v>15744</v>
      </c>
      <c r="K33" s="83">
        <f t="shared" si="0"/>
        <v>314.88</v>
      </c>
    </row>
    <row r="34" spans="1:12" x14ac:dyDescent="0.25">
      <c r="A34" s="12" t="s">
        <v>23</v>
      </c>
      <c r="B34" s="104"/>
      <c r="C34" s="96"/>
      <c r="D34" s="12"/>
      <c r="E34" s="12"/>
      <c r="F34" s="81"/>
      <c r="G34" s="12"/>
      <c r="H34" s="12"/>
      <c r="I34" s="12"/>
      <c r="J34" s="82">
        <f t="shared" si="1"/>
        <v>15744</v>
      </c>
      <c r="K34" s="83">
        <f t="shared" si="0"/>
        <v>314.88</v>
      </c>
    </row>
    <row r="35" spans="1:12" x14ac:dyDescent="0.25">
      <c r="A35" s="12" t="s">
        <v>24</v>
      </c>
      <c r="B35" s="104"/>
      <c r="C35" s="96"/>
      <c r="D35" s="12"/>
      <c r="E35" s="12"/>
      <c r="F35" s="81"/>
      <c r="G35" s="12"/>
      <c r="H35" s="12"/>
      <c r="I35" s="12"/>
      <c r="J35" s="82">
        <f t="shared" si="1"/>
        <v>15744</v>
      </c>
      <c r="K35" s="83">
        <f t="shared" si="0"/>
        <v>314.88</v>
      </c>
    </row>
    <row r="36" spans="1:12" ht="13.5" customHeight="1" x14ac:dyDescent="0.25">
      <c r="A36" s="12" t="s">
        <v>25</v>
      </c>
      <c r="B36" s="81"/>
      <c r="C36" s="112"/>
      <c r="D36" s="12"/>
      <c r="E36" s="12"/>
      <c r="F36" s="12"/>
      <c r="G36" s="12"/>
      <c r="H36" s="12">
        <v>251</v>
      </c>
      <c r="I36" s="108"/>
      <c r="J36" s="82">
        <f t="shared" si="1"/>
        <v>15493</v>
      </c>
      <c r="K36" s="83">
        <f t="shared" si="0"/>
        <v>309.86</v>
      </c>
    </row>
    <row r="37" spans="1:12" x14ac:dyDescent="0.25">
      <c r="A37" s="12" t="s">
        <v>26</v>
      </c>
      <c r="B37" s="104" t="s">
        <v>703</v>
      </c>
      <c r="C37" s="100" t="s">
        <v>704</v>
      </c>
      <c r="D37" s="12">
        <f>645+371</f>
        <v>1016</v>
      </c>
      <c r="E37" s="12"/>
      <c r="F37" s="12"/>
      <c r="G37" s="12"/>
      <c r="H37" s="12">
        <v>680</v>
      </c>
      <c r="I37" s="12"/>
      <c r="J37" s="82">
        <f t="shared" si="1"/>
        <v>15829</v>
      </c>
      <c r="K37" s="83">
        <f t="shared" si="0"/>
        <v>316.58</v>
      </c>
    </row>
    <row r="38" spans="1:12" x14ac:dyDescent="0.25">
      <c r="A38" s="12" t="s">
        <v>27</v>
      </c>
      <c r="B38" s="81" t="s">
        <v>705</v>
      </c>
      <c r="C38" s="109"/>
      <c r="D38" s="12">
        <v>978</v>
      </c>
      <c r="E38" s="12"/>
      <c r="F38" s="12"/>
      <c r="G38" s="12"/>
      <c r="H38" s="12">
        <v>727</v>
      </c>
      <c r="I38" s="12"/>
      <c r="J38" s="82">
        <f t="shared" si="1"/>
        <v>16080</v>
      </c>
      <c r="K38" s="83">
        <f t="shared" si="0"/>
        <v>321.60000000000002</v>
      </c>
    </row>
    <row r="39" spans="1:12" x14ac:dyDescent="0.25">
      <c r="A39" s="12" t="s">
        <v>28</v>
      </c>
      <c r="B39" s="104"/>
      <c r="C39" s="104"/>
      <c r="D39" s="12"/>
      <c r="E39" s="12"/>
      <c r="F39" s="81"/>
      <c r="G39" s="12"/>
      <c r="H39" s="12"/>
      <c r="I39" s="12"/>
      <c r="J39" s="82">
        <f>J38+D39+E39-H39-I39</f>
        <v>16080</v>
      </c>
      <c r="K39" s="83">
        <f t="shared" si="0"/>
        <v>321.60000000000002</v>
      </c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>
        <v>240</v>
      </c>
      <c r="I40" s="12"/>
      <c r="J40" s="82">
        <f t="shared" ref="J40" si="2">J39+D40+E40-H40-I40</f>
        <v>15840</v>
      </c>
      <c r="K40" s="83">
        <f t="shared" si="0"/>
        <v>316.8</v>
      </c>
    </row>
    <row r="41" spans="1:12" x14ac:dyDescent="0.25">
      <c r="A41" s="12" t="s">
        <v>30</v>
      </c>
      <c r="B41" s="96"/>
      <c r="C41" s="96"/>
      <c r="D41" s="12"/>
      <c r="E41" s="12"/>
      <c r="F41" s="81"/>
      <c r="G41" s="12"/>
      <c r="H41" s="12"/>
      <c r="I41" s="12"/>
      <c r="J41" s="82"/>
      <c r="K41" s="83"/>
    </row>
    <row r="42" spans="1:12" ht="15" thickBot="1" x14ac:dyDescent="0.35">
      <c r="A42" s="168"/>
      <c r="B42" s="169"/>
      <c r="C42" s="19" t="s">
        <v>31</v>
      </c>
      <c r="D42" s="20">
        <f>SUM(D11:D41)</f>
        <v>6286</v>
      </c>
      <c r="E42" s="20">
        <f>SUM(E11:E41)</f>
        <v>0</v>
      </c>
      <c r="F42" s="21">
        <v>0</v>
      </c>
      <c r="G42" s="21"/>
      <c r="H42" s="20">
        <f>SUM(H11:H41)</f>
        <v>10761</v>
      </c>
      <c r="I42" s="20">
        <f>SUM(I11:I41)</f>
        <v>0</v>
      </c>
      <c r="J42" s="69">
        <f>AVERAGE(J11:J41)</f>
        <v>16596.066666666666</v>
      </c>
      <c r="K42" s="32">
        <f>SUM(K11:K41)</f>
        <v>9957.64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6286</v>
      </c>
      <c r="I45" s="59">
        <v>0.28000000000000003</v>
      </c>
      <c r="J45" s="48">
        <f>H45*I45</f>
        <v>1760.0800000000002</v>
      </c>
      <c r="K45" s="50">
        <f>kurs*J45</f>
        <v>205915.631376</v>
      </c>
    </row>
    <row r="46" spans="1:12" x14ac:dyDescent="0.25">
      <c r="E46" s="42" t="s">
        <v>54</v>
      </c>
      <c r="F46" s="43"/>
      <c r="G46" s="43"/>
      <c r="H46" s="44">
        <f>H42+I42</f>
        <v>10761</v>
      </c>
      <c r="I46" s="59">
        <v>0.2</v>
      </c>
      <c r="J46" s="48">
        <f>H46*I46</f>
        <v>2152.2000000000003</v>
      </c>
      <c r="K46" s="50">
        <f t="shared" ref="K46" si="3">kurs*J46</f>
        <v>251790.61284000002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4">H47*I47</f>
        <v>0</v>
      </c>
      <c r="K47" s="50">
        <f t="shared" ref="K47:K50" si="5">kurs*J47</f>
        <v>0</v>
      </c>
    </row>
    <row r="48" spans="1:12" x14ac:dyDescent="0.25">
      <c r="E48" s="42" t="s">
        <v>581</v>
      </c>
      <c r="F48" s="43"/>
      <c r="G48" s="43"/>
      <c r="H48" s="44">
        <v>2</v>
      </c>
      <c r="I48" s="59">
        <v>1.5</v>
      </c>
      <c r="J48" s="48">
        <f t="shared" si="4"/>
        <v>3</v>
      </c>
      <c r="K48" s="50">
        <f t="shared" ref="K48:K49" si="6">kurs*J48</f>
        <v>350.97659999999996</v>
      </c>
    </row>
    <row r="49" spans="3:12" x14ac:dyDescent="0.25">
      <c r="E49" s="42" t="s">
        <v>582</v>
      </c>
      <c r="F49" s="43"/>
      <c r="G49" s="43"/>
      <c r="H49" s="44">
        <v>2</v>
      </c>
      <c r="I49" s="59">
        <v>1.5</v>
      </c>
      <c r="J49" s="48">
        <f t="shared" si="4"/>
        <v>3</v>
      </c>
      <c r="K49" s="50">
        <f t="shared" si="6"/>
        <v>350.97659999999996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0.19</v>
      </c>
      <c r="J50" s="48">
        <f t="shared" si="4"/>
        <v>0</v>
      </c>
      <c r="K50" s="50">
        <f t="shared" si="5"/>
        <v>0</v>
      </c>
    </row>
    <row r="51" spans="3:12" x14ac:dyDescent="0.25">
      <c r="E51" s="45" t="s">
        <v>360</v>
      </c>
      <c r="F51" s="46"/>
      <c r="G51" s="46"/>
      <c r="H51" s="47">
        <v>11465</v>
      </c>
      <c r="I51" s="60">
        <v>0.1</v>
      </c>
      <c r="J51" s="48">
        <f t="shared" si="4"/>
        <v>1146.5</v>
      </c>
      <c r="K51" s="50">
        <f>kurs*J51</f>
        <v>134131.55729999999</v>
      </c>
    </row>
    <row r="52" spans="3:12" x14ac:dyDescent="0.25">
      <c r="E52" s="45" t="s">
        <v>629</v>
      </c>
      <c r="F52" s="46"/>
      <c r="G52" s="46"/>
      <c r="H52" s="47">
        <v>1713</v>
      </c>
      <c r="I52" s="60">
        <v>0.08</v>
      </c>
      <c r="J52" s="48">
        <f t="shared" si="4"/>
        <v>137.04</v>
      </c>
      <c r="K52" s="50">
        <f>kurs*J52</f>
        <v>16032.611087999998</v>
      </c>
    </row>
    <row r="53" spans="3:12" x14ac:dyDescent="0.25">
      <c r="E53" s="45" t="s">
        <v>562</v>
      </c>
      <c r="F53" s="46"/>
      <c r="G53" s="46"/>
      <c r="H53" s="47">
        <v>0</v>
      </c>
      <c r="I53" s="60">
        <v>200</v>
      </c>
      <c r="J53" s="48">
        <f t="shared" si="4"/>
        <v>0</v>
      </c>
      <c r="K53" s="50">
        <f>kurs*J53</f>
        <v>0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9957.64</v>
      </c>
      <c r="K54" s="50">
        <f>kurs*J54</f>
        <v>1164966.2104079998</v>
      </c>
      <c r="L54" s="61"/>
    </row>
    <row r="55" spans="3:12" x14ac:dyDescent="0.25">
      <c r="E55" s="22"/>
      <c r="I55" t="s">
        <v>56</v>
      </c>
      <c r="J55" s="52">
        <f>SUM(J45:J54)</f>
        <v>15159.46</v>
      </c>
      <c r="K55" s="51">
        <f>SUM(K45:K54)</f>
        <v>1773538.5762119999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C5EC-D3ED-46F0-9113-1D6791975DD0}">
  <dimension ref="A1:L60"/>
  <sheetViews>
    <sheetView view="pageBreakPreview" topLeftCell="A25" zoomScaleNormal="100" zoomScaleSheetLayoutView="100" workbookViewId="0">
      <selection activeCell="B41" sqref="B41"/>
    </sheetView>
  </sheetViews>
  <sheetFormatPr defaultRowHeight="13.8" x14ac:dyDescent="0.25"/>
  <cols>
    <col min="1" max="1" width="17.5" customWidth="1"/>
    <col min="2" max="2" width="34.0976562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694</v>
      </c>
      <c r="H3" s="4"/>
      <c r="I3" s="4"/>
    </row>
    <row r="4" spans="1:11" x14ac:dyDescent="0.25">
      <c r="B4" s="2"/>
      <c r="C4" s="6"/>
      <c r="F4" s="3" t="s">
        <v>695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116.9902</v>
      </c>
      <c r="F6" t="s">
        <v>42</v>
      </c>
      <c r="G6" s="115">
        <v>2410025109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14198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/>
      <c r="I11" s="56"/>
      <c r="J11" s="82">
        <f>D10+D11+E11-H11-I11</f>
        <v>14198</v>
      </c>
      <c r="K11" s="83">
        <f>0.02*J11</f>
        <v>283.95999999999998</v>
      </c>
    </row>
    <row r="12" spans="1:11" ht="14.25" customHeight="1" x14ac:dyDescent="0.25">
      <c r="A12" s="12" t="s">
        <v>1</v>
      </c>
      <c r="B12" s="91"/>
      <c r="C12" s="91"/>
      <c r="D12" s="12"/>
      <c r="E12" s="12"/>
      <c r="F12" s="12"/>
      <c r="G12" s="12"/>
      <c r="H12" s="12">
        <v>342</v>
      </c>
      <c r="I12" s="56"/>
      <c r="J12" s="82">
        <f>J11+D12+E12-H12-I12</f>
        <v>13856</v>
      </c>
      <c r="K12" s="83">
        <f t="shared" ref="K12:K41" si="0">0.02*J12</f>
        <v>277.12</v>
      </c>
    </row>
    <row r="13" spans="1:11" ht="13.5" customHeight="1" x14ac:dyDescent="0.25">
      <c r="A13" s="12" t="s">
        <v>2</v>
      </c>
      <c r="D13" s="56"/>
      <c r="E13" s="56"/>
      <c r="F13" s="12"/>
      <c r="G13" s="12"/>
      <c r="H13" s="12">
        <v>437</v>
      </c>
      <c r="I13" s="56"/>
      <c r="J13" s="82">
        <f t="shared" ref="J13:J38" si="1">J12+D13+E13-H13-I13</f>
        <v>13419</v>
      </c>
      <c r="K13" s="83">
        <f t="shared" si="0"/>
        <v>268.38</v>
      </c>
    </row>
    <row r="14" spans="1:11" x14ac:dyDescent="0.25">
      <c r="A14" s="12" t="s">
        <v>3</v>
      </c>
      <c r="B14" s="73"/>
      <c r="C14" s="109"/>
      <c r="D14" s="12"/>
      <c r="E14" s="12"/>
      <c r="F14" s="12"/>
      <c r="G14" s="12"/>
      <c r="H14" s="12">
        <v>36</v>
      </c>
      <c r="I14" s="56"/>
      <c r="J14" s="82">
        <f t="shared" si="1"/>
        <v>13383</v>
      </c>
      <c r="K14" s="83">
        <f t="shared" si="0"/>
        <v>267.66000000000003</v>
      </c>
    </row>
    <row r="15" spans="1:11" x14ac:dyDescent="0.25">
      <c r="A15" s="12" t="s">
        <v>4</v>
      </c>
      <c r="B15" s="95"/>
      <c r="C15" s="109"/>
      <c r="D15" s="12"/>
      <c r="E15" s="12"/>
      <c r="F15" s="12"/>
      <c r="G15" s="12"/>
      <c r="H15" s="12"/>
      <c r="I15" s="56"/>
      <c r="J15" s="82">
        <f t="shared" si="1"/>
        <v>13383</v>
      </c>
      <c r="K15" s="83">
        <f t="shared" si="0"/>
        <v>267.66000000000003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/>
      <c r="I16" s="56"/>
      <c r="J16" s="82">
        <f t="shared" si="1"/>
        <v>13383</v>
      </c>
      <c r="K16" s="83">
        <f t="shared" si="0"/>
        <v>267.66000000000003</v>
      </c>
    </row>
    <row r="17" spans="1:11" x14ac:dyDescent="0.25">
      <c r="A17" s="12" t="s">
        <v>6</v>
      </c>
      <c r="B17" s="116" t="s">
        <v>678</v>
      </c>
      <c r="C17" t="s">
        <v>679</v>
      </c>
      <c r="D17" s="12">
        <f>202+771</f>
        <v>973</v>
      </c>
      <c r="E17" s="12"/>
      <c r="F17" s="81"/>
      <c r="G17" s="12"/>
      <c r="H17" s="12"/>
      <c r="I17" s="12"/>
      <c r="J17" s="82">
        <f>J16+D17+E17-H17-I17</f>
        <v>14356</v>
      </c>
      <c r="K17" s="83">
        <f t="shared" si="0"/>
        <v>287.12</v>
      </c>
    </row>
    <row r="18" spans="1:11" x14ac:dyDescent="0.25">
      <c r="A18" s="12" t="s">
        <v>7</v>
      </c>
      <c r="B18" s="81"/>
      <c r="C18" s="73"/>
      <c r="D18" s="12"/>
      <c r="E18" s="12"/>
      <c r="F18" s="12"/>
      <c r="G18" s="12"/>
      <c r="H18" s="12"/>
      <c r="I18" s="12"/>
      <c r="J18" s="82">
        <f>J17+D18+E18-H18-I18</f>
        <v>14356</v>
      </c>
      <c r="K18" s="83">
        <f t="shared" si="0"/>
        <v>287.12</v>
      </c>
    </row>
    <row r="19" spans="1:11" ht="13.5" customHeight="1" x14ac:dyDescent="0.25">
      <c r="A19" s="12" t="s">
        <v>8</v>
      </c>
      <c r="B19" s="95"/>
      <c r="C19" s="109"/>
      <c r="D19" s="12"/>
      <c r="E19" s="12"/>
      <c r="F19" s="81"/>
      <c r="G19" s="12"/>
      <c r="H19" s="12">
        <v>329</v>
      </c>
      <c r="I19" s="12"/>
      <c r="J19" s="82">
        <f t="shared" si="1"/>
        <v>14027</v>
      </c>
      <c r="K19" s="83">
        <f t="shared" si="0"/>
        <v>280.54000000000002</v>
      </c>
    </row>
    <row r="20" spans="1:11" x14ac:dyDescent="0.25">
      <c r="A20" s="12" t="s">
        <v>9</v>
      </c>
      <c r="B20" s="92"/>
      <c r="C20" s="109"/>
      <c r="D20" s="12"/>
      <c r="E20" s="12"/>
      <c r="F20" s="81"/>
      <c r="G20" s="12"/>
      <c r="H20" s="12">
        <v>1117</v>
      </c>
      <c r="I20" s="12"/>
      <c r="J20" s="82">
        <f t="shared" si="1"/>
        <v>12910</v>
      </c>
      <c r="K20" s="83">
        <f t="shared" si="0"/>
        <v>258.2</v>
      </c>
    </row>
    <row r="21" spans="1:11" ht="14.4" x14ac:dyDescent="0.25">
      <c r="A21" s="12" t="s">
        <v>10</v>
      </c>
      <c r="B21" s="93"/>
      <c r="C21" s="109"/>
      <c r="D21" s="12"/>
      <c r="E21" s="12"/>
      <c r="F21" s="81"/>
      <c r="G21" s="12"/>
      <c r="H21" s="12">
        <v>801</v>
      </c>
      <c r="I21" s="12"/>
      <c r="J21" s="82">
        <f t="shared" si="1"/>
        <v>12109</v>
      </c>
      <c r="K21" s="83">
        <f t="shared" si="0"/>
        <v>242.18</v>
      </c>
    </row>
    <row r="22" spans="1:11" x14ac:dyDescent="0.25">
      <c r="A22" s="12" t="s">
        <v>11</v>
      </c>
      <c r="B22" s="95"/>
      <c r="C22" s="109"/>
      <c r="D22" s="12"/>
      <c r="E22" s="12"/>
      <c r="F22" s="81"/>
      <c r="G22" s="12"/>
      <c r="H22" s="12"/>
      <c r="I22" s="12"/>
      <c r="J22" s="82">
        <f t="shared" si="1"/>
        <v>12109</v>
      </c>
      <c r="K22" s="83">
        <f t="shared" si="0"/>
        <v>242.18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2"/>
      <c r="I23" s="12"/>
      <c r="J23" s="82">
        <f>J22+D23+E23-H23-I23</f>
        <v>12109</v>
      </c>
      <c r="K23" s="83">
        <f t="shared" si="0"/>
        <v>242.18</v>
      </c>
    </row>
    <row r="24" spans="1:11" x14ac:dyDescent="0.25">
      <c r="A24" s="12" t="s">
        <v>13</v>
      </c>
      <c r="B24" t="s">
        <v>680</v>
      </c>
      <c r="C24" t="s">
        <v>681</v>
      </c>
      <c r="D24" s="12">
        <f>787+566</f>
        <v>1353</v>
      </c>
      <c r="E24" s="12"/>
      <c r="F24" s="81"/>
      <c r="G24" s="12"/>
      <c r="H24" s="12"/>
      <c r="I24" s="12"/>
      <c r="J24" s="82">
        <f t="shared" si="1"/>
        <v>13462</v>
      </c>
      <c r="K24" s="83">
        <f t="shared" si="0"/>
        <v>269.24</v>
      </c>
    </row>
    <row r="25" spans="1:11" x14ac:dyDescent="0.25">
      <c r="A25" s="12" t="s">
        <v>14</v>
      </c>
      <c r="B25" s="81" t="s">
        <v>682</v>
      </c>
      <c r="C25" s="109"/>
      <c r="D25" s="12">
        <v>541</v>
      </c>
      <c r="E25" s="12"/>
      <c r="F25" s="81"/>
      <c r="G25" s="12"/>
      <c r="H25" s="12"/>
      <c r="I25" s="12"/>
      <c r="J25" s="82">
        <f t="shared" si="1"/>
        <v>14003</v>
      </c>
      <c r="K25" s="83">
        <f t="shared" si="0"/>
        <v>280.06</v>
      </c>
    </row>
    <row r="26" spans="1:11" x14ac:dyDescent="0.25">
      <c r="A26" s="12" t="s">
        <v>15</v>
      </c>
      <c r="B26" s="92"/>
      <c r="C26" s="111"/>
      <c r="D26" s="12"/>
      <c r="E26" s="12"/>
      <c r="F26" s="81"/>
      <c r="G26" s="12"/>
      <c r="H26" s="12">
        <v>121</v>
      </c>
      <c r="I26" s="12"/>
      <c r="J26" s="82">
        <f t="shared" si="1"/>
        <v>13882</v>
      </c>
      <c r="K26" s="83">
        <f t="shared" si="0"/>
        <v>277.64</v>
      </c>
    </row>
    <row r="27" spans="1:11" x14ac:dyDescent="0.25">
      <c r="A27" s="12" t="s">
        <v>16</v>
      </c>
      <c r="B27" s="81" t="s">
        <v>683</v>
      </c>
      <c r="D27" s="12">
        <v>9</v>
      </c>
      <c r="E27" s="12"/>
      <c r="F27" s="81"/>
      <c r="G27" s="12"/>
      <c r="H27" s="12">
        <v>275</v>
      </c>
      <c r="I27" s="12"/>
      <c r="J27" s="82">
        <f t="shared" si="1"/>
        <v>13616</v>
      </c>
      <c r="K27" s="83">
        <f t="shared" si="0"/>
        <v>272.32</v>
      </c>
    </row>
    <row r="28" spans="1:11" x14ac:dyDescent="0.25">
      <c r="A28" s="12" t="s">
        <v>17</v>
      </c>
      <c r="B28" s="81"/>
      <c r="C28" s="73"/>
      <c r="D28" s="12"/>
      <c r="E28" s="12"/>
      <c r="F28" s="81"/>
      <c r="G28" s="12"/>
      <c r="H28" s="12">
        <v>300</v>
      </c>
      <c r="I28" s="12"/>
      <c r="J28" s="82">
        <f t="shared" si="1"/>
        <v>13316</v>
      </c>
      <c r="K28" s="83">
        <f t="shared" si="0"/>
        <v>266.32</v>
      </c>
    </row>
    <row r="29" spans="1:11" x14ac:dyDescent="0.25">
      <c r="A29" s="12" t="s">
        <v>18</v>
      </c>
      <c r="B29" s="81"/>
      <c r="C29" s="112"/>
      <c r="D29" s="12"/>
      <c r="E29" s="12"/>
      <c r="F29" s="81"/>
      <c r="G29" s="12"/>
      <c r="H29" s="12"/>
      <c r="I29" s="12"/>
      <c r="J29" s="82">
        <f t="shared" si="1"/>
        <v>13316</v>
      </c>
      <c r="K29" s="83">
        <f t="shared" si="0"/>
        <v>266.32</v>
      </c>
    </row>
    <row r="30" spans="1:11" x14ac:dyDescent="0.25">
      <c r="A30" s="12" t="s">
        <v>19</v>
      </c>
      <c r="B30" s="104"/>
      <c r="C30" s="96"/>
      <c r="D30" s="12"/>
      <c r="E30" s="12"/>
      <c r="F30" s="81"/>
      <c r="G30" s="12"/>
      <c r="H30" s="12"/>
      <c r="I30" s="12"/>
      <c r="J30" s="82">
        <f>J29+D30+E30-H30-I30</f>
        <v>13316</v>
      </c>
      <c r="K30" s="83">
        <f t="shared" si="0"/>
        <v>266.32</v>
      </c>
    </row>
    <row r="31" spans="1:11" x14ac:dyDescent="0.25">
      <c r="A31" s="12" t="s">
        <v>20</v>
      </c>
      <c r="B31" s="104" t="s">
        <v>684</v>
      </c>
      <c r="C31" s="100" t="s">
        <v>685</v>
      </c>
      <c r="D31" s="12">
        <f>692+633</f>
        <v>1325</v>
      </c>
      <c r="E31" s="106"/>
      <c r="F31" s="81"/>
      <c r="G31" s="12"/>
      <c r="H31" s="12"/>
      <c r="I31" s="12"/>
      <c r="J31" s="82">
        <f t="shared" si="1"/>
        <v>14641</v>
      </c>
      <c r="K31" s="83">
        <f t="shared" si="0"/>
        <v>292.82</v>
      </c>
    </row>
    <row r="32" spans="1:11" x14ac:dyDescent="0.25">
      <c r="A32" s="12" t="s">
        <v>21</v>
      </c>
      <c r="B32" s="81" t="s">
        <v>686</v>
      </c>
      <c r="C32" s="73"/>
      <c r="D32" s="12">
        <v>1871</v>
      </c>
      <c r="E32" s="12"/>
      <c r="F32" s="81"/>
      <c r="G32" s="107"/>
      <c r="H32" s="12">
        <v>403</v>
      </c>
      <c r="I32" s="12"/>
      <c r="J32" s="82">
        <f t="shared" si="1"/>
        <v>16109</v>
      </c>
      <c r="K32" s="83">
        <f t="shared" si="0"/>
        <v>322.18</v>
      </c>
    </row>
    <row r="33" spans="1:12" x14ac:dyDescent="0.25">
      <c r="A33" s="12" t="s">
        <v>22</v>
      </c>
      <c r="B33" s="104" t="s">
        <v>691</v>
      </c>
      <c r="C33" s="96" t="s">
        <v>692</v>
      </c>
      <c r="D33" s="12">
        <f>5+1859+1240</f>
        <v>3104</v>
      </c>
      <c r="E33" s="12"/>
      <c r="F33" s="81"/>
      <c r="G33" s="12"/>
      <c r="H33" s="12">
        <v>633</v>
      </c>
      <c r="I33" s="12"/>
      <c r="J33" s="82">
        <f t="shared" si="1"/>
        <v>18580</v>
      </c>
      <c r="K33" s="83">
        <f t="shared" si="0"/>
        <v>371.6</v>
      </c>
    </row>
    <row r="34" spans="1:12" x14ac:dyDescent="0.25">
      <c r="A34" s="12" t="s">
        <v>23</v>
      </c>
      <c r="B34" s="104"/>
      <c r="C34" s="96"/>
      <c r="D34" s="12"/>
      <c r="E34" s="12"/>
      <c r="F34" s="81"/>
      <c r="G34" s="12"/>
      <c r="H34" s="12">
        <v>189</v>
      </c>
      <c r="I34" s="12"/>
      <c r="J34" s="82">
        <f t="shared" si="1"/>
        <v>18391</v>
      </c>
      <c r="K34" s="83">
        <f t="shared" si="0"/>
        <v>367.82</v>
      </c>
    </row>
    <row r="35" spans="1:12" x14ac:dyDescent="0.25">
      <c r="A35" s="12" t="s">
        <v>24</v>
      </c>
      <c r="B35" s="104"/>
      <c r="C35" s="96"/>
      <c r="D35" s="12"/>
      <c r="E35" s="12"/>
      <c r="F35" s="81"/>
      <c r="G35" s="12"/>
      <c r="H35" s="12">
        <v>538</v>
      </c>
      <c r="I35" s="12"/>
      <c r="J35" s="82">
        <f t="shared" si="1"/>
        <v>17853</v>
      </c>
      <c r="K35" s="83">
        <f t="shared" si="0"/>
        <v>357.06</v>
      </c>
    </row>
    <row r="36" spans="1:12" ht="13.5" customHeight="1" x14ac:dyDescent="0.25">
      <c r="A36" s="12" t="s">
        <v>25</v>
      </c>
      <c r="B36" s="81"/>
      <c r="C36" s="112"/>
      <c r="D36" s="12"/>
      <c r="E36" s="12"/>
      <c r="F36" s="12"/>
      <c r="G36" s="12"/>
      <c r="H36" s="12"/>
      <c r="I36" s="108"/>
      <c r="J36" s="82">
        <f t="shared" si="1"/>
        <v>17853</v>
      </c>
      <c r="K36" s="83">
        <f t="shared" si="0"/>
        <v>357.06</v>
      </c>
    </row>
    <row r="37" spans="1:12" x14ac:dyDescent="0.25">
      <c r="A37" s="12" t="s">
        <v>26</v>
      </c>
      <c r="B37" s="104"/>
      <c r="C37" s="100"/>
      <c r="D37" s="12"/>
      <c r="E37" s="12"/>
      <c r="F37" s="12"/>
      <c r="G37" s="12"/>
      <c r="H37" s="12"/>
      <c r="I37" s="12"/>
      <c r="J37" s="82">
        <f t="shared" si="1"/>
        <v>17853</v>
      </c>
      <c r="K37" s="83">
        <f t="shared" si="0"/>
        <v>357.06</v>
      </c>
    </row>
    <row r="38" spans="1:12" x14ac:dyDescent="0.25">
      <c r="A38" s="12" t="s">
        <v>27</v>
      </c>
      <c r="B38" s="81" t="s">
        <v>687</v>
      </c>
      <c r="C38" s="109"/>
      <c r="D38" s="12">
        <v>1003</v>
      </c>
      <c r="E38" s="12"/>
      <c r="F38" s="12"/>
      <c r="G38" s="12"/>
      <c r="H38" s="12"/>
      <c r="I38" s="12"/>
      <c r="J38" s="82">
        <f t="shared" si="1"/>
        <v>18856</v>
      </c>
      <c r="K38" s="83">
        <f t="shared" si="0"/>
        <v>377.12</v>
      </c>
    </row>
    <row r="39" spans="1:12" x14ac:dyDescent="0.25">
      <c r="A39" s="12" t="s">
        <v>28</v>
      </c>
      <c r="B39" s="104" t="s">
        <v>689</v>
      </c>
      <c r="C39" s="104" t="s">
        <v>690</v>
      </c>
      <c r="D39" s="12">
        <f>668+950</f>
        <v>1618</v>
      </c>
      <c r="E39" s="12"/>
      <c r="F39" s="81"/>
      <c r="G39" s="12"/>
      <c r="H39" s="12"/>
      <c r="I39" s="12"/>
      <c r="J39" s="82">
        <f>J38+D39+E39-H39-I39</f>
        <v>20474</v>
      </c>
      <c r="K39" s="83">
        <f t="shared" si="0"/>
        <v>409.48</v>
      </c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>
        <v>596</v>
      </c>
      <c r="I40" s="12"/>
      <c r="J40" s="82">
        <f t="shared" ref="J40" si="2">J39+D40+E40-H40-I40</f>
        <v>19878</v>
      </c>
      <c r="K40" s="83">
        <f t="shared" si="0"/>
        <v>397.56</v>
      </c>
    </row>
    <row r="41" spans="1:12" x14ac:dyDescent="0.25">
      <c r="A41" s="12" t="s">
        <v>30</v>
      </c>
      <c r="B41" s="96" t="s">
        <v>688</v>
      </c>
      <c r="C41" s="96" t="s">
        <v>693</v>
      </c>
      <c r="D41" s="12">
        <f>661+4</f>
        <v>665</v>
      </c>
      <c r="E41" s="12"/>
      <c r="F41" s="81"/>
      <c r="G41" s="12"/>
      <c r="H41" s="12">
        <v>228</v>
      </c>
      <c r="I41" s="12"/>
      <c r="J41" s="82">
        <f>J40+D41+E41-H41-I41</f>
        <v>20315</v>
      </c>
      <c r="K41" s="83">
        <f t="shared" si="0"/>
        <v>406.3</v>
      </c>
    </row>
    <row r="42" spans="1:12" ht="15" thickBot="1" x14ac:dyDescent="0.35">
      <c r="A42" s="168"/>
      <c r="B42" s="169"/>
      <c r="C42" s="19" t="s">
        <v>31</v>
      </c>
      <c r="D42" s="20">
        <f>SUM(D11:D41)</f>
        <v>12462</v>
      </c>
      <c r="E42" s="20">
        <f>SUM(E11:E41)</f>
        <v>0</v>
      </c>
      <c r="F42" s="21">
        <v>0</v>
      </c>
      <c r="G42" s="21"/>
      <c r="H42" s="20">
        <f>SUM(H11:H41)</f>
        <v>6345</v>
      </c>
      <c r="I42" s="20">
        <f>SUM(I11:I41)</f>
        <v>0</v>
      </c>
      <c r="J42" s="69">
        <f>AVERAGE(J11:J41)</f>
        <v>15139.096774193549</v>
      </c>
      <c r="K42" s="32">
        <f>SUM(K11:K41)</f>
        <v>9386.239999999998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12462</v>
      </c>
      <c r="I45" s="59">
        <v>0.28000000000000003</v>
      </c>
      <c r="J45" s="48">
        <f>H45*I45</f>
        <v>3489.36</v>
      </c>
      <c r="K45" s="50">
        <f>kurs*J45</f>
        <v>408220.92427200003</v>
      </c>
    </row>
    <row r="46" spans="1:12" x14ac:dyDescent="0.25">
      <c r="E46" s="42" t="s">
        <v>54</v>
      </c>
      <c r="F46" s="43"/>
      <c r="G46" s="43"/>
      <c r="H46" s="44">
        <f>H42+I42</f>
        <v>6345</v>
      </c>
      <c r="I46" s="59">
        <v>0.2</v>
      </c>
      <c r="J46" s="48">
        <f>H46*I46</f>
        <v>1269</v>
      </c>
      <c r="K46" s="50">
        <f t="shared" ref="K46" si="3">kurs*J46</f>
        <v>148460.5638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4">H47*I47</f>
        <v>0</v>
      </c>
      <c r="K47" s="50">
        <f t="shared" ref="K47:K50" si="5">kurs*J47</f>
        <v>0</v>
      </c>
    </row>
    <row r="48" spans="1:12" x14ac:dyDescent="0.25">
      <c r="E48" s="42" t="s">
        <v>581</v>
      </c>
      <c r="F48" s="43"/>
      <c r="G48" s="43"/>
      <c r="H48" s="44">
        <v>2</v>
      </c>
      <c r="I48" s="59">
        <v>1.5</v>
      </c>
      <c r="J48" s="48">
        <f t="shared" si="4"/>
        <v>3</v>
      </c>
      <c r="K48" s="50">
        <f t="shared" ref="K48:K49" si="6">kurs*J48</f>
        <v>350.97059999999999</v>
      </c>
    </row>
    <row r="49" spans="3:12" x14ac:dyDescent="0.25">
      <c r="E49" s="42" t="s">
        <v>582</v>
      </c>
      <c r="F49" s="43"/>
      <c r="G49" s="43"/>
      <c r="H49" s="44">
        <v>2</v>
      </c>
      <c r="I49" s="59">
        <v>1.5</v>
      </c>
      <c r="J49" s="48">
        <f t="shared" si="4"/>
        <v>3</v>
      </c>
      <c r="K49" s="50">
        <f t="shared" si="6"/>
        <v>350.97059999999999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0.19</v>
      </c>
      <c r="J50" s="48">
        <f t="shared" si="4"/>
        <v>0</v>
      </c>
      <c r="K50" s="50">
        <f t="shared" si="5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4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4"/>
        <v>0</v>
      </c>
      <c r="K52" s="50">
        <f>kurs*J52</f>
        <v>0</v>
      </c>
    </row>
    <row r="53" spans="3:12" x14ac:dyDescent="0.25">
      <c r="E53" s="45" t="s">
        <v>562</v>
      </c>
      <c r="F53" s="46"/>
      <c r="G53" s="46" t="s">
        <v>657</v>
      </c>
      <c r="H53" s="47">
        <v>3</v>
      </c>
      <c r="I53" s="60">
        <v>200</v>
      </c>
      <c r="J53" s="48">
        <f t="shared" si="4"/>
        <v>600</v>
      </c>
      <c r="K53" s="50">
        <f>kurs*J53</f>
        <v>70194.12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9386.239999999998</v>
      </c>
      <c r="K54" s="50">
        <f>kurs*J54</f>
        <v>1098098.0948479997</v>
      </c>
      <c r="L54" s="61"/>
    </row>
    <row r="55" spans="3:12" x14ac:dyDescent="0.25">
      <c r="E55" s="22"/>
      <c r="I55" t="s">
        <v>56</v>
      </c>
      <c r="J55" s="52">
        <f>SUM(J45:J54)</f>
        <v>14750.599999999999</v>
      </c>
      <c r="K55" s="51">
        <f>SUM(K45:K54)</f>
        <v>1725675.6441199998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52DB-7CBD-4F3C-860C-EBA895B76492}">
  <dimension ref="A1:L60"/>
  <sheetViews>
    <sheetView view="pageBreakPreview" topLeftCell="C34" zoomScaleNormal="100" zoomScaleSheetLayoutView="100" workbookViewId="0">
      <selection activeCell="A30" sqref="A30"/>
    </sheetView>
  </sheetViews>
  <sheetFormatPr defaultRowHeight="13.8" x14ac:dyDescent="0.25"/>
  <cols>
    <col min="1" max="1" width="17.5" customWidth="1"/>
    <col min="2" max="2" width="34.0976562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676</v>
      </c>
      <c r="H3" s="4"/>
      <c r="I3" s="4"/>
    </row>
    <row r="4" spans="1:11" x14ac:dyDescent="0.25">
      <c r="B4" s="2"/>
      <c r="C4" s="6"/>
      <c r="F4" s="3" t="s">
        <v>677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117.0125</v>
      </c>
      <c r="F6" t="s">
        <v>42</v>
      </c>
      <c r="G6" s="115">
        <v>2409022611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18387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/>
      <c r="I11" s="56"/>
      <c r="J11" s="82">
        <f>D10+D11+E11-H11-I11</f>
        <v>18387</v>
      </c>
      <c r="K11" s="83">
        <f>0.02*J11</f>
        <v>367.74</v>
      </c>
    </row>
    <row r="12" spans="1:11" ht="14.25" customHeight="1" x14ac:dyDescent="0.25">
      <c r="A12" s="12" t="s">
        <v>1</v>
      </c>
      <c r="B12" s="91" t="s">
        <v>663</v>
      </c>
      <c r="C12" s="91" t="s">
        <v>662</v>
      </c>
      <c r="D12" s="12">
        <f>1109+1425</f>
        <v>2534</v>
      </c>
      <c r="E12" s="12"/>
      <c r="F12" s="12"/>
      <c r="G12" s="12"/>
      <c r="H12" s="12"/>
      <c r="I12" s="56"/>
      <c r="J12" s="82">
        <f>J11+D12+E12-H12-I12</f>
        <v>20921</v>
      </c>
      <c r="K12" s="83">
        <f t="shared" ref="K12:K41" si="0">0.02*J12</f>
        <v>418.42</v>
      </c>
    </row>
    <row r="13" spans="1:11" ht="13.5" customHeight="1" x14ac:dyDescent="0.25">
      <c r="A13" s="12" t="s">
        <v>2</v>
      </c>
      <c r="B13" t="s">
        <v>664</v>
      </c>
      <c r="D13" s="56">
        <v>54</v>
      </c>
      <c r="E13" s="56"/>
      <c r="F13" s="12"/>
      <c r="G13" s="12"/>
      <c r="H13" s="12">
        <v>416</v>
      </c>
      <c r="I13" s="56"/>
      <c r="J13" s="82">
        <f t="shared" ref="J13:J38" si="1">J12+D13+E13-H13-I13</f>
        <v>20559</v>
      </c>
      <c r="K13" s="83">
        <f t="shared" si="0"/>
        <v>411.18</v>
      </c>
    </row>
    <row r="14" spans="1:11" x14ac:dyDescent="0.25">
      <c r="A14" s="12" t="s">
        <v>3</v>
      </c>
      <c r="B14" s="73"/>
      <c r="C14" s="109"/>
      <c r="D14" s="12"/>
      <c r="E14" s="12"/>
      <c r="F14" s="12"/>
      <c r="G14" s="12"/>
      <c r="H14" s="12">
        <v>802</v>
      </c>
      <c r="I14" s="56"/>
      <c r="J14" s="82">
        <f t="shared" si="1"/>
        <v>19757</v>
      </c>
      <c r="K14" s="83">
        <f t="shared" si="0"/>
        <v>395.14</v>
      </c>
    </row>
    <row r="15" spans="1:11" x14ac:dyDescent="0.25">
      <c r="A15" s="12" t="s">
        <v>4</v>
      </c>
      <c r="B15" s="95" t="s">
        <v>665</v>
      </c>
      <c r="C15" s="109"/>
      <c r="D15" s="12">
        <v>11</v>
      </c>
      <c r="E15" s="12"/>
      <c r="F15" s="12"/>
      <c r="G15" s="12"/>
      <c r="H15" s="12">
        <v>495</v>
      </c>
      <c r="I15" s="56"/>
      <c r="J15" s="82">
        <f t="shared" si="1"/>
        <v>19273</v>
      </c>
      <c r="K15" s="83">
        <f t="shared" si="0"/>
        <v>385.46000000000004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>
        <v>577</v>
      </c>
      <c r="I16" s="56"/>
      <c r="J16" s="82">
        <f t="shared" si="1"/>
        <v>18696</v>
      </c>
      <c r="K16" s="83">
        <f t="shared" si="0"/>
        <v>373.92</v>
      </c>
    </row>
    <row r="17" spans="1:11" x14ac:dyDescent="0.25">
      <c r="A17" s="12" t="s">
        <v>6</v>
      </c>
      <c r="B17" s="95"/>
      <c r="C17" s="73"/>
      <c r="D17" s="12"/>
      <c r="E17" s="12"/>
      <c r="F17" s="81"/>
      <c r="G17" s="12"/>
      <c r="H17" s="12"/>
      <c r="I17" s="12"/>
      <c r="J17" s="82">
        <f>J16+D17+E17-H17-I17</f>
        <v>18696</v>
      </c>
      <c r="K17" s="83">
        <f t="shared" si="0"/>
        <v>373.92</v>
      </c>
    </row>
    <row r="18" spans="1:11" x14ac:dyDescent="0.25">
      <c r="A18" s="12" t="s">
        <v>7</v>
      </c>
      <c r="B18" s="81"/>
      <c r="C18" s="73"/>
      <c r="D18" s="12"/>
      <c r="E18" s="12"/>
      <c r="F18" s="12"/>
      <c r="G18" s="12"/>
      <c r="H18" s="12"/>
      <c r="I18" s="12"/>
      <c r="J18" s="82">
        <f>J17+D18+E18-H18-I18</f>
        <v>18696</v>
      </c>
      <c r="K18" s="83">
        <f t="shared" si="0"/>
        <v>373.92</v>
      </c>
    </row>
    <row r="19" spans="1:11" ht="13.5" customHeight="1" x14ac:dyDescent="0.25">
      <c r="A19" s="12" t="s">
        <v>8</v>
      </c>
      <c r="B19" s="95" t="s">
        <v>666</v>
      </c>
      <c r="C19" s="109"/>
      <c r="D19" s="12">
        <v>740</v>
      </c>
      <c r="E19" s="12"/>
      <c r="F19" s="81"/>
      <c r="G19" s="12"/>
      <c r="H19" s="12"/>
      <c r="I19" s="12"/>
      <c r="J19" s="82">
        <f t="shared" si="1"/>
        <v>19436</v>
      </c>
      <c r="K19" s="83">
        <f t="shared" si="0"/>
        <v>388.72</v>
      </c>
    </row>
    <row r="20" spans="1:11" x14ac:dyDescent="0.25">
      <c r="A20" s="12" t="s">
        <v>9</v>
      </c>
      <c r="B20" s="92"/>
      <c r="C20" s="109"/>
      <c r="D20" s="12"/>
      <c r="E20" s="12"/>
      <c r="F20" s="81"/>
      <c r="G20" s="12"/>
      <c r="H20" s="12">
        <v>755</v>
      </c>
      <c r="I20" s="12"/>
      <c r="J20" s="82">
        <f t="shared" si="1"/>
        <v>18681</v>
      </c>
      <c r="K20" s="83">
        <f t="shared" si="0"/>
        <v>373.62</v>
      </c>
    </row>
    <row r="21" spans="1:11" ht="14.4" x14ac:dyDescent="0.25">
      <c r="A21" s="12" t="s">
        <v>10</v>
      </c>
      <c r="B21" s="93"/>
      <c r="C21" s="109"/>
      <c r="D21" s="12"/>
      <c r="E21" s="12"/>
      <c r="F21" s="81"/>
      <c r="G21" s="12"/>
      <c r="H21" s="12">
        <f>755+364</f>
        <v>1119</v>
      </c>
      <c r="I21" s="12"/>
      <c r="J21" s="82">
        <f t="shared" si="1"/>
        <v>17562</v>
      </c>
      <c r="K21" s="83">
        <f t="shared" si="0"/>
        <v>351.24</v>
      </c>
    </row>
    <row r="22" spans="1:11" x14ac:dyDescent="0.25">
      <c r="A22" s="12" t="s">
        <v>11</v>
      </c>
      <c r="B22" s="95" t="s">
        <v>667</v>
      </c>
      <c r="C22" s="109"/>
      <c r="D22" s="12">
        <v>15</v>
      </c>
      <c r="E22" s="12"/>
      <c r="F22" s="81"/>
      <c r="G22" s="12"/>
      <c r="H22" s="12">
        <v>250</v>
      </c>
      <c r="I22" s="12"/>
      <c r="J22" s="82">
        <f t="shared" si="1"/>
        <v>17327</v>
      </c>
      <c r="K22" s="83">
        <f t="shared" si="0"/>
        <v>346.54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2">
        <v>755</v>
      </c>
      <c r="I23" s="12"/>
      <c r="J23" s="82">
        <f>J22+D23+E23-H23-I23</f>
        <v>16572</v>
      </c>
      <c r="K23" s="83">
        <f t="shared" si="0"/>
        <v>331.44</v>
      </c>
    </row>
    <row r="24" spans="1:11" x14ac:dyDescent="0.25">
      <c r="A24" s="12" t="s">
        <v>13</v>
      </c>
      <c r="B24" s="81"/>
      <c r="C24" s="103"/>
      <c r="D24" s="12"/>
      <c r="E24" s="12"/>
      <c r="F24" s="81"/>
      <c r="G24" s="12"/>
      <c r="H24" s="12"/>
      <c r="I24" s="12"/>
      <c r="J24" s="82">
        <f t="shared" si="1"/>
        <v>16572</v>
      </c>
      <c r="K24" s="83">
        <f t="shared" si="0"/>
        <v>331.44</v>
      </c>
    </row>
    <row r="25" spans="1:11" x14ac:dyDescent="0.25">
      <c r="A25" s="12" t="s">
        <v>14</v>
      </c>
      <c r="B25" s="81"/>
      <c r="C25" s="109"/>
      <c r="D25" s="12"/>
      <c r="E25" s="12"/>
      <c r="F25" s="81"/>
      <c r="G25" s="12"/>
      <c r="H25" s="12"/>
      <c r="I25" s="12"/>
      <c r="J25" s="82">
        <f t="shared" si="1"/>
        <v>16572</v>
      </c>
      <c r="K25" s="83">
        <f t="shared" si="0"/>
        <v>331.44</v>
      </c>
    </row>
    <row r="26" spans="1:11" x14ac:dyDescent="0.25">
      <c r="A26" s="12" t="s">
        <v>15</v>
      </c>
      <c r="B26" s="92" t="s">
        <v>668</v>
      </c>
      <c r="C26" s="111" t="s">
        <v>669</v>
      </c>
      <c r="D26" s="12">
        <f>671+461</f>
        <v>1132</v>
      </c>
      <c r="E26" s="12"/>
      <c r="F26" s="81"/>
      <c r="G26" s="12"/>
      <c r="H26" s="12"/>
      <c r="I26" s="12"/>
      <c r="J26" s="82">
        <f t="shared" si="1"/>
        <v>17704</v>
      </c>
      <c r="K26" s="83">
        <f t="shared" si="0"/>
        <v>354.08</v>
      </c>
    </row>
    <row r="27" spans="1:11" x14ac:dyDescent="0.25">
      <c r="A27" s="12" t="s">
        <v>16</v>
      </c>
      <c r="B27" s="81" t="s">
        <v>670</v>
      </c>
      <c r="C27" s="2" t="s">
        <v>671</v>
      </c>
      <c r="D27" s="12">
        <f>73+822+1150</f>
        <v>2045</v>
      </c>
      <c r="E27" s="12"/>
      <c r="F27" s="81"/>
      <c r="G27" s="12"/>
      <c r="H27" s="12"/>
      <c r="I27" s="12"/>
      <c r="J27" s="82">
        <f t="shared" si="1"/>
        <v>19749</v>
      </c>
      <c r="K27" s="83">
        <f t="shared" si="0"/>
        <v>394.98</v>
      </c>
    </row>
    <row r="28" spans="1:11" x14ac:dyDescent="0.25">
      <c r="A28" s="12" t="s">
        <v>17</v>
      </c>
      <c r="B28" s="81"/>
      <c r="C28" s="73"/>
      <c r="D28" s="12"/>
      <c r="E28" s="12"/>
      <c r="F28" s="81"/>
      <c r="G28" s="12"/>
      <c r="H28" s="12">
        <v>494</v>
      </c>
      <c r="I28" s="12"/>
      <c r="J28" s="82">
        <f t="shared" si="1"/>
        <v>19255</v>
      </c>
      <c r="K28" s="83">
        <f t="shared" si="0"/>
        <v>385.1</v>
      </c>
    </row>
    <row r="29" spans="1:11" x14ac:dyDescent="0.25">
      <c r="A29" s="12" t="s">
        <v>18</v>
      </c>
      <c r="B29" s="81"/>
      <c r="C29" s="112"/>
      <c r="D29" s="12"/>
      <c r="E29" s="12"/>
      <c r="F29" s="81"/>
      <c r="G29" s="12"/>
      <c r="H29" s="12">
        <f>47+2075</f>
        <v>2122</v>
      </c>
      <c r="I29" s="12"/>
      <c r="J29" s="82">
        <f t="shared" si="1"/>
        <v>17133</v>
      </c>
      <c r="K29" s="83">
        <f t="shared" si="0"/>
        <v>342.66</v>
      </c>
    </row>
    <row r="30" spans="1:11" x14ac:dyDescent="0.25">
      <c r="A30" s="12" t="s">
        <v>19</v>
      </c>
      <c r="B30" s="104"/>
      <c r="C30" s="96"/>
      <c r="D30" s="12"/>
      <c r="E30" s="12"/>
      <c r="F30" s="81"/>
      <c r="G30" s="12"/>
      <c r="H30" s="12">
        <f>68+2077</f>
        <v>2145</v>
      </c>
      <c r="I30" s="12"/>
      <c r="J30" s="82">
        <f>J29+D30+E30-H30-I30</f>
        <v>14988</v>
      </c>
      <c r="K30" s="83">
        <f t="shared" si="0"/>
        <v>299.76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"/>
      <c r="I31" s="12"/>
      <c r="J31" s="82">
        <f t="shared" si="1"/>
        <v>14988</v>
      </c>
      <c r="K31" s="83">
        <f t="shared" si="0"/>
        <v>299.76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"/>
      <c r="I32" s="12"/>
      <c r="J32" s="82">
        <f t="shared" si="1"/>
        <v>14988</v>
      </c>
      <c r="K32" s="83">
        <f t="shared" si="0"/>
        <v>299.76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>
        <v>371</v>
      </c>
      <c r="I33" s="12"/>
      <c r="J33" s="82">
        <f t="shared" si="1"/>
        <v>14617</v>
      </c>
      <c r="K33" s="83">
        <f t="shared" si="0"/>
        <v>292.34000000000003</v>
      </c>
    </row>
    <row r="34" spans="1:12" x14ac:dyDescent="0.25">
      <c r="A34" s="12" t="s">
        <v>23</v>
      </c>
      <c r="B34" s="104" t="s">
        <v>672</v>
      </c>
      <c r="C34" s="96"/>
      <c r="D34" s="12">
        <f>957+5</f>
        <v>962</v>
      </c>
      <c r="E34" s="12"/>
      <c r="F34" s="81"/>
      <c r="G34" s="12"/>
      <c r="H34" s="12">
        <v>262</v>
      </c>
      <c r="I34" s="12"/>
      <c r="J34" s="82">
        <f t="shared" si="1"/>
        <v>15317</v>
      </c>
      <c r="K34" s="83">
        <f t="shared" si="0"/>
        <v>306.34000000000003</v>
      </c>
    </row>
    <row r="35" spans="1:12" x14ac:dyDescent="0.25">
      <c r="A35" s="12" t="s">
        <v>24</v>
      </c>
      <c r="B35" s="104"/>
      <c r="C35" s="96"/>
      <c r="D35" s="12"/>
      <c r="E35" s="12"/>
      <c r="F35" s="81"/>
      <c r="G35" s="12"/>
      <c r="H35" s="12">
        <v>706</v>
      </c>
      <c r="I35" s="12"/>
      <c r="J35" s="82">
        <f t="shared" si="1"/>
        <v>14611</v>
      </c>
      <c r="K35" s="83">
        <f t="shared" si="0"/>
        <v>292.22000000000003</v>
      </c>
    </row>
    <row r="36" spans="1:12" ht="13.5" customHeight="1" x14ac:dyDescent="0.25">
      <c r="A36" s="12" t="s">
        <v>25</v>
      </c>
      <c r="B36" s="81" t="s">
        <v>673</v>
      </c>
      <c r="C36" s="112"/>
      <c r="D36" s="12">
        <v>2</v>
      </c>
      <c r="E36" s="12"/>
      <c r="F36" s="12"/>
      <c r="G36" s="12"/>
      <c r="H36" s="12">
        <v>419</v>
      </c>
      <c r="I36" s="108"/>
      <c r="J36" s="82">
        <f t="shared" si="1"/>
        <v>14194</v>
      </c>
      <c r="K36" s="83">
        <f t="shared" si="0"/>
        <v>283.88</v>
      </c>
    </row>
    <row r="37" spans="1:12" x14ac:dyDescent="0.25">
      <c r="A37" s="12" t="s">
        <v>26</v>
      </c>
      <c r="B37" s="104"/>
      <c r="C37" s="100"/>
      <c r="D37" s="12"/>
      <c r="E37" s="12"/>
      <c r="F37" s="12"/>
      <c r="G37" s="12"/>
      <c r="H37" s="12"/>
      <c r="I37" s="12"/>
      <c r="J37" s="82">
        <f t="shared" si="1"/>
        <v>14194</v>
      </c>
      <c r="K37" s="83">
        <f t="shared" si="0"/>
        <v>283.88</v>
      </c>
    </row>
    <row r="38" spans="1:12" x14ac:dyDescent="0.25">
      <c r="A38" s="12" t="s">
        <v>27</v>
      </c>
      <c r="B38" s="81"/>
      <c r="C38" s="109"/>
      <c r="D38" s="12"/>
      <c r="E38" s="12"/>
      <c r="F38" s="12"/>
      <c r="G38" s="12"/>
      <c r="H38" s="12"/>
      <c r="I38" s="12"/>
      <c r="J38" s="82">
        <f t="shared" si="1"/>
        <v>14194</v>
      </c>
      <c r="K38" s="83">
        <f t="shared" si="0"/>
        <v>283.88</v>
      </c>
    </row>
    <row r="39" spans="1:12" x14ac:dyDescent="0.25">
      <c r="A39" s="12" t="s">
        <v>28</v>
      </c>
      <c r="B39" s="104"/>
      <c r="C39" s="96"/>
      <c r="D39" s="12"/>
      <c r="E39" s="12"/>
      <c r="F39" s="81"/>
      <c r="G39" s="12"/>
      <c r="H39" s="12"/>
      <c r="I39" s="12"/>
      <c r="J39" s="82">
        <f>J38+D39+E39-H39-I39</f>
        <v>14194</v>
      </c>
      <c r="K39" s="83">
        <f t="shared" si="0"/>
        <v>283.88</v>
      </c>
    </row>
    <row r="40" spans="1:12" x14ac:dyDescent="0.25">
      <c r="A40" s="12" t="s">
        <v>29</v>
      </c>
      <c r="B40" s="96" t="s">
        <v>674</v>
      </c>
      <c r="C40" s="96" t="s">
        <v>675</v>
      </c>
      <c r="D40" s="12">
        <f>3+1</f>
        <v>4</v>
      </c>
      <c r="E40" s="12"/>
      <c r="F40" s="81"/>
      <c r="G40" s="12"/>
      <c r="H40" s="12"/>
      <c r="I40" s="12"/>
      <c r="J40" s="82">
        <f t="shared" ref="J40:J41" si="2">J39+D40+E40-H40-I40</f>
        <v>14198</v>
      </c>
      <c r="K40" s="83">
        <f t="shared" si="0"/>
        <v>283.95999999999998</v>
      </c>
    </row>
    <row r="41" spans="1:12" x14ac:dyDescent="0.25">
      <c r="A41" s="12" t="s">
        <v>30</v>
      </c>
      <c r="B41" s="96"/>
      <c r="C41" s="96"/>
      <c r="D41" s="12"/>
      <c r="E41" s="12"/>
      <c r="F41" s="81"/>
      <c r="G41" s="12"/>
      <c r="H41" s="12"/>
      <c r="I41" s="12"/>
      <c r="J41" s="82">
        <f t="shared" si="2"/>
        <v>14198</v>
      </c>
      <c r="K41" s="83">
        <f t="shared" si="0"/>
        <v>283.95999999999998</v>
      </c>
    </row>
    <row r="42" spans="1:12" ht="15" thickBot="1" x14ac:dyDescent="0.35">
      <c r="A42" s="168"/>
      <c r="B42" s="169"/>
      <c r="C42" s="19" t="s">
        <v>31</v>
      </c>
      <c r="D42" s="20">
        <f>SUM(D11:D41)</f>
        <v>7499</v>
      </c>
      <c r="E42" s="20">
        <f>SUM(E11:E41)</f>
        <v>0</v>
      </c>
      <c r="F42" s="21">
        <v>0</v>
      </c>
      <c r="G42" s="21"/>
      <c r="H42" s="20">
        <f>SUM(H11:H41)</f>
        <v>11688</v>
      </c>
      <c r="I42" s="20">
        <f>SUM(I11:I41)</f>
        <v>0</v>
      </c>
      <c r="J42" s="69">
        <f>AVERAGE(J11:J41)</f>
        <v>16975.129032258064</v>
      </c>
      <c r="K42" s="32">
        <f>SUM(K11:K41)</f>
        <v>10524.579999999994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7499</v>
      </c>
      <c r="I45" s="59">
        <v>0.28000000000000003</v>
      </c>
      <c r="J45" s="48">
        <f>H45*I45</f>
        <v>2099.7200000000003</v>
      </c>
      <c r="K45" s="50">
        <f>kurs*J45</f>
        <v>245693.48650000003</v>
      </c>
    </row>
    <row r="46" spans="1:12" x14ac:dyDescent="0.25">
      <c r="E46" s="42" t="s">
        <v>54</v>
      </c>
      <c r="F46" s="43"/>
      <c r="G46" s="43"/>
      <c r="H46" s="44">
        <f>H42+I42</f>
        <v>11688</v>
      </c>
      <c r="I46" s="59">
        <v>0.2</v>
      </c>
      <c r="J46" s="48">
        <f>H46*I46</f>
        <v>2337.6</v>
      </c>
      <c r="K46" s="50">
        <f t="shared" ref="K46" si="3">kurs*J46</f>
        <v>273528.42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4">H47*I47</f>
        <v>0</v>
      </c>
      <c r="K47" s="50">
        <f t="shared" ref="K47:K50" si="5">kurs*J47</f>
        <v>0</v>
      </c>
    </row>
    <row r="48" spans="1:12" x14ac:dyDescent="0.25">
      <c r="E48" s="42" t="s">
        <v>581</v>
      </c>
      <c r="F48" s="43"/>
      <c r="G48" s="43"/>
      <c r="H48" s="44">
        <v>2</v>
      </c>
      <c r="I48" s="59">
        <v>1.5</v>
      </c>
      <c r="J48" s="48">
        <f t="shared" si="4"/>
        <v>3</v>
      </c>
      <c r="K48" s="50">
        <f t="shared" ref="K48:K49" si="6">kurs*J48</f>
        <v>351.03750000000002</v>
      </c>
    </row>
    <row r="49" spans="3:12" x14ac:dyDescent="0.25">
      <c r="E49" s="42" t="s">
        <v>582</v>
      </c>
      <c r="F49" s="43"/>
      <c r="G49" s="43"/>
      <c r="H49" s="44">
        <v>2</v>
      </c>
      <c r="I49" s="59">
        <v>1.5</v>
      </c>
      <c r="J49" s="48">
        <f t="shared" si="4"/>
        <v>3</v>
      </c>
      <c r="K49" s="50">
        <f t="shared" si="6"/>
        <v>351.03750000000002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0.19</v>
      </c>
      <c r="J50" s="48">
        <f t="shared" si="4"/>
        <v>0</v>
      </c>
      <c r="K50" s="50">
        <f t="shared" si="5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4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4"/>
        <v>0</v>
      </c>
      <c r="K52" s="50">
        <f>kurs*J52</f>
        <v>0</v>
      </c>
    </row>
    <row r="53" spans="3:12" x14ac:dyDescent="0.25">
      <c r="E53" s="45" t="s">
        <v>562</v>
      </c>
      <c r="F53" s="46"/>
      <c r="G53" s="46" t="s">
        <v>657</v>
      </c>
      <c r="H53" s="47">
        <v>3</v>
      </c>
      <c r="I53" s="60">
        <v>200</v>
      </c>
      <c r="J53" s="48">
        <f t="shared" si="4"/>
        <v>600</v>
      </c>
      <c r="K53" s="50">
        <f>kurs*J53</f>
        <v>70207.5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10524.579999999994</v>
      </c>
      <c r="K54" s="50">
        <f>kurs*J54</f>
        <v>1231507.4172499995</v>
      </c>
      <c r="L54" s="61"/>
    </row>
    <row r="55" spans="3:12" x14ac:dyDescent="0.25">
      <c r="E55" s="22"/>
      <c r="I55" t="s">
        <v>56</v>
      </c>
      <c r="J55" s="52">
        <f>SUM(J45:J54)</f>
        <v>15567.899999999994</v>
      </c>
      <c r="K55" s="51">
        <f>SUM(K45:K54)</f>
        <v>1821638.8987499995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741-1128-49CC-8ECB-2DDE2438C1B3}">
  <dimension ref="A1:L60"/>
  <sheetViews>
    <sheetView view="pageBreakPreview" topLeftCell="A31" zoomScaleNormal="100" zoomScaleSheetLayoutView="100" workbookViewId="0">
      <selection activeCell="H13" sqref="H13"/>
    </sheetView>
  </sheetViews>
  <sheetFormatPr defaultRowHeight="13.8" x14ac:dyDescent="0.25"/>
  <cols>
    <col min="1" max="1" width="17.5" customWidth="1"/>
    <col min="2" max="2" width="34.0976562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643</v>
      </c>
      <c r="H3" s="4"/>
      <c r="I3" s="4"/>
    </row>
    <row r="4" spans="1:11" x14ac:dyDescent="0.25">
      <c r="B4" s="2"/>
      <c r="C4" s="6"/>
      <c r="F4" s="3" t="s">
        <v>644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117.01560000000001</v>
      </c>
      <c r="F6" t="s">
        <v>42</v>
      </c>
      <c r="G6" s="102">
        <v>2408019910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18063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>
        <v>230</v>
      </c>
      <c r="I11" s="56"/>
      <c r="J11" s="82">
        <f>D10+D11+E11-H11-I11</f>
        <v>17833</v>
      </c>
      <c r="K11" s="83">
        <f>0.02*J11</f>
        <v>356.66</v>
      </c>
    </row>
    <row r="12" spans="1:11" ht="14.25" customHeight="1" x14ac:dyDescent="0.25">
      <c r="A12" s="12" t="s">
        <v>1</v>
      </c>
      <c r="B12" s="91"/>
      <c r="C12" s="91"/>
      <c r="D12" s="12"/>
      <c r="E12" s="12"/>
      <c r="F12" s="12"/>
      <c r="G12" s="12"/>
      <c r="H12" s="12">
        <v>94</v>
      </c>
      <c r="I12" s="56"/>
      <c r="J12" s="82">
        <f>J11+D12+E12-H12-I12</f>
        <v>17739</v>
      </c>
      <c r="K12" s="83">
        <f t="shared" ref="K12:K41" si="0">0.02*J12</f>
        <v>354.78000000000003</v>
      </c>
    </row>
    <row r="13" spans="1:11" ht="13.5" customHeight="1" x14ac:dyDescent="0.25">
      <c r="A13" s="12" t="s">
        <v>2</v>
      </c>
      <c r="D13" s="56"/>
      <c r="E13" s="56"/>
      <c r="F13" s="12"/>
      <c r="G13" s="12"/>
      <c r="H13" s="12"/>
      <c r="I13" s="56"/>
      <c r="J13" s="82">
        <f t="shared" ref="J13:J38" si="1">J12+D13+E13-H13-I13</f>
        <v>17739</v>
      </c>
      <c r="K13" s="83">
        <f t="shared" si="0"/>
        <v>354.78000000000003</v>
      </c>
    </row>
    <row r="14" spans="1:11" x14ac:dyDescent="0.25">
      <c r="A14" s="12" t="s">
        <v>3</v>
      </c>
      <c r="B14" s="73"/>
      <c r="C14" s="109"/>
      <c r="D14" s="12"/>
      <c r="E14" s="12"/>
      <c r="F14" s="12"/>
      <c r="G14" s="12"/>
      <c r="H14" s="12"/>
      <c r="I14" s="56"/>
      <c r="J14" s="82">
        <f t="shared" si="1"/>
        <v>17739</v>
      </c>
      <c r="K14" s="83">
        <f t="shared" si="0"/>
        <v>354.78000000000003</v>
      </c>
    </row>
    <row r="15" spans="1:11" x14ac:dyDescent="0.25">
      <c r="A15" s="12" t="s">
        <v>4</v>
      </c>
      <c r="B15" s="95" t="s">
        <v>645</v>
      </c>
      <c r="C15" s="109" t="s">
        <v>646</v>
      </c>
      <c r="D15" s="12">
        <f>653+389+1028</f>
        <v>2070</v>
      </c>
      <c r="E15" s="12"/>
      <c r="F15" s="12"/>
      <c r="G15" s="12"/>
      <c r="H15" s="12"/>
      <c r="I15" s="56"/>
      <c r="J15" s="82">
        <f t="shared" si="1"/>
        <v>19809</v>
      </c>
      <c r="K15" s="83">
        <f t="shared" si="0"/>
        <v>396.18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>
        <v>297</v>
      </c>
      <c r="I16" s="56"/>
      <c r="J16" s="82">
        <f t="shared" si="1"/>
        <v>19512</v>
      </c>
      <c r="K16" s="83">
        <f t="shared" si="0"/>
        <v>390.24</v>
      </c>
    </row>
    <row r="17" spans="1:11" x14ac:dyDescent="0.25">
      <c r="A17" s="12" t="s">
        <v>6</v>
      </c>
      <c r="B17" s="95"/>
      <c r="C17" s="73"/>
      <c r="D17" s="12"/>
      <c r="E17" s="12"/>
      <c r="F17" s="81"/>
      <c r="G17" s="12"/>
      <c r="H17" s="12">
        <v>1343</v>
      </c>
      <c r="I17" s="12"/>
      <c r="J17" s="82">
        <f>J16+D17+E17-H17-I17</f>
        <v>18169</v>
      </c>
      <c r="K17" s="83">
        <f t="shared" si="0"/>
        <v>363.38</v>
      </c>
    </row>
    <row r="18" spans="1:11" x14ac:dyDescent="0.25">
      <c r="A18" s="12" t="s">
        <v>7</v>
      </c>
      <c r="B18" s="81" t="s">
        <v>647</v>
      </c>
      <c r="C18" s="73"/>
      <c r="D18" s="12">
        <v>78</v>
      </c>
      <c r="E18" s="12"/>
      <c r="F18" s="12"/>
      <c r="G18" s="12"/>
      <c r="H18" s="12">
        <v>690</v>
      </c>
      <c r="I18" s="12"/>
      <c r="J18" s="82">
        <f>J17+D18+E18-H18-I18</f>
        <v>17557</v>
      </c>
      <c r="K18" s="83">
        <f t="shared" si="0"/>
        <v>351.14</v>
      </c>
    </row>
    <row r="19" spans="1:11" ht="13.5" customHeight="1" x14ac:dyDescent="0.25">
      <c r="A19" s="12" t="s">
        <v>8</v>
      </c>
      <c r="B19" s="95" t="s">
        <v>648</v>
      </c>
      <c r="C19" s="109"/>
      <c r="D19" s="12">
        <v>34</v>
      </c>
      <c r="E19" s="12"/>
      <c r="F19" s="81"/>
      <c r="G19" s="12"/>
      <c r="H19" s="12"/>
      <c r="I19" s="12"/>
      <c r="J19" s="82">
        <f t="shared" si="1"/>
        <v>17591</v>
      </c>
      <c r="K19" s="83">
        <f t="shared" si="0"/>
        <v>351.82</v>
      </c>
    </row>
    <row r="20" spans="1:11" x14ac:dyDescent="0.25">
      <c r="A20" s="12" t="s">
        <v>9</v>
      </c>
      <c r="B20" s="92"/>
      <c r="C20" s="109"/>
      <c r="D20" s="12"/>
      <c r="E20" s="12"/>
      <c r="F20" s="81"/>
      <c r="G20" s="12"/>
      <c r="H20" s="12"/>
      <c r="I20" s="12"/>
      <c r="J20" s="82">
        <f t="shared" si="1"/>
        <v>17591</v>
      </c>
      <c r="K20" s="83">
        <f t="shared" si="0"/>
        <v>351.82</v>
      </c>
    </row>
    <row r="21" spans="1:11" ht="14.4" x14ac:dyDescent="0.25">
      <c r="A21" s="12" t="s">
        <v>10</v>
      </c>
      <c r="B21" s="93"/>
      <c r="C21" s="109"/>
      <c r="D21" s="12"/>
      <c r="E21" s="12"/>
      <c r="F21" s="81"/>
      <c r="G21" s="12"/>
      <c r="H21" s="12"/>
      <c r="I21" s="12"/>
      <c r="J21" s="82">
        <f t="shared" si="1"/>
        <v>17591</v>
      </c>
      <c r="K21" s="83">
        <f t="shared" si="0"/>
        <v>351.82</v>
      </c>
    </row>
    <row r="22" spans="1:11" x14ac:dyDescent="0.25">
      <c r="A22" s="12" t="s">
        <v>11</v>
      </c>
      <c r="B22" s="95" t="s">
        <v>649</v>
      </c>
      <c r="C22" s="109" t="s">
        <v>650</v>
      </c>
      <c r="D22" s="12">
        <f>3+1231</f>
        <v>1234</v>
      </c>
      <c r="E22" s="12"/>
      <c r="F22" s="81"/>
      <c r="G22" s="12"/>
      <c r="H22" s="12"/>
      <c r="I22" s="12"/>
      <c r="J22" s="82">
        <f t="shared" si="1"/>
        <v>18825</v>
      </c>
      <c r="K22" s="83">
        <f t="shared" si="0"/>
        <v>376.5</v>
      </c>
    </row>
    <row r="23" spans="1:11" x14ac:dyDescent="0.25">
      <c r="A23" s="12" t="s">
        <v>12</v>
      </c>
      <c r="B23" s="81" t="s">
        <v>651</v>
      </c>
      <c r="C23" s="103"/>
      <c r="D23" s="12">
        <v>1127</v>
      </c>
      <c r="E23" s="12"/>
      <c r="F23" s="81"/>
      <c r="G23" s="81"/>
      <c r="H23" s="12">
        <v>130</v>
      </c>
      <c r="I23" s="12"/>
      <c r="J23" s="82">
        <f>J22+D23+E23-H23-I23</f>
        <v>19822</v>
      </c>
      <c r="K23" s="83">
        <f t="shared" si="0"/>
        <v>396.44</v>
      </c>
    </row>
    <row r="24" spans="1:11" x14ac:dyDescent="0.25">
      <c r="A24" s="12" t="s">
        <v>13</v>
      </c>
      <c r="B24" s="81"/>
      <c r="C24" s="103"/>
      <c r="D24" s="12"/>
      <c r="E24" s="12"/>
      <c r="F24" s="81"/>
      <c r="G24" s="12"/>
      <c r="H24" s="12"/>
      <c r="I24" s="12"/>
      <c r="J24" s="82">
        <f t="shared" si="1"/>
        <v>19822</v>
      </c>
      <c r="K24" s="83">
        <f t="shared" si="0"/>
        <v>396.44</v>
      </c>
    </row>
    <row r="25" spans="1:11" x14ac:dyDescent="0.25">
      <c r="A25" s="12" t="s">
        <v>14</v>
      </c>
      <c r="B25" s="81" t="s">
        <v>652</v>
      </c>
      <c r="C25" s="109"/>
      <c r="D25" s="12">
        <v>3</v>
      </c>
      <c r="E25" s="12"/>
      <c r="F25" s="81"/>
      <c r="G25" s="12"/>
      <c r="H25" s="12">
        <v>628</v>
      </c>
      <c r="I25" s="12"/>
      <c r="J25" s="82">
        <f t="shared" si="1"/>
        <v>19197</v>
      </c>
      <c r="K25" s="83">
        <f t="shared" si="0"/>
        <v>383.94</v>
      </c>
    </row>
    <row r="26" spans="1:11" x14ac:dyDescent="0.25">
      <c r="A26" s="12" t="s">
        <v>15</v>
      </c>
      <c r="B26" s="92" t="s">
        <v>653</v>
      </c>
      <c r="C26" s="111"/>
      <c r="D26" s="12">
        <v>1</v>
      </c>
      <c r="E26" s="12"/>
      <c r="F26" s="81"/>
      <c r="G26" s="12"/>
      <c r="H26" s="12"/>
      <c r="I26" s="12"/>
      <c r="J26" s="82">
        <f t="shared" si="1"/>
        <v>19198</v>
      </c>
      <c r="K26" s="83">
        <f t="shared" si="0"/>
        <v>383.96000000000004</v>
      </c>
    </row>
    <row r="27" spans="1:11" x14ac:dyDescent="0.25">
      <c r="A27" s="12" t="s">
        <v>16</v>
      </c>
      <c r="B27" s="81"/>
      <c r="D27" s="12"/>
      <c r="E27" s="12"/>
      <c r="F27" s="81"/>
      <c r="G27" s="12"/>
      <c r="H27" s="12"/>
      <c r="I27" s="12"/>
      <c r="J27" s="82">
        <f t="shared" si="1"/>
        <v>19198</v>
      </c>
      <c r="K27" s="83">
        <f t="shared" si="0"/>
        <v>383.96000000000004</v>
      </c>
    </row>
    <row r="28" spans="1:11" x14ac:dyDescent="0.25">
      <c r="A28" s="12" t="s">
        <v>17</v>
      </c>
      <c r="B28" s="81"/>
      <c r="C28" s="73"/>
      <c r="D28" s="12"/>
      <c r="E28" s="12"/>
      <c r="F28" s="81"/>
      <c r="G28" s="12"/>
      <c r="H28" s="12"/>
      <c r="I28" s="12"/>
      <c r="J28" s="82">
        <f t="shared" si="1"/>
        <v>19198</v>
      </c>
      <c r="K28" s="83">
        <f t="shared" si="0"/>
        <v>383.96000000000004</v>
      </c>
    </row>
    <row r="29" spans="1:11" x14ac:dyDescent="0.25">
      <c r="A29" s="12" t="s">
        <v>18</v>
      </c>
      <c r="B29" s="81"/>
      <c r="C29" s="112"/>
      <c r="D29" s="12"/>
      <c r="E29" s="12"/>
      <c r="F29" s="81"/>
      <c r="G29" s="12"/>
      <c r="H29" s="12"/>
      <c r="I29" s="12"/>
      <c r="J29" s="82">
        <f t="shared" si="1"/>
        <v>19198</v>
      </c>
      <c r="K29" s="83">
        <f t="shared" si="0"/>
        <v>383.96000000000004</v>
      </c>
    </row>
    <row r="30" spans="1:11" x14ac:dyDescent="0.25">
      <c r="A30" s="12" t="s">
        <v>19</v>
      </c>
      <c r="B30" s="104"/>
      <c r="C30" s="96"/>
      <c r="D30" s="12"/>
      <c r="E30" s="12"/>
      <c r="F30" s="81"/>
      <c r="G30" s="12"/>
      <c r="H30" s="12">
        <v>219</v>
      </c>
      <c r="I30" s="12"/>
      <c r="J30" s="82">
        <f>J29+D30+E30-H30-I30</f>
        <v>18979</v>
      </c>
      <c r="K30" s="83">
        <f t="shared" si="0"/>
        <v>379.58</v>
      </c>
    </row>
    <row r="31" spans="1:11" x14ac:dyDescent="0.25">
      <c r="A31" s="12" t="s">
        <v>20</v>
      </c>
      <c r="B31" s="104" t="s">
        <v>654</v>
      </c>
      <c r="C31" s="100"/>
      <c r="D31" s="12">
        <v>44</v>
      </c>
      <c r="E31" s="106"/>
      <c r="F31" s="81"/>
      <c r="G31" s="12"/>
      <c r="H31" s="12">
        <v>876</v>
      </c>
      <c r="I31" s="12"/>
      <c r="J31" s="82">
        <f t="shared" si="1"/>
        <v>18147</v>
      </c>
      <c r="K31" s="83">
        <f t="shared" si="0"/>
        <v>362.94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">
        <v>353</v>
      </c>
      <c r="I32" s="12"/>
      <c r="J32" s="82">
        <f t="shared" si="1"/>
        <v>17794</v>
      </c>
      <c r="K32" s="83">
        <f t="shared" si="0"/>
        <v>355.88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/>
      <c r="I33" s="12"/>
      <c r="J33" s="82">
        <f t="shared" si="1"/>
        <v>17794</v>
      </c>
      <c r="K33" s="83">
        <f t="shared" si="0"/>
        <v>355.88</v>
      </c>
    </row>
    <row r="34" spans="1:12" x14ac:dyDescent="0.25">
      <c r="A34" s="12" t="s">
        <v>23</v>
      </c>
      <c r="B34" s="104"/>
      <c r="C34" s="96"/>
      <c r="D34" s="12"/>
      <c r="E34" s="12"/>
      <c r="F34" s="81"/>
      <c r="G34" s="12"/>
      <c r="H34" s="12"/>
      <c r="I34" s="12"/>
      <c r="J34" s="82">
        <f t="shared" si="1"/>
        <v>17794</v>
      </c>
      <c r="K34" s="83">
        <f t="shared" si="0"/>
        <v>355.88</v>
      </c>
    </row>
    <row r="35" spans="1:12" x14ac:dyDescent="0.25">
      <c r="A35" s="12" t="s">
        <v>24</v>
      </c>
      <c r="B35" s="104"/>
      <c r="C35" s="96"/>
      <c r="D35" s="12"/>
      <c r="E35" s="12"/>
      <c r="F35" s="81"/>
      <c r="G35" s="12"/>
      <c r="H35" s="12"/>
      <c r="I35" s="12"/>
      <c r="J35" s="82">
        <f t="shared" si="1"/>
        <v>17794</v>
      </c>
      <c r="K35" s="83">
        <f t="shared" si="0"/>
        <v>355.88</v>
      </c>
    </row>
    <row r="36" spans="1:12" ht="13.5" customHeight="1" x14ac:dyDescent="0.25">
      <c r="A36" s="12" t="s">
        <v>25</v>
      </c>
      <c r="B36" s="81" t="s">
        <v>655</v>
      </c>
      <c r="C36" s="112" t="s">
        <v>659</v>
      </c>
      <c r="D36" s="12">
        <f>646+246+1+45</f>
        <v>938</v>
      </c>
      <c r="E36" s="12"/>
      <c r="F36" s="12"/>
      <c r="G36" s="12"/>
      <c r="H36" s="12"/>
      <c r="I36" s="108"/>
      <c r="J36" s="82">
        <f t="shared" si="1"/>
        <v>18732</v>
      </c>
      <c r="K36" s="83">
        <f t="shared" si="0"/>
        <v>374.64</v>
      </c>
    </row>
    <row r="37" spans="1:12" x14ac:dyDescent="0.25">
      <c r="A37" s="12" t="s">
        <v>26</v>
      </c>
      <c r="B37" s="104" t="s">
        <v>658</v>
      </c>
      <c r="C37" s="100" t="s">
        <v>660</v>
      </c>
      <c r="D37" s="12">
        <f>18+300</f>
        <v>318</v>
      </c>
      <c r="E37" s="12"/>
      <c r="F37" s="12"/>
      <c r="G37" s="12"/>
      <c r="H37" s="12">
        <v>254</v>
      </c>
      <c r="I37" s="12"/>
      <c r="J37" s="82">
        <f t="shared" si="1"/>
        <v>18796</v>
      </c>
      <c r="K37" s="83">
        <f t="shared" si="0"/>
        <v>375.92</v>
      </c>
    </row>
    <row r="38" spans="1:12" x14ac:dyDescent="0.25">
      <c r="A38" s="12" t="s">
        <v>27</v>
      </c>
      <c r="B38" s="81" t="s">
        <v>661</v>
      </c>
      <c r="C38" s="109"/>
      <c r="D38" s="12">
        <v>71</v>
      </c>
      <c r="E38" s="12"/>
      <c r="F38" s="12"/>
      <c r="G38" s="12"/>
      <c r="H38" s="12">
        <v>237</v>
      </c>
      <c r="I38" s="12"/>
      <c r="J38" s="82">
        <f t="shared" si="1"/>
        <v>18630</v>
      </c>
      <c r="K38" s="83">
        <f t="shared" si="0"/>
        <v>372.6</v>
      </c>
    </row>
    <row r="39" spans="1:12" x14ac:dyDescent="0.25">
      <c r="A39" s="12" t="s">
        <v>28</v>
      </c>
      <c r="B39" s="104"/>
      <c r="C39" s="96"/>
      <c r="D39" s="12"/>
      <c r="E39" s="12"/>
      <c r="F39" s="81"/>
      <c r="G39" s="12"/>
      <c r="H39" s="12">
        <v>243</v>
      </c>
      <c r="I39" s="12"/>
      <c r="J39" s="82">
        <f>J38+D39+E39-H39-I39</f>
        <v>18387</v>
      </c>
      <c r="K39" s="83">
        <f t="shared" si="0"/>
        <v>367.74</v>
      </c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/>
      <c r="I40" s="12"/>
      <c r="J40" s="82">
        <f t="shared" ref="J40:J41" si="2">J39+D40+E40-H40-I40</f>
        <v>18387</v>
      </c>
      <c r="K40" s="83">
        <f t="shared" si="0"/>
        <v>367.74</v>
      </c>
    </row>
    <row r="41" spans="1:12" x14ac:dyDescent="0.25">
      <c r="A41" s="12" t="s">
        <v>30</v>
      </c>
      <c r="B41" s="96"/>
      <c r="C41" s="96"/>
      <c r="D41" s="12"/>
      <c r="E41" s="12"/>
      <c r="F41" s="81"/>
      <c r="G41" s="12"/>
      <c r="H41" s="12"/>
      <c r="I41" s="12"/>
      <c r="J41" s="82">
        <f t="shared" si="2"/>
        <v>18387</v>
      </c>
      <c r="K41" s="83">
        <f t="shared" si="0"/>
        <v>367.74</v>
      </c>
    </row>
    <row r="42" spans="1:12" ht="15" thickBot="1" x14ac:dyDescent="0.35">
      <c r="A42" s="168"/>
      <c r="B42" s="169"/>
      <c r="C42" s="19" t="s">
        <v>31</v>
      </c>
      <c r="D42" s="20">
        <f>SUM(D11:D41)</f>
        <v>5918</v>
      </c>
      <c r="E42" s="20">
        <f>SUM(E11:E41)</f>
        <v>0</v>
      </c>
      <c r="F42" s="21">
        <v>0</v>
      </c>
      <c r="G42" s="21"/>
      <c r="H42" s="20">
        <f>SUM(H11:H41)</f>
        <v>5594</v>
      </c>
      <c r="I42" s="20">
        <f>SUM(I11:I41)</f>
        <v>0</v>
      </c>
      <c r="J42" s="69">
        <f>AVERAGE(J11:J41)</f>
        <v>18482.225806451614</v>
      </c>
      <c r="K42" s="32">
        <f>SUM(K11:K41)</f>
        <v>11458.979999999996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5918</v>
      </c>
      <c r="I45" s="59">
        <v>0.28000000000000003</v>
      </c>
      <c r="J45" s="48">
        <f>H45*I45</f>
        <v>1657.0400000000002</v>
      </c>
      <c r="K45" s="50">
        <f>kurs*J45</f>
        <v>193899.52982400003</v>
      </c>
    </row>
    <row r="46" spans="1:12" x14ac:dyDescent="0.25">
      <c r="E46" s="42" t="s">
        <v>54</v>
      </c>
      <c r="F46" s="43"/>
      <c r="G46" s="43"/>
      <c r="H46" s="44">
        <f>H42+I42</f>
        <v>5594</v>
      </c>
      <c r="I46" s="59">
        <v>0.2</v>
      </c>
      <c r="J46" s="48">
        <f>H46*I46</f>
        <v>1118.8</v>
      </c>
      <c r="K46" s="50">
        <f t="shared" ref="K46" si="3">kurs*J46</f>
        <v>130917.05328000001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4">H47*I47</f>
        <v>0</v>
      </c>
      <c r="K47" s="50">
        <f t="shared" ref="K47:K50" si="5">kurs*J47</f>
        <v>0</v>
      </c>
    </row>
    <row r="48" spans="1:12" x14ac:dyDescent="0.25">
      <c r="E48" s="42" t="s">
        <v>581</v>
      </c>
      <c r="F48" s="43"/>
      <c r="G48" s="43"/>
      <c r="H48" s="44">
        <v>2</v>
      </c>
      <c r="I48" s="59">
        <v>1.5</v>
      </c>
      <c r="J48" s="48">
        <f t="shared" si="4"/>
        <v>3</v>
      </c>
      <c r="K48" s="50">
        <f t="shared" ref="K48:K49" si="6">kurs*J48</f>
        <v>351.04680000000002</v>
      </c>
    </row>
    <row r="49" spans="3:12" x14ac:dyDescent="0.25">
      <c r="E49" s="42" t="s">
        <v>582</v>
      </c>
      <c r="F49" s="43"/>
      <c r="G49" s="43"/>
      <c r="H49" s="44">
        <v>2</v>
      </c>
      <c r="I49" s="59">
        <v>1.5</v>
      </c>
      <c r="J49" s="48">
        <f t="shared" si="4"/>
        <v>3</v>
      </c>
      <c r="K49" s="50">
        <f t="shared" si="6"/>
        <v>351.04680000000002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0.19</v>
      </c>
      <c r="J50" s="48">
        <f t="shared" si="4"/>
        <v>0</v>
      </c>
      <c r="K50" s="50">
        <f t="shared" si="5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4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4"/>
        <v>0</v>
      </c>
      <c r="K52" s="50">
        <f>kurs*J52</f>
        <v>0</v>
      </c>
    </row>
    <row r="53" spans="3:12" x14ac:dyDescent="0.25">
      <c r="E53" s="45" t="s">
        <v>656</v>
      </c>
      <c r="F53" s="46"/>
      <c r="G53" s="46" t="s">
        <v>657</v>
      </c>
      <c r="H53" s="47">
        <v>3</v>
      </c>
      <c r="I53" s="60">
        <v>200</v>
      </c>
      <c r="J53" s="48">
        <f t="shared" si="4"/>
        <v>600</v>
      </c>
      <c r="K53" s="50">
        <f>kurs*J53</f>
        <v>70209.36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11458.979999999996</v>
      </c>
      <c r="K54" s="50">
        <f>kurs*J54</f>
        <v>1340879.4200879997</v>
      </c>
      <c r="L54" s="61"/>
    </row>
    <row r="55" spans="3:12" x14ac:dyDescent="0.25">
      <c r="E55" s="22"/>
      <c r="I55" t="s">
        <v>56</v>
      </c>
      <c r="J55" s="52">
        <f>SUM(J45:J54)</f>
        <v>14840.819999999996</v>
      </c>
      <c r="K55" s="51">
        <f>SUM(K45:K54)</f>
        <v>1736607.4567919997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3B2A-49ED-4FDE-8973-9D894482CEE6}">
  <dimension ref="A1:L60"/>
  <sheetViews>
    <sheetView view="pageBreakPreview" topLeftCell="A40" zoomScaleNormal="100" zoomScaleSheetLayoutView="100" workbookViewId="0">
      <selection activeCell="F13" sqref="F13"/>
    </sheetView>
  </sheetViews>
  <sheetFormatPr defaultRowHeight="13.8" x14ac:dyDescent="0.25"/>
  <cols>
    <col min="1" max="1" width="17.5" customWidth="1"/>
    <col min="2" max="2" width="34.0976562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45474</v>
      </c>
      <c r="H3" s="4"/>
      <c r="I3" s="4"/>
    </row>
    <row r="4" spans="1:11" x14ac:dyDescent="0.25">
      <c r="B4" s="2"/>
      <c r="C4" s="6"/>
      <c r="F4" s="3">
        <v>45504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117.0321</v>
      </c>
      <c r="F6" t="s">
        <v>42</v>
      </c>
      <c r="G6" s="114">
        <v>2407017707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16284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 t="s">
        <v>631</v>
      </c>
      <c r="C11" s="96"/>
      <c r="D11" s="12">
        <v>906</v>
      </c>
      <c r="E11" s="56"/>
      <c r="F11" s="12"/>
      <c r="G11" s="12"/>
      <c r="H11" s="12"/>
      <c r="I11" s="56"/>
      <c r="J11" s="82">
        <f>D10+D11+E11-H11-I11</f>
        <v>17190</v>
      </c>
      <c r="K11" s="83">
        <f>0.02*J11</f>
        <v>343.8</v>
      </c>
    </row>
    <row r="12" spans="1:11" ht="14.25" customHeight="1" x14ac:dyDescent="0.25">
      <c r="A12" s="12" t="s">
        <v>1</v>
      </c>
      <c r="B12" s="91" t="s">
        <v>422</v>
      </c>
      <c r="C12" s="91" t="s">
        <v>632</v>
      </c>
      <c r="D12" s="12">
        <f>14+895+208</f>
        <v>1117</v>
      </c>
      <c r="E12" s="12"/>
      <c r="F12" s="12"/>
      <c r="G12" s="12"/>
      <c r="H12" s="12">
        <v>646</v>
      </c>
      <c r="I12" s="56"/>
      <c r="J12" s="82">
        <f>J11+D12+E12-H12-I12</f>
        <v>17661</v>
      </c>
      <c r="K12" s="83">
        <f t="shared" ref="K12:K41" si="0">0.02*J12</f>
        <v>353.22</v>
      </c>
    </row>
    <row r="13" spans="1:11" ht="13.5" customHeight="1" x14ac:dyDescent="0.25">
      <c r="A13" s="12" t="s">
        <v>2</v>
      </c>
      <c r="D13" s="56"/>
      <c r="E13" s="56"/>
      <c r="F13" s="12"/>
      <c r="G13" s="12"/>
      <c r="H13" s="12">
        <v>432</v>
      </c>
      <c r="I13" s="56"/>
      <c r="J13" s="82">
        <f t="shared" ref="J13:J38" si="1">J12+D13+E13-H13-I13</f>
        <v>17229</v>
      </c>
      <c r="K13" s="83">
        <f t="shared" si="0"/>
        <v>344.58</v>
      </c>
    </row>
    <row r="14" spans="1:11" x14ac:dyDescent="0.25">
      <c r="A14" s="12" t="s">
        <v>3</v>
      </c>
      <c r="B14" s="73" t="s">
        <v>634</v>
      </c>
      <c r="C14" s="109" t="s">
        <v>633</v>
      </c>
      <c r="D14" s="12">
        <f>19+535</f>
        <v>554</v>
      </c>
      <c r="E14" s="12"/>
      <c r="F14" s="12"/>
      <c r="G14" s="12"/>
      <c r="H14" s="12"/>
      <c r="I14" s="56"/>
      <c r="J14" s="82">
        <f t="shared" si="1"/>
        <v>17783</v>
      </c>
      <c r="K14" s="83">
        <f t="shared" si="0"/>
        <v>355.66</v>
      </c>
    </row>
    <row r="15" spans="1:11" x14ac:dyDescent="0.25">
      <c r="A15" s="12" t="s">
        <v>4</v>
      </c>
      <c r="B15" s="95"/>
      <c r="C15" s="109"/>
      <c r="D15" s="12"/>
      <c r="E15" s="12"/>
      <c r="F15" s="12"/>
      <c r="G15" s="12"/>
      <c r="H15" s="12"/>
      <c r="I15" s="56"/>
      <c r="J15" s="82">
        <f t="shared" si="1"/>
        <v>17783</v>
      </c>
      <c r="K15" s="83">
        <f t="shared" si="0"/>
        <v>355.66</v>
      </c>
    </row>
    <row r="16" spans="1:11" x14ac:dyDescent="0.25">
      <c r="A16" s="12" t="s">
        <v>5</v>
      </c>
      <c r="B16" s="81"/>
      <c r="C16" s="111"/>
      <c r="D16" s="12"/>
      <c r="E16" s="12"/>
      <c r="F16" s="12"/>
      <c r="G16" s="12"/>
      <c r="H16" s="105"/>
      <c r="I16" s="56"/>
      <c r="J16" s="82">
        <f t="shared" si="1"/>
        <v>17783</v>
      </c>
      <c r="K16" s="83">
        <f t="shared" si="0"/>
        <v>355.66</v>
      </c>
    </row>
    <row r="17" spans="1:11" x14ac:dyDescent="0.25">
      <c r="A17" s="12" t="s">
        <v>6</v>
      </c>
      <c r="B17" s="95"/>
      <c r="C17" s="73"/>
      <c r="D17" s="12"/>
      <c r="E17" s="12"/>
      <c r="F17" s="81"/>
      <c r="G17" s="12"/>
      <c r="H17" s="12"/>
      <c r="I17" s="12"/>
      <c r="J17" s="82">
        <f>J16+D17+E17-H17-I17</f>
        <v>17783</v>
      </c>
      <c r="K17" s="83">
        <f t="shared" si="0"/>
        <v>355.66</v>
      </c>
    </row>
    <row r="18" spans="1:11" x14ac:dyDescent="0.25">
      <c r="A18" s="12" t="s">
        <v>7</v>
      </c>
      <c r="B18" s="81"/>
      <c r="C18" s="73"/>
      <c r="D18" s="12"/>
      <c r="E18" s="12"/>
      <c r="F18" s="12"/>
      <c r="G18" s="12"/>
      <c r="H18" s="12"/>
      <c r="I18" s="12"/>
      <c r="J18" s="82">
        <f>J17+D18+E18-H18-I18</f>
        <v>17783</v>
      </c>
      <c r="K18" s="83">
        <f t="shared" si="0"/>
        <v>355.66</v>
      </c>
    </row>
    <row r="19" spans="1:11" ht="13.5" customHeight="1" x14ac:dyDescent="0.25">
      <c r="A19" s="12" t="s">
        <v>8</v>
      </c>
      <c r="B19" s="95"/>
      <c r="C19" s="109"/>
      <c r="D19" s="12"/>
      <c r="E19" s="12"/>
      <c r="F19" s="81"/>
      <c r="G19" s="12"/>
      <c r="H19" s="12">
        <v>152</v>
      </c>
      <c r="I19" s="12"/>
      <c r="J19" s="82">
        <f t="shared" si="1"/>
        <v>17631</v>
      </c>
      <c r="K19" s="83">
        <f t="shared" si="0"/>
        <v>352.62</v>
      </c>
    </row>
    <row r="20" spans="1:11" x14ac:dyDescent="0.25">
      <c r="A20" s="12" t="s">
        <v>9</v>
      </c>
      <c r="B20" s="92"/>
      <c r="C20" s="109"/>
      <c r="D20" s="12"/>
      <c r="E20" s="12"/>
      <c r="F20" s="81"/>
      <c r="G20" s="12"/>
      <c r="H20" s="12">
        <v>406</v>
      </c>
      <c r="I20" s="12"/>
      <c r="J20" s="82">
        <f t="shared" si="1"/>
        <v>17225</v>
      </c>
      <c r="K20" s="83">
        <f t="shared" si="0"/>
        <v>344.5</v>
      </c>
    </row>
    <row r="21" spans="1:11" ht="14.4" x14ac:dyDescent="0.25">
      <c r="A21" s="12" t="s">
        <v>10</v>
      </c>
      <c r="B21" s="93"/>
      <c r="C21" s="109"/>
      <c r="D21" s="12"/>
      <c r="E21" s="12"/>
      <c r="F21" s="81"/>
      <c r="G21" s="12"/>
      <c r="H21" s="12">
        <v>127</v>
      </c>
      <c r="I21" s="12"/>
      <c r="J21" s="82">
        <f t="shared" si="1"/>
        <v>17098</v>
      </c>
      <c r="K21" s="83">
        <f t="shared" si="0"/>
        <v>341.96</v>
      </c>
    </row>
    <row r="22" spans="1:11" x14ac:dyDescent="0.25">
      <c r="A22" s="12" t="s">
        <v>11</v>
      </c>
      <c r="B22" s="95"/>
      <c r="C22" s="109"/>
      <c r="D22" s="12"/>
      <c r="E22" s="12"/>
      <c r="F22" s="81"/>
      <c r="G22" s="12"/>
      <c r="H22" s="12">
        <v>148</v>
      </c>
      <c r="I22" s="12"/>
      <c r="J22" s="82">
        <f t="shared" si="1"/>
        <v>16950</v>
      </c>
      <c r="K22" s="83">
        <f t="shared" si="0"/>
        <v>339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2"/>
      <c r="I23" s="12"/>
      <c r="J23" s="82">
        <f>J22+D23+E23-H23-I23</f>
        <v>16950</v>
      </c>
      <c r="K23" s="83">
        <f t="shared" si="0"/>
        <v>339</v>
      </c>
    </row>
    <row r="24" spans="1:11" x14ac:dyDescent="0.25">
      <c r="A24" s="12" t="s">
        <v>13</v>
      </c>
      <c r="B24" s="81"/>
      <c r="C24" s="103"/>
      <c r="D24" s="12"/>
      <c r="E24" s="12"/>
      <c r="F24" s="81"/>
      <c r="G24" s="12"/>
      <c r="H24" s="12"/>
      <c r="I24" s="12"/>
      <c r="J24" s="82">
        <f t="shared" si="1"/>
        <v>16950</v>
      </c>
      <c r="K24" s="83">
        <f t="shared" si="0"/>
        <v>339</v>
      </c>
    </row>
    <row r="25" spans="1:11" x14ac:dyDescent="0.25">
      <c r="A25" s="12" t="s">
        <v>14</v>
      </c>
      <c r="B25" s="81" t="s">
        <v>635</v>
      </c>
      <c r="C25" s="109" t="s">
        <v>636</v>
      </c>
      <c r="D25" s="12">
        <f>217+914</f>
        <v>1131</v>
      </c>
      <c r="E25" s="12"/>
      <c r="F25" s="81"/>
      <c r="G25" s="12"/>
      <c r="H25" s="12"/>
      <c r="I25" s="12"/>
      <c r="J25" s="82">
        <f t="shared" si="1"/>
        <v>18081</v>
      </c>
      <c r="K25" s="83">
        <f t="shared" si="0"/>
        <v>361.62</v>
      </c>
    </row>
    <row r="26" spans="1:11" x14ac:dyDescent="0.25">
      <c r="A26" s="12" t="s">
        <v>15</v>
      </c>
      <c r="B26" s="92"/>
      <c r="C26" s="111"/>
      <c r="D26" s="12"/>
      <c r="E26" s="12"/>
      <c r="F26" s="81"/>
      <c r="G26" s="12"/>
      <c r="H26" s="12"/>
      <c r="I26" s="12"/>
      <c r="J26" s="82">
        <f t="shared" si="1"/>
        <v>18081</v>
      </c>
      <c r="K26" s="83">
        <f t="shared" si="0"/>
        <v>361.62</v>
      </c>
    </row>
    <row r="27" spans="1:11" x14ac:dyDescent="0.25">
      <c r="A27" s="12" t="s">
        <v>16</v>
      </c>
      <c r="B27" s="81" t="s">
        <v>637</v>
      </c>
      <c r="D27" s="12">
        <v>40</v>
      </c>
      <c r="E27" s="12"/>
      <c r="F27" s="81"/>
      <c r="G27" s="12"/>
      <c r="H27" s="12"/>
      <c r="I27" s="12"/>
      <c r="J27" s="82">
        <f t="shared" si="1"/>
        <v>18121</v>
      </c>
      <c r="K27" s="83">
        <f t="shared" si="0"/>
        <v>362.42</v>
      </c>
    </row>
    <row r="28" spans="1:11" x14ac:dyDescent="0.25">
      <c r="A28" s="12" t="s">
        <v>17</v>
      </c>
      <c r="B28" s="81"/>
      <c r="C28" s="73"/>
      <c r="D28" s="12"/>
      <c r="E28" s="12"/>
      <c r="F28" s="81"/>
      <c r="G28" s="12"/>
      <c r="H28" s="12">
        <v>118</v>
      </c>
      <c r="I28" s="12"/>
      <c r="J28" s="82">
        <f t="shared" si="1"/>
        <v>18003</v>
      </c>
      <c r="K28" s="83">
        <f t="shared" si="0"/>
        <v>360.06</v>
      </c>
    </row>
    <row r="29" spans="1:11" x14ac:dyDescent="0.25">
      <c r="A29" s="12" t="s">
        <v>18</v>
      </c>
      <c r="B29" s="81"/>
      <c r="C29" s="112"/>
      <c r="D29" s="12"/>
      <c r="E29" s="12"/>
      <c r="F29" s="81"/>
      <c r="G29" s="12"/>
      <c r="H29" s="12">
        <v>177</v>
      </c>
      <c r="I29" s="12"/>
      <c r="J29" s="82">
        <f t="shared" si="1"/>
        <v>17826</v>
      </c>
      <c r="K29" s="83">
        <f t="shared" si="0"/>
        <v>356.52</v>
      </c>
    </row>
    <row r="30" spans="1:11" x14ac:dyDescent="0.25">
      <c r="A30" s="12" t="s">
        <v>19</v>
      </c>
      <c r="B30" s="104"/>
      <c r="C30" s="96"/>
      <c r="D30" s="12"/>
      <c r="E30" s="12"/>
      <c r="F30" s="81"/>
      <c r="G30" s="12"/>
      <c r="H30" s="12"/>
      <c r="I30" s="12"/>
      <c r="J30" s="82">
        <f>J29+D30+E30-H30-I30</f>
        <v>17826</v>
      </c>
      <c r="K30" s="83">
        <f t="shared" si="0"/>
        <v>356.52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"/>
      <c r="I31" s="12"/>
      <c r="J31" s="82">
        <f t="shared" si="1"/>
        <v>17826</v>
      </c>
      <c r="K31" s="83">
        <f t="shared" si="0"/>
        <v>356.52</v>
      </c>
    </row>
    <row r="32" spans="1:11" x14ac:dyDescent="0.25">
      <c r="A32" s="12" t="s">
        <v>21</v>
      </c>
      <c r="B32" s="81" t="s">
        <v>638</v>
      </c>
      <c r="C32" s="73" t="s">
        <v>639</v>
      </c>
      <c r="D32" s="12">
        <f>1+896</f>
        <v>897</v>
      </c>
      <c r="E32" s="12"/>
      <c r="F32" s="81"/>
      <c r="G32" s="107"/>
      <c r="H32" s="12">
        <v>63</v>
      </c>
      <c r="I32" s="12"/>
      <c r="J32" s="82">
        <f t="shared" si="1"/>
        <v>18660</v>
      </c>
      <c r="K32" s="83">
        <f t="shared" si="0"/>
        <v>373.2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/>
      <c r="I33" s="12"/>
      <c r="J33" s="82">
        <f t="shared" si="1"/>
        <v>18660</v>
      </c>
      <c r="K33" s="83">
        <f t="shared" si="0"/>
        <v>373.2</v>
      </c>
    </row>
    <row r="34" spans="1:12" x14ac:dyDescent="0.25">
      <c r="A34" s="12" t="s">
        <v>23</v>
      </c>
      <c r="B34" s="104"/>
      <c r="C34" s="96"/>
      <c r="D34" s="12"/>
      <c r="E34" s="12"/>
      <c r="F34" s="81"/>
      <c r="G34" s="12"/>
      <c r="H34" s="12">
        <v>403</v>
      </c>
      <c r="I34" s="12"/>
      <c r="J34" s="82">
        <f t="shared" si="1"/>
        <v>18257</v>
      </c>
      <c r="K34" s="83">
        <f t="shared" si="0"/>
        <v>365.14</v>
      </c>
    </row>
    <row r="35" spans="1:12" x14ac:dyDescent="0.25">
      <c r="A35" s="12" t="s">
        <v>24</v>
      </c>
      <c r="B35" s="104" t="s">
        <v>640</v>
      </c>
      <c r="C35" s="96"/>
      <c r="D35" s="12">
        <v>689</v>
      </c>
      <c r="E35" s="12"/>
      <c r="F35" s="81"/>
      <c r="G35" s="12"/>
      <c r="H35" s="12">
        <f>673+541</f>
        <v>1214</v>
      </c>
      <c r="I35" s="12"/>
      <c r="J35" s="82">
        <f t="shared" si="1"/>
        <v>17732</v>
      </c>
      <c r="K35" s="83">
        <f t="shared" si="0"/>
        <v>354.64</v>
      </c>
    </row>
    <row r="36" spans="1:12" ht="13.5" customHeight="1" x14ac:dyDescent="0.25">
      <c r="A36" s="12" t="s">
        <v>25</v>
      </c>
      <c r="B36" s="81"/>
      <c r="C36" s="112"/>
      <c r="D36" s="12"/>
      <c r="E36" s="12"/>
      <c r="F36" s="12"/>
      <c r="G36" s="12"/>
      <c r="H36" s="12">
        <v>538</v>
      </c>
      <c r="I36" s="108"/>
      <c r="J36" s="82">
        <f t="shared" si="1"/>
        <v>17194</v>
      </c>
      <c r="K36" s="83">
        <f t="shared" si="0"/>
        <v>343.88</v>
      </c>
    </row>
    <row r="37" spans="1:12" x14ac:dyDescent="0.25">
      <c r="A37" s="12" t="s">
        <v>26</v>
      </c>
      <c r="B37" s="104"/>
      <c r="C37" s="100"/>
      <c r="D37" s="12"/>
      <c r="E37" s="12"/>
      <c r="F37" s="12"/>
      <c r="G37" s="12"/>
      <c r="H37" s="12"/>
      <c r="I37" s="12"/>
      <c r="J37" s="82">
        <f t="shared" si="1"/>
        <v>17194</v>
      </c>
      <c r="K37" s="83">
        <f t="shared" si="0"/>
        <v>343.88</v>
      </c>
    </row>
    <row r="38" spans="1:12" x14ac:dyDescent="0.25">
      <c r="A38" s="12" t="s">
        <v>27</v>
      </c>
      <c r="B38" s="81"/>
      <c r="C38" s="109"/>
      <c r="D38" s="12"/>
      <c r="E38" s="12"/>
      <c r="F38" s="12"/>
      <c r="G38" s="12"/>
      <c r="H38" s="12"/>
      <c r="I38" s="12"/>
      <c r="J38" s="82">
        <f t="shared" si="1"/>
        <v>17194</v>
      </c>
      <c r="K38" s="83">
        <f t="shared" si="0"/>
        <v>343.88</v>
      </c>
    </row>
    <row r="39" spans="1:12" x14ac:dyDescent="0.25">
      <c r="A39" s="12" t="s">
        <v>28</v>
      </c>
      <c r="B39" s="104" t="s">
        <v>641</v>
      </c>
      <c r="C39" s="96" t="s">
        <v>642</v>
      </c>
      <c r="D39" s="12">
        <f>357+659</f>
        <v>1016</v>
      </c>
      <c r="E39" s="12"/>
      <c r="F39" s="81"/>
      <c r="G39" s="12"/>
      <c r="H39" s="12"/>
      <c r="I39" s="12"/>
      <c r="J39" s="82">
        <f>J38+D39+E39-H39-I39</f>
        <v>18210</v>
      </c>
      <c r="K39" s="83">
        <f t="shared" si="0"/>
        <v>364.2</v>
      </c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/>
      <c r="I40" s="12"/>
      <c r="J40" s="82">
        <f t="shared" ref="J40:J41" si="2">J39+D40+E40-H40-I40</f>
        <v>18210</v>
      </c>
      <c r="K40" s="83">
        <f t="shared" si="0"/>
        <v>364.2</v>
      </c>
    </row>
    <row r="41" spans="1:12" x14ac:dyDescent="0.25">
      <c r="A41" s="12" t="s">
        <v>30</v>
      </c>
      <c r="B41" s="96"/>
      <c r="C41" s="96"/>
      <c r="D41" s="12"/>
      <c r="E41" s="12"/>
      <c r="F41" s="81"/>
      <c r="G41" s="12"/>
      <c r="H41" s="12">
        <v>147</v>
      </c>
      <c r="I41" s="12"/>
      <c r="J41" s="82">
        <f t="shared" si="2"/>
        <v>18063</v>
      </c>
      <c r="K41" s="83">
        <f t="shared" si="0"/>
        <v>361.26</v>
      </c>
    </row>
    <row r="42" spans="1:12" ht="15" thickBot="1" x14ac:dyDescent="0.35">
      <c r="A42" s="168"/>
      <c r="B42" s="169"/>
      <c r="C42" s="19" t="s">
        <v>31</v>
      </c>
      <c r="D42" s="20">
        <f>SUM(D11:D41)</f>
        <v>6350</v>
      </c>
      <c r="E42" s="20">
        <f>SUM(E11:E41)</f>
        <v>0</v>
      </c>
      <c r="F42" s="21">
        <v>0</v>
      </c>
      <c r="G42" s="21"/>
      <c r="H42" s="20">
        <f>SUM(H11:H41)</f>
        <v>4571</v>
      </c>
      <c r="I42" s="20">
        <f>SUM(I11:I41)</f>
        <v>0</v>
      </c>
      <c r="J42" s="69">
        <f>AVERAGE(J11:J41)</f>
        <v>17707.645161290322</v>
      </c>
      <c r="K42" s="32">
        <f>SUM(K11:K41)</f>
        <v>10978.739999999998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6350</v>
      </c>
      <c r="I45" s="59">
        <v>0.28000000000000003</v>
      </c>
      <c r="J45" s="48">
        <f>H45*I45</f>
        <v>1778.0000000000002</v>
      </c>
      <c r="K45" s="50">
        <f>kurs*J45</f>
        <v>208083.07380000001</v>
      </c>
    </row>
    <row r="46" spans="1:12" x14ac:dyDescent="0.25">
      <c r="E46" s="42" t="s">
        <v>54</v>
      </c>
      <c r="F46" s="43"/>
      <c r="G46" s="43"/>
      <c r="H46" s="44">
        <f>H42+I42</f>
        <v>4571</v>
      </c>
      <c r="I46" s="59">
        <v>0.2</v>
      </c>
      <c r="J46" s="48">
        <f>H46*I46</f>
        <v>914.2</v>
      </c>
      <c r="K46" s="50">
        <f t="shared" ref="K46" si="3">kurs*J46</f>
        <v>106990.74582000001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4">H47*I47</f>
        <v>0</v>
      </c>
      <c r="K47" s="50">
        <f t="shared" ref="K47:K50" si="5">kurs*J47</f>
        <v>0</v>
      </c>
    </row>
    <row r="48" spans="1:12" x14ac:dyDescent="0.25">
      <c r="E48" s="42" t="s">
        <v>581</v>
      </c>
      <c r="F48" s="43"/>
      <c r="G48" s="43"/>
      <c r="H48" s="44">
        <v>9</v>
      </c>
      <c r="I48" s="59">
        <v>1.5</v>
      </c>
      <c r="J48" s="48">
        <f t="shared" si="4"/>
        <v>13.5</v>
      </c>
      <c r="K48" s="50">
        <f t="shared" ref="K48:K49" si="6">kurs*J48</f>
        <v>1579.93335</v>
      </c>
    </row>
    <row r="49" spans="3:12" x14ac:dyDescent="0.25">
      <c r="E49" s="42" t="s">
        <v>582</v>
      </c>
      <c r="F49" s="43"/>
      <c r="G49" s="43"/>
      <c r="H49" s="44">
        <v>1</v>
      </c>
      <c r="I49" s="59">
        <v>1.5</v>
      </c>
      <c r="J49" s="48">
        <f t="shared" si="4"/>
        <v>1.5</v>
      </c>
      <c r="K49" s="50">
        <f t="shared" si="6"/>
        <v>175.54814999999999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0.19</v>
      </c>
      <c r="J50" s="48">
        <f t="shared" si="4"/>
        <v>0</v>
      </c>
      <c r="K50" s="50">
        <f t="shared" si="5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0.12</v>
      </c>
      <c r="J51" s="48">
        <f t="shared" si="4"/>
        <v>0</v>
      </c>
      <c r="K51" s="50">
        <f>kurs*J51</f>
        <v>0</v>
      </c>
    </row>
    <row r="52" spans="3:12" x14ac:dyDescent="0.25">
      <c r="E52" s="45" t="s">
        <v>629</v>
      </c>
      <c r="F52" s="46"/>
      <c r="G52" s="46"/>
      <c r="H52" s="47">
        <v>0</v>
      </c>
      <c r="I52" s="60">
        <v>0.08</v>
      </c>
      <c r="J52" s="48">
        <f t="shared" si="4"/>
        <v>0</v>
      </c>
      <c r="K52" s="50">
        <f>kurs*J52</f>
        <v>0</v>
      </c>
    </row>
    <row r="53" spans="3:12" x14ac:dyDescent="0.25">
      <c r="E53" s="45" t="s">
        <v>562</v>
      </c>
      <c r="F53" s="46"/>
      <c r="G53" s="46"/>
      <c r="H53" s="47">
        <v>0</v>
      </c>
      <c r="I53" s="60">
        <v>200</v>
      </c>
      <c r="J53" s="48">
        <f t="shared" si="4"/>
        <v>0</v>
      </c>
      <c r="K53" s="50">
        <f>kurs*J53</f>
        <v>0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10978.739999999998</v>
      </c>
      <c r="K54" s="50">
        <f>kurs*J54</f>
        <v>1284864.9975539998</v>
      </c>
      <c r="L54" s="61"/>
    </row>
    <row r="55" spans="3:12" x14ac:dyDescent="0.25">
      <c r="E55" s="22"/>
      <c r="I55" t="s">
        <v>56</v>
      </c>
      <c r="J55" s="52">
        <f>SUM(J45:J54)</f>
        <v>13685.939999999999</v>
      </c>
      <c r="K55" s="51">
        <f>SUM(K45:K54)</f>
        <v>1601694.2986739997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AAF6-39DC-4F5D-A88C-3E10D978DC3C}">
  <dimension ref="A1:L60"/>
  <sheetViews>
    <sheetView view="pageBreakPreview" topLeftCell="A31" zoomScaleNormal="100" zoomScaleSheetLayoutView="100" workbookViewId="0">
      <selection activeCell="K41" sqref="K41"/>
    </sheetView>
  </sheetViews>
  <sheetFormatPr defaultRowHeight="13.8" x14ac:dyDescent="0.25"/>
  <cols>
    <col min="1" max="1" width="17.5" customWidth="1"/>
    <col min="2" max="2" width="34.0976562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614</v>
      </c>
      <c r="H3" s="4"/>
      <c r="I3" s="4"/>
    </row>
    <row r="4" spans="1:11" x14ac:dyDescent="0.25">
      <c r="B4" s="2"/>
      <c r="C4" s="6"/>
      <c r="F4" s="3" t="s">
        <v>615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117.0372</v>
      </c>
      <c r="F6" t="s">
        <v>42</v>
      </c>
      <c r="G6" s="113">
        <v>2406015368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14970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96"/>
      <c r="D11" s="12"/>
      <c r="E11" s="56"/>
      <c r="F11" s="12"/>
      <c r="G11" s="12"/>
      <c r="H11" s="12"/>
      <c r="I11" s="56"/>
      <c r="J11" s="82">
        <f>D10+D11+E11-H11-I11</f>
        <v>14970</v>
      </c>
      <c r="K11" s="83">
        <f>0.02*J11</f>
        <v>299.40000000000003</v>
      </c>
    </row>
    <row r="12" spans="1:11" ht="14.25" customHeight="1" x14ac:dyDescent="0.25">
      <c r="A12" s="12" t="s">
        <v>1</v>
      </c>
      <c r="B12" s="91"/>
      <c r="C12" s="91"/>
      <c r="D12" s="12"/>
      <c r="E12" s="12"/>
      <c r="F12" s="12"/>
      <c r="G12" s="12"/>
      <c r="H12" s="12"/>
      <c r="I12" s="56"/>
      <c r="J12" s="82">
        <f>J11+D12+E12-H12-I12</f>
        <v>14970</v>
      </c>
      <c r="K12" s="83">
        <f t="shared" ref="K12:K41" si="0">0.02*J12</f>
        <v>299.40000000000003</v>
      </c>
    </row>
    <row r="13" spans="1:11" ht="13.5" customHeight="1" x14ac:dyDescent="0.25">
      <c r="A13" s="12" t="s">
        <v>2</v>
      </c>
      <c r="B13" s="73" t="s">
        <v>616</v>
      </c>
      <c r="C13" s="109" t="s">
        <v>617</v>
      </c>
      <c r="D13" s="56">
        <f>1034+1283</f>
        <v>2317</v>
      </c>
      <c r="E13" s="56"/>
      <c r="F13" s="12"/>
      <c r="G13" s="12"/>
      <c r="H13" s="12"/>
      <c r="I13" s="56"/>
      <c r="J13" s="82">
        <f t="shared" ref="J13:J38" si="1">J12+D13+E13-H13-I13</f>
        <v>17287</v>
      </c>
      <c r="K13" s="83">
        <f t="shared" si="0"/>
        <v>345.74</v>
      </c>
    </row>
    <row r="14" spans="1:11" ht="14.4" x14ac:dyDescent="0.25">
      <c r="A14" s="12" t="s">
        <v>3</v>
      </c>
      <c r="B14" s="81" t="s">
        <v>618</v>
      </c>
      <c r="C14" s="110" t="s">
        <v>619</v>
      </c>
      <c r="D14" s="12">
        <f>450+330</f>
        <v>780</v>
      </c>
      <c r="E14" s="12"/>
      <c r="F14" s="12"/>
      <c r="G14" s="12"/>
      <c r="H14" s="12">
        <v>483</v>
      </c>
      <c r="I14" s="56"/>
      <c r="J14" s="82">
        <f t="shared" si="1"/>
        <v>17584</v>
      </c>
      <c r="K14" s="83">
        <f t="shared" si="0"/>
        <v>351.68</v>
      </c>
    </row>
    <row r="15" spans="1:11" x14ac:dyDescent="0.25">
      <c r="A15" s="12" t="s">
        <v>4</v>
      </c>
      <c r="B15" s="95"/>
      <c r="C15" s="109"/>
      <c r="D15" s="12"/>
      <c r="E15" s="12"/>
      <c r="F15" s="12"/>
      <c r="G15" s="12"/>
      <c r="H15" s="12">
        <v>170</v>
      </c>
      <c r="I15" s="56"/>
      <c r="J15" s="82">
        <f t="shared" si="1"/>
        <v>17414</v>
      </c>
      <c r="K15" s="83">
        <f t="shared" si="0"/>
        <v>348.28000000000003</v>
      </c>
    </row>
    <row r="16" spans="1:11" x14ac:dyDescent="0.25">
      <c r="A16" s="12" t="s">
        <v>5</v>
      </c>
      <c r="B16" s="81" t="s">
        <v>622</v>
      </c>
      <c r="C16" s="111"/>
      <c r="D16" s="12">
        <v>68</v>
      </c>
      <c r="E16" s="12"/>
      <c r="F16" s="12"/>
      <c r="G16" s="12"/>
      <c r="H16" s="105">
        <v>508</v>
      </c>
      <c r="I16" s="56"/>
      <c r="J16" s="82">
        <f t="shared" si="1"/>
        <v>16974</v>
      </c>
      <c r="K16" s="83">
        <f t="shared" si="0"/>
        <v>339.48</v>
      </c>
    </row>
    <row r="17" spans="1:11" x14ac:dyDescent="0.25">
      <c r="A17" s="12" t="s">
        <v>6</v>
      </c>
      <c r="B17" s="95"/>
      <c r="C17" s="73"/>
      <c r="D17" s="12"/>
      <c r="E17" s="12"/>
      <c r="F17" s="81"/>
      <c r="G17" s="12"/>
      <c r="H17" s="12">
        <v>232</v>
      </c>
      <c r="I17" s="12">
        <v>997</v>
      </c>
      <c r="J17" s="82">
        <f>J16+D17+E17-H17-I17</f>
        <v>15745</v>
      </c>
      <c r="K17" s="83">
        <f t="shared" si="0"/>
        <v>314.90000000000003</v>
      </c>
    </row>
    <row r="18" spans="1:11" x14ac:dyDescent="0.25">
      <c r="A18" s="12" t="s">
        <v>7</v>
      </c>
      <c r="B18" s="81"/>
      <c r="C18" s="73"/>
      <c r="D18" s="12"/>
      <c r="E18" s="12"/>
      <c r="F18" s="12"/>
      <c r="G18" s="12"/>
      <c r="H18" s="12"/>
      <c r="I18" s="12"/>
      <c r="J18" s="82">
        <f>J17+D18+E18-H18-I18</f>
        <v>15745</v>
      </c>
      <c r="K18" s="83">
        <f t="shared" si="0"/>
        <v>314.90000000000003</v>
      </c>
    </row>
    <row r="19" spans="1:11" ht="13.5" customHeight="1" x14ac:dyDescent="0.25">
      <c r="A19" s="12" t="s">
        <v>8</v>
      </c>
      <c r="B19" s="95"/>
      <c r="C19" s="109"/>
      <c r="D19" s="12"/>
      <c r="E19" s="12"/>
      <c r="F19" s="81"/>
      <c r="G19" s="12"/>
      <c r="H19" s="12"/>
      <c r="I19" s="12"/>
      <c r="J19" s="82">
        <f t="shared" si="1"/>
        <v>15745</v>
      </c>
      <c r="K19" s="83">
        <f t="shared" si="0"/>
        <v>314.90000000000003</v>
      </c>
    </row>
    <row r="20" spans="1:11" x14ac:dyDescent="0.25">
      <c r="A20" s="12" t="s">
        <v>9</v>
      </c>
      <c r="B20" s="92" t="s">
        <v>620</v>
      </c>
      <c r="C20" s="109" t="s">
        <v>621</v>
      </c>
      <c r="D20" s="12">
        <f>1301+1220</f>
        <v>2521</v>
      </c>
      <c r="E20" s="12"/>
      <c r="F20" s="81"/>
      <c r="G20" s="12"/>
      <c r="H20" s="12"/>
      <c r="I20" s="12"/>
      <c r="J20" s="82">
        <f t="shared" si="1"/>
        <v>18266</v>
      </c>
      <c r="K20" s="83">
        <f t="shared" si="0"/>
        <v>365.32</v>
      </c>
    </row>
    <row r="21" spans="1:11" ht="14.4" x14ac:dyDescent="0.25">
      <c r="A21" s="12" t="s">
        <v>10</v>
      </c>
      <c r="B21" s="93" t="s">
        <v>624</v>
      </c>
      <c r="C21" s="109"/>
      <c r="D21" s="12">
        <v>20</v>
      </c>
      <c r="E21" s="12"/>
      <c r="F21" s="81"/>
      <c r="G21" s="12"/>
      <c r="H21" s="12">
        <v>424</v>
      </c>
      <c r="I21" s="12"/>
      <c r="J21" s="82">
        <f t="shared" si="1"/>
        <v>17862</v>
      </c>
      <c r="K21" s="83">
        <f t="shared" si="0"/>
        <v>357.24</v>
      </c>
    </row>
    <row r="22" spans="1:11" x14ac:dyDescent="0.25">
      <c r="A22" s="12" t="s">
        <v>11</v>
      </c>
      <c r="B22" s="95"/>
      <c r="C22" s="109"/>
      <c r="D22" s="12"/>
      <c r="E22" s="12"/>
      <c r="F22" s="81"/>
      <c r="G22" s="12"/>
      <c r="H22" s="12">
        <v>438</v>
      </c>
      <c r="I22" s="12"/>
      <c r="J22" s="82">
        <f t="shared" si="1"/>
        <v>17424</v>
      </c>
      <c r="K22" s="83">
        <f t="shared" si="0"/>
        <v>348.48</v>
      </c>
    </row>
    <row r="23" spans="1:11" x14ac:dyDescent="0.25">
      <c r="A23" s="12" t="s">
        <v>12</v>
      </c>
      <c r="B23" s="81"/>
      <c r="C23" s="103"/>
      <c r="D23" s="12"/>
      <c r="E23" s="12"/>
      <c r="F23" s="81"/>
      <c r="G23" s="81"/>
      <c r="H23" s="12">
        <v>182</v>
      </c>
      <c r="I23" s="12"/>
      <c r="J23" s="82">
        <f>J22+D23+E23-H23-I23</f>
        <v>17242</v>
      </c>
      <c r="K23" s="83">
        <f t="shared" si="0"/>
        <v>344.84000000000003</v>
      </c>
    </row>
    <row r="24" spans="1:11" x14ac:dyDescent="0.25">
      <c r="A24" s="12" t="s">
        <v>13</v>
      </c>
      <c r="B24" s="81"/>
      <c r="C24" s="103"/>
      <c r="D24" s="12"/>
      <c r="E24" s="12"/>
      <c r="F24" s="81"/>
      <c r="G24" s="12"/>
      <c r="H24" s="12">
        <v>160</v>
      </c>
      <c r="I24" s="12"/>
      <c r="J24" s="82">
        <f t="shared" si="1"/>
        <v>17082</v>
      </c>
      <c r="K24" s="83">
        <f t="shared" si="0"/>
        <v>341.64</v>
      </c>
    </row>
    <row r="25" spans="1:11" x14ac:dyDescent="0.25">
      <c r="A25" s="12" t="s">
        <v>14</v>
      </c>
      <c r="B25" s="81"/>
      <c r="C25" s="109"/>
      <c r="D25" s="12"/>
      <c r="E25" s="12"/>
      <c r="F25" s="81"/>
      <c r="G25" s="12"/>
      <c r="H25" s="12"/>
      <c r="I25" s="12"/>
      <c r="J25" s="82">
        <f t="shared" si="1"/>
        <v>17082</v>
      </c>
      <c r="K25" s="83">
        <f t="shared" si="0"/>
        <v>341.64</v>
      </c>
    </row>
    <row r="26" spans="1:11" x14ac:dyDescent="0.25">
      <c r="A26" s="12" t="s">
        <v>15</v>
      </c>
      <c r="B26" s="92"/>
      <c r="C26" s="111"/>
      <c r="D26" s="12"/>
      <c r="E26" s="12"/>
      <c r="F26" s="81"/>
      <c r="G26" s="12"/>
      <c r="H26" s="12"/>
      <c r="I26" s="12"/>
      <c r="J26" s="82">
        <f t="shared" si="1"/>
        <v>17082</v>
      </c>
      <c r="K26" s="83">
        <f t="shared" si="0"/>
        <v>341.64</v>
      </c>
    </row>
    <row r="27" spans="1:11" x14ac:dyDescent="0.25">
      <c r="A27" s="12" t="s">
        <v>16</v>
      </c>
      <c r="B27" s="81" t="s">
        <v>623</v>
      </c>
      <c r="D27" s="12">
        <v>1067</v>
      </c>
      <c r="E27" s="12"/>
      <c r="F27" s="81"/>
      <c r="G27" s="12"/>
      <c r="H27" s="12">
        <v>1853</v>
      </c>
      <c r="I27" s="12"/>
      <c r="J27" s="82">
        <f t="shared" si="1"/>
        <v>16296</v>
      </c>
      <c r="K27" s="83">
        <f t="shared" si="0"/>
        <v>325.92</v>
      </c>
    </row>
    <row r="28" spans="1:11" x14ac:dyDescent="0.25">
      <c r="A28" s="12" t="s">
        <v>17</v>
      </c>
      <c r="B28" s="81"/>
      <c r="C28" s="73"/>
      <c r="D28" s="12"/>
      <c r="E28" s="12"/>
      <c r="F28" s="81"/>
      <c r="G28" s="12"/>
      <c r="H28" s="12"/>
      <c r="I28" s="12"/>
      <c r="J28" s="82">
        <f t="shared" si="1"/>
        <v>16296</v>
      </c>
      <c r="K28" s="83">
        <f t="shared" si="0"/>
        <v>325.92</v>
      </c>
    </row>
    <row r="29" spans="1:11" x14ac:dyDescent="0.25">
      <c r="A29" s="12" t="s">
        <v>18</v>
      </c>
      <c r="B29" s="81"/>
      <c r="C29" s="112"/>
      <c r="D29" s="12"/>
      <c r="E29" s="12"/>
      <c r="F29" s="81"/>
      <c r="G29" s="12"/>
      <c r="H29" s="12">
        <v>903</v>
      </c>
      <c r="I29" s="12"/>
      <c r="J29" s="82">
        <f t="shared" si="1"/>
        <v>15393</v>
      </c>
      <c r="K29" s="83">
        <f t="shared" si="0"/>
        <v>307.86</v>
      </c>
    </row>
    <row r="30" spans="1:11" x14ac:dyDescent="0.25">
      <c r="A30" s="12" t="s">
        <v>19</v>
      </c>
      <c r="B30" s="104"/>
      <c r="C30" s="96"/>
      <c r="D30" s="12"/>
      <c r="E30" s="12"/>
      <c r="F30" s="81"/>
      <c r="G30" s="12"/>
      <c r="H30" s="12">
        <v>98</v>
      </c>
      <c r="I30" s="12"/>
      <c r="J30" s="82">
        <f>J29+D30+E30-H30-I30</f>
        <v>15295</v>
      </c>
      <c r="K30" s="83">
        <f t="shared" si="0"/>
        <v>305.90000000000003</v>
      </c>
    </row>
    <row r="31" spans="1:11" x14ac:dyDescent="0.25">
      <c r="A31" s="12" t="s">
        <v>20</v>
      </c>
      <c r="B31" s="104"/>
      <c r="C31" s="100"/>
      <c r="D31" s="12"/>
      <c r="E31" s="106"/>
      <c r="F31" s="81"/>
      <c r="G31" s="12"/>
      <c r="H31" s="12">
        <v>428</v>
      </c>
      <c r="I31" s="12"/>
      <c r="J31" s="82">
        <f t="shared" si="1"/>
        <v>14867</v>
      </c>
      <c r="K31" s="83">
        <f t="shared" si="0"/>
        <v>297.34000000000003</v>
      </c>
    </row>
    <row r="32" spans="1:11" x14ac:dyDescent="0.25">
      <c r="A32" s="12" t="s">
        <v>21</v>
      </c>
      <c r="B32" s="81"/>
      <c r="C32" s="73"/>
      <c r="D32" s="12"/>
      <c r="E32" s="12"/>
      <c r="F32" s="81"/>
      <c r="G32" s="107"/>
      <c r="H32" s="12"/>
      <c r="I32" s="12"/>
      <c r="J32" s="82">
        <f t="shared" si="1"/>
        <v>14867</v>
      </c>
      <c r="K32" s="83">
        <f t="shared" si="0"/>
        <v>297.34000000000003</v>
      </c>
    </row>
    <row r="33" spans="1:12" x14ac:dyDescent="0.25">
      <c r="A33" s="12" t="s">
        <v>22</v>
      </c>
      <c r="B33" s="104"/>
      <c r="C33" s="96"/>
      <c r="D33" s="12"/>
      <c r="E33" s="12"/>
      <c r="F33" s="81"/>
      <c r="G33" s="12"/>
      <c r="H33" s="12"/>
      <c r="I33" s="12"/>
      <c r="J33" s="82">
        <f t="shared" si="1"/>
        <v>14867</v>
      </c>
      <c r="K33" s="83">
        <f t="shared" si="0"/>
        <v>297.34000000000003</v>
      </c>
    </row>
    <row r="34" spans="1:12" x14ac:dyDescent="0.25">
      <c r="A34" s="12" t="s">
        <v>23</v>
      </c>
      <c r="B34" s="104"/>
      <c r="C34" s="96" t="s">
        <v>630</v>
      </c>
      <c r="D34" s="12">
        <v>142</v>
      </c>
      <c r="E34" s="12"/>
      <c r="F34" s="81"/>
      <c r="G34" s="12"/>
      <c r="H34" s="12"/>
      <c r="I34" s="12"/>
      <c r="J34" s="82">
        <f t="shared" si="1"/>
        <v>15009</v>
      </c>
      <c r="K34" s="83">
        <f t="shared" si="0"/>
        <v>300.18</v>
      </c>
    </row>
    <row r="35" spans="1:12" x14ac:dyDescent="0.25">
      <c r="A35" s="12" t="s">
        <v>24</v>
      </c>
      <c r="B35" s="104" t="s">
        <v>628</v>
      </c>
      <c r="C35" s="96" t="s">
        <v>630</v>
      </c>
      <c r="D35" s="12">
        <f>78+160</f>
        <v>238</v>
      </c>
      <c r="E35" s="12"/>
      <c r="F35" s="81"/>
      <c r="G35" s="12"/>
      <c r="H35" s="12"/>
      <c r="I35" s="12"/>
      <c r="J35" s="82">
        <f t="shared" si="1"/>
        <v>15247</v>
      </c>
      <c r="K35" s="83">
        <f t="shared" si="0"/>
        <v>304.94</v>
      </c>
    </row>
    <row r="36" spans="1:12" ht="13.5" customHeight="1" x14ac:dyDescent="0.25">
      <c r="A36" s="12" t="s">
        <v>25</v>
      </c>
      <c r="B36" s="81" t="s">
        <v>627</v>
      </c>
      <c r="C36" s="112"/>
      <c r="D36" s="12">
        <v>71</v>
      </c>
      <c r="E36" s="12"/>
      <c r="F36" s="12"/>
      <c r="G36" s="12"/>
      <c r="H36" s="12"/>
      <c r="I36" s="108"/>
      <c r="J36" s="82">
        <f t="shared" si="1"/>
        <v>15318</v>
      </c>
      <c r="K36" s="83">
        <f t="shared" si="0"/>
        <v>306.36</v>
      </c>
    </row>
    <row r="37" spans="1:12" x14ac:dyDescent="0.25">
      <c r="A37" s="12" t="s">
        <v>26</v>
      </c>
      <c r="B37" s="104"/>
      <c r="C37" s="100"/>
      <c r="D37" s="12"/>
      <c r="E37" s="12"/>
      <c r="F37" s="12"/>
      <c r="G37" s="12"/>
      <c r="H37" s="12"/>
      <c r="I37" s="12"/>
      <c r="J37" s="82">
        <f t="shared" si="1"/>
        <v>15318</v>
      </c>
      <c r="K37" s="83">
        <f t="shared" si="0"/>
        <v>306.36</v>
      </c>
    </row>
    <row r="38" spans="1:12" x14ac:dyDescent="0.25">
      <c r="A38" s="12" t="s">
        <v>27</v>
      </c>
      <c r="B38" s="81" t="s">
        <v>625</v>
      </c>
      <c r="C38" s="109" t="s">
        <v>626</v>
      </c>
      <c r="D38" s="12">
        <v>1268</v>
      </c>
      <c r="E38" s="12"/>
      <c r="F38" s="12"/>
      <c r="G38" s="12"/>
      <c r="H38" s="12">
        <v>302</v>
      </c>
      <c r="I38" s="12"/>
      <c r="J38" s="82">
        <f t="shared" si="1"/>
        <v>16284</v>
      </c>
      <c r="K38" s="83">
        <f t="shared" si="0"/>
        <v>325.68</v>
      </c>
    </row>
    <row r="39" spans="1:12" x14ac:dyDescent="0.25">
      <c r="A39" s="12" t="s">
        <v>28</v>
      </c>
      <c r="B39" s="104"/>
      <c r="C39" s="96"/>
      <c r="D39" s="12"/>
      <c r="E39" s="12"/>
      <c r="F39" s="81"/>
      <c r="G39" s="12"/>
      <c r="H39" s="12"/>
      <c r="I39" s="12"/>
      <c r="J39" s="82">
        <f>J38+D39+E39-H39-I39</f>
        <v>16284</v>
      </c>
      <c r="K39" s="83">
        <f t="shared" si="0"/>
        <v>325.68</v>
      </c>
    </row>
    <row r="40" spans="1:12" x14ac:dyDescent="0.25">
      <c r="A40" s="12" t="s">
        <v>29</v>
      </c>
      <c r="B40" s="96"/>
      <c r="C40" s="96"/>
      <c r="D40" s="12"/>
      <c r="E40" s="12"/>
      <c r="F40" s="81"/>
      <c r="G40" s="12"/>
      <c r="H40" s="12"/>
      <c r="I40" s="12"/>
      <c r="J40" s="82">
        <f t="shared" ref="J40:J41" si="2">J39+D40+E40-H40-I40</f>
        <v>16284</v>
      </c>
      <c r="K40" s="83">
        <f t="shared" si="0"/>
        <v>325.68</v>
      </c>
    </row>
    <row r="41" spans="1:12" x14ac:dyDescent="0.25">
      <c r="A41" s="12" t="s">
        <v>30</v>
      </c>
      <c r="B41" s="96"/>
      <c r="C41" s="96"/>
      <c r="D41" s="12"/>
      <c r="E41" s="12"/>
      <c r="F41" s="81"/>
      <c r="G41" s="12"/>
      <c r="H41" s="12"/>
      <c r="I41" s="12"/>
      <c r="J41" s="82">
        <f t="shared" si="2"/>
        <v>16284</v>
      </c>
      <c r="K41" s="83">
        <f t="shared" si="0"/>
        <v>325.68</v>
      </c>
    </row>
    <row r="42" spans="1:12" ht="15" thickBot="1" x14ac:dyDescent="0.35">
      <c r="A42" s="168"/>
      <c r="B42" s="169"/>
      <c r="C42" s="19" t="s">
        <v>31</v>
      </c>
      <c r="D42" s="20">
        <f>SUM(D11:D41)</f>
        <v>8492</v>
      </c>
      <c r="E42" s="20">
        <f>SUM(E11:E41)</f>
        <v>0</v>
      </c>
      <c r="F42" s="21">
        <v>0</v>
      </c>
      <c r="G42" s="21"/>
      <c r="H42" s="20">
        <f>SUM(H11:H41)</f>
        <v>6181</v>
      </c>
      <c r="I42" s="20">
        <f>SUM(I11:I41)</f>
        <v>997</v>
      </c>
      <c r="J42" s="69">
        <f>AVERAGE(J11:J41)</f>
        <v>16205.903225806451</v>
      </c>
      <c r="K42" s="32">
        <f>SUM(K11:K41)</f>
        <v>10047.660000000003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8492</v>
      </c>
      <c r="I45" s="59">
        <v>0.28000000000000003</v>
      </c>
      <c r="J45" s="48">
        <f>H45*I45</f>
        <v>2377.7600000000002</v>
      </c>
      <c r="K45" s="50">
        <f>kurs*J45</f>
        <v>278286.37267200003</v>
      </c>
    </row>
    <row r="46" spans="1:12" x14ac:dyDescent="0.25">
      <c r="E46" s="42" t="s">
        <v>54</v>
      </c>
      <c r="F46" s="43"/>
      <c r="G46" s="43"/>
      <c r="H46" s="44">
        <f>H42+I42</f>
        <v>7178</v>
      </c>
      <c r="I46" s="59">
        <v>0.2</v>
      </c>
      <c r="J46" s="48">
        <f>H46*I46</f>
        <v>1435.6000000000001</v>
      </c>
      <c r="K46" s="50">
        <f t="shared" ref="K46" si="3">kurs*J46</f>
        <v>168018.60432000001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4">H47*I47</f>
        <v>0</v>
      </c>
      <c r="K47" s="50">
        <f t="shared" ref="K47:K50" si="5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1.5</v>
      </c>
      <c r="J48" s="48">
        <f t="shared" si="4"/>
        <v>0</v>
      </c>
      <c r="K48" s="50">
        <f t="shared" ref="K48:K49" si="6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1.5</v>
      </c>
      <c r="J49" s="48">
        <f t="shared" si="4"/>
        <v>0</v>
      </c>
      <c r="K49" s="50">
        <f t="shared" si="6"/>
        <v>0</v>
      </c>
    </row>
    <row r="50" spans="3:12" x14ac:dyDescent="0.25">
      <c r="E50" s="45" t="s">
        <v>164</v>
      </c>
      <c r="F50" s="46"/>
      <c r="G50" s="46"/>
      <c r="H50" s="47">
        <f>I42</f>
        <v>997</v>
      </c>
      <c r="I50" s="60">
        <v>0.19</v>
      </c>
      <c r="J50" s="48">
        <f t="shared" si="4"/>
        <v>189.43</v>
      </c>
      <c r="K50" s="50">
        <f t="shared" si="5"/>
        <v>22170.356796</v>
      </c>
    </row>
    <row r="51" spans="3:12" x14ac:dyDescent="0.25">
      <c r="E51" s="45" t="s">
        <v>360</v>
      </c>
      <c r="F51" s="46"/>
      <c r="G51" s="46"/>
      <c r="H51" s="47">
        <v>5000</v>
      </c>
      <c r="I51" s="60">
        <v>0.12</v>
      </c>
      <c r="J51" s="48">
        <f t="shared" si="4"/>
        <v>600</v>
      </c>
      <c r="K51" s="50">
        <f>kurs*J51</f>
        <v>70222.319999999992</v>
      </c>
    </row>
    <row r="52" spans="3:12" x14ac:dyDescent="0.25">
      <c r="E52" s="45" t="s">
        <v>629</v>
      </c>
      <c r="F52" s="46"/>
      <c r="G52" s="46"/>
      <c r="H52" s="47">
        <v>541</v>
      </c>
      <c r="I52" s="60">
        <v>0.08</v>
      </c>
      <c r="J52" s="48">
        <f t="shared" si="4"/>
        <v>43.28</v>
      </c>
      <c r="K52" s="50">
        <f>kurs*J52</f>
        <v>5065.3700159999999</v>
      </c>
    </row>
    <row r="53" spans="3:12" x14ac:dyDescent="0.25">
      <c r="E53" s="45" t="s">
        <v>562</v>
      </c>
      <c r="F53" s="46"/>
      <c r="G53" s="46"/>
      <c r="H53" s="47">
        <v>0</v>
      </c>
      <c r="I53" s="60">
        <v>200</v>
      </c>
      <c r="J53" s="48">
        <f t="shared" si="4"/>
        <v>0</v>
      </c>
      <c r="K53" s="50">
        <f>kurs*J53</f>
        <v>0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10047.660000000003</v>
      </c>
      <c r="K54" s="50">
        <f>kurs*J54</f>
        <v>1175949.9929520003</v>
      </c>
      <c r="L54" s="61"/>
    </row>
    <row r="55" spans="3:12" x14ac:dyDescent="0.25">
      <c r="E55" s="22"/>
      <c r="I55" t="s">
        <v>56</v>
      </c>
      <c r="J55" s="52">
        <f>SUM(J45:J54)</f>
        <v>14693.730000000003</v>
      </c>
      <c r="K55" s="51">
        <f>SUM(K45:K54)</f>
        <v>1719713.0167560005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D0CF-1ED5-467C-A4DF-96C52F070714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014D-F082-48B5-A261-2C5FAAD1B294}">
  <dimension ref="A1:L60"/>
  <sheetViews>
    <sheetView view="pageBreakPreview" topLeftCell="A25" zoomScaleNormal="100" zoomScaleSheetLayoutView="100" workbookViewId="0">
      <selection activeCell="I27" sqref="I27"/>
    </sheetView>
  </sheetViews>
  <sheetFormatPr defaultRowHeight="13.8" x14ac:dyDescent="0.25"/>
  <cols>
    <col min="1" max="1" width="17.5" customWidth="1"/>
    <col min="2" max="2" width="34.0976562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45413</v>
      </c>
      <c r="H3" s="4"/>
      <c r="I3" s="4"/>
    </row>
    <row r="4" spans="1:11" x14ac:dyDescent="0.25">
      <c r="B4" s="2"/>
      <c r="C4" s="6"/>
      <c r="F4" s="3">
        <v>45443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117.0868</v>
      </c>
      <c r="F6" t="s">
        <v>42</v>
      </c>
      <c r="G6" s="102">
        <v>2405012888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16020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96" t="s">
        <v>0</v>
      </c>
      <c r="B11" s="100"/>
      <c r="C11" s="56"/>
      <c r="D11" s="12"/>
      <c r="E11" s="56"/>
      <c r="F11" s="12"/>
      <c r="G11" s="12"/>
      <c r="H11" s="12"/>
      <c r="I11" s="56"/>
      <c r="J11" s="82">
        <f>D10+D11+E11-H11-I11</f>
        <v>16020</v>
      </c>
      <c r="K11" s="83">
        <f>0.02*J11</f>
        <v>320.40000000000003</v>
      </c>
    </row>
    <row r="12" spans="1:11" ht="14.25" customHeight="1" x14ac:dyDescent="0.25">
      <c r="A12" s="12" t="s">
        <v>1</v>
      </c>
      <c r="B12" s="91"/>
      <c r="C12" s="89"/>
      <c r="D12" s="12"/>
      <c r="E12" s="12"/>
      <c r="F12" s="12"/>
      <c r="G12" s="12"/>
      <c r="H12" s="12"/>
      <c r="I12" s="56"/>
      <c r="J12" s="82">
        <f>J11+D12+E12-H12-I12</f>
        <v>16020</v>
      </c>
      <c r="K12" s="83">
        <f t="shared" ref="K12:K40" si="0">0.02*J12</f>
        <v>320.40000000000003</v>
      </c>
    </row>
    <row r="13" spans="1:11" ht="13.5" customHeight="1" x14ac:dyDescent="0.25">
      <c r="A13" s="12" t="s">
        <v>2</v>
      </c>
      <c r="B13" s="73"/>
      <c r="C13" s="90"/>
      <c r="D13" s="56"/>
      <c r="E13" s="56"/>
      <c r="F13" s="12"/>
      <c r="G13" s="12"/>
      <c r="H13" s="12"/>
      <c r="I13" s="56"/>
      <c r="J13" s="82">
        <f t="shared" ref="J13:J38" si="1">J12+D13+E13-H13-I13</f>
        <v>16020</v>
      </c>
      <c r="K13" s="83">
        <f t="shared" si="0"/>
        <v>320.40000000000003</v>
      </c>
    </row>
    <row r="14" spans="1:11" ht="14.4" x14ac:dyDescent="0.25">
      <c r="A14" s="12" t="s">
        <v>3</v>
      </c>
      <c r="B14" s="81"/>
      <c r="C14" s="93"/>
      <c r="D14" s="12"/>
      <c r="E14" s="12"/>
      <c r="F14" s="12"/>
      <c r="G14" s="12"/>
      <c r="H14" s="12"/>
      <c r="I14" s="56"/>
      <c r="J14" s="82">
        <f t="shared" si="1"/>
        <v>16020</v>
      </c>
      <c r="K14" s="83">
        <f t="shared" si="0"/>
        <v>320.40000000000003</v>
      </c>
    </row>
    <row r="15" spans="1:11" x14ac:dyDescent="0.25">
      <c r="A15" s="12" t="s">
        <v>4</v>
      </c>
      <c r="B15" s="95"/>
      <c r="C15" s="90"/>
      <c r="D15" s="12"/>
      <c r="E15" s="12"/>
      <c r="F15" s="12"/>
      <c r="G15" s="12"/>
      <c r="H15" s="12"/>
      <c r="I15" s="56"/>
      <c r="J15" s="82">
        <f t="shared" si="1"/>
        <v>16020</v>
      </c>
      <c r="K15" s="83">
        <f t="shared" si="0"/>
        <v>320.40000000000003</v>
      </c>
    </row>
    <row r="16" spans="1:11" x14ac:dyDescent="0.25">
      <c r="A16" s="12" t="s">
        <v>5</v>
      </c>
      <c r="B16" s="81"/>
      <c r="C16" s="92"/>
      <c r="D16" s="12"/>
      <c r="E16" s="12"/>
      <c r="F16" s="12"/>
      <c r="G16" s="12"/>
      <c r="H16" s="105"/>
      <c r="I16" s="56"/>
      <c r="J16" s="82">
        <f t="shared" si="1"/>
        <v>16020</v>
      </c>
      <c r="K16" s="83">
        <f t="shared" si="0"/>
        <v>320.40000000000003</v>
      </c>
    </row>
    <row r="17" spans="1:11" x14ac:dyDescent="0.25">
      <c r="A17" s="12" t="s">
        <v>6</v>
      </c>
      <c r="B17" s="95" t="s">
        <v>596</v>
      </c>
      <c r="C17" s="81" t="s">
        <v>597</v>
      </c>
      <c r="D17" s="12">
        <f>392+522+804</f>
        <v>1718</v>
      </c>
      <c r="E17" s="12"/>
      <c r="F17" s="81"/>
      <c r="G17" s="12"/>
      <c r="H17" s="12"/>
      <c r="I17" s="12"/>
      <c r="J17" s="82">
        <f>J16+D17+E17-H17-I17</f>
        <v>17738</v>
      </c>
      <c r="K17" s="83">
        <f t="shared" si="0"/>
        <v>354.76</v>
      </c>
    </row>
    <row r="18" spans="1:11" x14ac:dyDescent="0.25">
      <c r="A18" s="12" t="s">
        <v>7</v>
      </c>
      <c r="B18" s="81" t="s">
        <v>598</v>
      </c>
      <c r="C18" s="103"/>
      <c r="D18" s="12">
        <v>893</v>
      </c>
      <c r="E18" s="12"/>
      <c r="F18" s="12"/>
      <c r="G18" s="12"/>
      <c r="H18" s="12">
        <v>1044</v>
      </c>
      <c r="I18" s="12"/>
      <c r="J18" s="82">
        <f>J17+D18+E18-H18-I18</f>
        <v>17587</v>
      </c>
      <c r="K18" s="83">
        <f t="shared" si="0"/>
        <v>351.74</v>
      </c>
    </row>
    <row r="19" spans="1:11" ht="13.5" customHeight="1" x14ac:dyDescent="0.25">
      <c r="A19" s="12" t="s">
        <v>8</v>
      </c>
      <c r="B19" s="95" t="s">
        <v>599</v>
      </c>
      <c r="C19" s="90"/>
      <c r="D19" s="12">
        <v>605</v>
      </c>
      <c r="E19" s="12"/>
      <c r="F19" s="81"/>
      <c r="G19" s="12"/>
      <c r="H19" s="12">
        <v>1354</v>
      </c>
      <c r="I19" s="12"/>
      <c r="J19" s="82">
        <f t="shared" si="1"/>
        <v>16838</v>
      </c>
      <c r="K19" s="83">
        <f t="shared" si="0"/>
        <v>336.76</v>
      </c>
    </row>
    <row r="20" spans="1:11" x14ac:dyDescent="0.25">
      <c r="A20" s="12" t="s">
        <v>9</v>
      </c>
      <c r="B20" s="92"/>
      <c r="C20" s="90"/>
      <c r="D20" s="12"/>
      <c r="E20" s="12"/>
      <c r="F20" s="81"/>
      <c r="G20" s="12"/>
      <c r="H20" s="12">
        <v>286</v>
      </c>
      <c r="I20" s="12"/>
      <c r="J20" s="82">
        <f t="shared" si="1"/>
        <v>16552</v>
      </c>
      <c r="K20" s="83">
        <f t="shared" si="0"/>
        <v>331.04</v>
      </c>
    </row>
    <row r="21" spans="1:11" ht="14.4" x14ac:dyDescent="0.25">
      <c r="A21" s="12" t="s">
        <v>10</v>
      </c>
      <c r="B21" s="93"/>
      <c r="C21" s="90"/>
      <c r="D21" s="12"/>
      <c r="E21" s="12"/>
      <c r="F21" s="81"/>
      <c r="G21" s="12"/>
      <c r="H21" s="12"/>
      <c r="I21" s="12"/>
      <c r="J21" s="82">
        <f t="shared" si="1"/>
        <v>16552</v>
      </c>
      <c r="K21" s="83">
        <f t="shared" si="0"/>
        <v>331.04</v>
      </c>
    </row>
    <row r="22" spans="1:11" x14ac:dyDescent="0.25">
      <c r="A22" s="12" t="s">
        <v>11</v>
      </c>
      <c r="B22" s="95"/>
      <c r="C22" s="90"/>
      <c r="D22" s="12"/>
      <c r="E22" s="12"/>
      <c r="F22" s="81"/>
      <c r="G22" s="12"/>
      <c r="H22" s="12"/>
      <c r="I22" s="12"/>
      <c r="J22" s="82">
        <f t="shared" si="1"/>
        <v>16552</v>
      </c>
      <c r="K22" s="83">
        <f t="shared" si="0"/>
        <v>331.04</v>
      </c>
    </row>
    <row r="23" spans="1:11" x14ac:dyDescent="0.25">
      <c r="A23" s="12" t="s">
        <v>12</v>
      </c>
      <c r="B23" s="81" t="s">
        <v>601</v>
      </c>
      <c r="C23" s="90" t="s">
        <v>600</v>
      </c>
      <c r="D23" s="12">
        <f>650+989+303</f>
        <v>1942</v>
      </c>
      <c r="E23" s="12"/>
      <c r="F23" s="81"/>
      <c r="G23" s="81"/>
      <c r="H23" s="12"/>
      <c r="I23" s="12"/>
      <c r="J23" s="82">
        <f>J22+D23+E23-H23-I23</f>
        <v>18494</v>
      </c>
      <c r="K23" s="83">
        <f t="shared" si="0"/>
        <v>369.88</v>
      </c>
    </row>
    <row r="24" spans="1:11" x14ac:dyDescent="0.25">
      <c r="A24" s="12" t="s">
        <v>13</v>
      </c>
      <c r="B24" s="81" t="s">
        <v>602</v>
      </c>
      <c r="C24" s="90"/>
      <c r="D24" s="12">
        <v>682</v>
      </c>
      <c r="E24" s="12"/>
      <c r="F24" s="81"/>
      <c r="G24" s="12"/>
      <c r="H24" s="12">
        <v>440</v>
      </c>
      <c r="I24" s="12"/>
      <c r="J24" s="82">
        <f t="shared" si="1"/>
        <v>18736</v>
      </c>
      <c r="K24" s="83">
        <f t="shared" si="0"/>
        <v>374.72</v>
      </c>
    </row>
    <row r="25" spans="1:11" x14ac:dyDescent="0.25">
      <c r="A25" s="12" t="s">
        <v>14</v>
      </c>
      <c r="B25" s="81"/>
      <c r="C25" s="90"/>
      <c r="D25" s="12"/>
      <c r="E25" s="12"/>
      <c r="F25" s="81"/>
      <c r="G25" s="12"/>
      <c r="H25" s="12">
        <v>387</v>
      </c>
      <c r="I25" s="12">
        <v>1105</v>
      </c>
      <c r="J25" s="82">
        <f t="shared" si="1"/>
        <v>17244</v>
      </c>
      <c r="K25" s="83">
        <f t="shared" si="0"/>
        <v>344.88</v>
      </c>
    </row>
    <row r="26" spans="1:11" x14ac:dyDescent="0.25">
      <c r="A26" s="12" t="s">
        <v>15</v>
      </c>
      <c r="B26" s="92" t="s">
        <v>603</v>
      </c>
      <c r="C26" s="92"/>
      <c r="D26" s="12">
        <v>101</v>
      </c>
      <c r="E26" s="12"/>
      <c r="F26" s="81"/>
      <c r="G26" s="12"/>
      <c r="H26" s="12">
        <v>228</v>
      </c>
      <c r="I26" s="12"/>
      <c r="J26" s="82">
        <f t="shared" si="1"/>
        <v>17117</v>
      </c>
      <c r="K26" s="83">
        <f t="shared" si="0"/>
        <v>342.34000000000003</v>
      </c>
    </row>
    <row r="27" spans="1:11" x14ac:dyDescent="0.25">
      <c r="A27" s="12" t="s">
        <v>16</v>
      </c>
      <c r="B27" s="81"/>
      <c r="C27" s="90"/>
      <c r="D27" s="12"/>
      <c r="E27" s="12"/>
      <c r="F27" s="81"/>
      <c r="G27" s="12"/>
      <c r="H27" s="12">
        <v>200</v>
      </c>
      <c r="I27" s="12"/>
      <c r="J27" s="82">
        <f t="shared" si="1"/>
        <v>16917</v>
      </c>
      <c r="K27" s="83">
        <f t="shared" si="0"/>
        <v>338.34000000000003</v>
      </c>
    </row>
    <row r="28" spans="1:11" x14ac:dyDescent="0.25">
      <c r="A28" s="12" t="s">
        <v>17</v>
      </c>
      <c r="B28" s="81"/>
      <c r="C28" s="81"/>
      <c r="D28" s="12"/>
      <c r="E28" s="12"/>
      <c r="F28" s="81"/>
      <c r="G28" s="12"/>
      <c r="H28" s="12"/>
      <c r="I28" s="12"/>
      <c r="J28" s="82">
        <f t="shared" si="1"/>
        <v>16917</v>
      </c>
      <c r="K28" s="83">
        <f t="shared" si="0"/>
        <v>338.34000000000003</v>
      </c>
    </row>
    <row r="29" spans="1:11" x14ac:dyDescent="0.25">
      <c r="A29" s="12" t="s">
        <v>18</v>
      </c>
      <c r="B29" s="81"/>
      <c r="C29" s="94"/>
      <c r="D29" s="12"/>
      <c r="E29" s="12"/>
      <c r="F29" s="81"/>
      <c r="G29" s="12"/>
      <c r="H29" s="12"/>
      <c r="I29" s="12"/>
      <c r="J29" s="82">
        <f t="shared" si="1"/>
        <v>16917</v>
      </c>
      <c r="K29" s="83">
        <f t="shared" si="0"/>
        <v>338.34000000000003</v>
      </c>
    </row>
    <row r="30" spans="1:11" x14ac:dyDescent="0.25">
      <c r="A30" s="12" t="s">
        <v>19</v>
      </c>
      <c r="B30" s="104" t="s">
        <v>604</v>
      </c>
      <c r="C30" s="56"/>
      <c r="D30" s="12">
        <v>19</v>
      </c>
      <c r="E30" s="12"/>
      <c r="F30" s="81"/>
      <c r="G30" s="12"/>
      <c r="H30" s="12"/>
      <c r="I30" s="12"/>
      <c r="J30" s="82">
        <f>J29+D30+E30-H30-I30</f>
        <v>16936</v>
      </c>
      <c r="K30" s="83">
        <f t="shared" si="0"/>
        <v>338.72</v>
      </c>
    </row>
    <row r="31" spans="1:11" x14ac:dyDescent="0.25">
      <c r="A31" s="12" t="s">
        <v>20</v>
      </c>
      <c r="B31" s="104" t="s">
        <v>605</v>
      </c>
      <c r="C31" s="31"/>
      <c r="D31" s="12">
        <v>1085</v>
      </c>
      <c r="E31" s="106"/>
      <c r="F31" s="81"/>
      <c r="G31" s="12"/>
      <c r="H31" s="12">
        <v>930</v>
      </c>
      <c r="I31" s="12">
        <v>1162</v>
      </c>
      <c r="J31" s="82">
        <f t="shared" si="1"/>
        <v>15929</v>
      </c>
      <c r="K31" s="83">
        <f t="shared" si="0"/>
        <v>318.58</v>
      </c>
    </row>
    <row r="32" spans="1:11" x14ac:dyDescent="0.25">
      <c r="A32" s="12" t="s">
        <v>21</v>
      </c>
      <c r="B32" s="81"/>
      <c r="C32" s="81"/>
      <c r="D32" s="12"/>
      <c r="E32" s="12"/>
      <c r="F32" s="81"/>
      <c r="G32" s="107"/>
      <c r="H32" s="12">
        <v>594</v>
      </c>
      <c r="I32" s="12"/>
      <c r="J32" s="82">
        <f t="shared" si="1"/>
        <v>15335</v>
      </c>
      <c r="K32" s="83">
        <f t="shared" si="0"/>
        <v>306.7</v>
      </c>
    </row>
    <row r="33" spans="1:12" x14ac:dyDescent="0.25">
      <c r="A33" s="12" t="s">
        <v>22</v>
      </c>
      <c r="B33" s="104" t="s">
        <v>606</v>
      </c>
      <c r="C33" s="56" t="s">
        <v>607</v>
      </c>
      <c r="D33" s="12">
        <f>37+1</f>
        <v>38</v>
      </c>
      <c r="E33" s="12"/>
      <c r="F33" s="81"/>
      <c r="G33" s="12"/>
      <c r="H33" s="12">
        <v>831</v>
      </c>
      <c r="I33" s="12"/>
      <c r="J33" s="82">
        <f t="shared" si="1"/>
        <v>14542</v>
      </c>
      <c r="K33" s="83">
        <f t="shared" si="0"/>
        <v>290.84000000000003</v>
      </c>
    </row>
    <row r="34" spans="1:12" x14ac:dyDescent="0.25">
      <c r="A34" s="12" t="s">
        <v>23</v>
      </c>
      <c r="B34" s="104" t="s">
        <v>608</v>
      </c>
      <c r="C34" s="56"/>
      <c r="D34" s="12">
        <v>835</v>
      </c>
      <c r="E34" s="12"/>
      <c r="F34" s="81"/>
      <c r="G34" s="12"/>
      <c r="H34" s="12">
        <v>186</v>
      </c>
      <c r="I34" s="12"/>
      <c r="J34" s="82">
        <f t="shared" si="1"/>
        <v>15191</v>
      </c>
      <c r="K34" s="83">
        <f t="shared" si="0"/>
        <v>303.82</v>
      </c>
    </row>
    <row r="35" spans="1:12" x14ac:dyDescent="0.25">
      <c r="A35" s="12" t="s">
        <v>24</v>
      </c>
      <c r="B35" s="104"/>
      <c r="C35" s="56"/>
      <c r="D35" s="12"/>
      <c r="E35" s="12"/>
      <c r="F35" s="81"/>
      <c r="G35" s="12"/>
      <c r="H35" s="12"/>
      <c r="I35" s="12"/>
      <c r="J35" s="82">
        <f t="shared" si="1"/>
        <v>15191</v>
      </c>
      <c r="K35" s="83">
        <f t="shared" si="0"/>
        <v>303.82</v>
      </c>
    </row>
    <row r="36" spans="1:12" ht="13.5" customHeight="1" x14ac:dyDescent="0.25">
      <c r="A36" s="12" t="s">
        <v>25</v>
      </c>
      <c r="B36" s="81"/>
      <c r="C36" s="94"/>
      <c r="D36" s="12"/>
      <c r="E36" s="12"/>
      <c r="F36" s="12"/>
      <c r="G36" s="12"/>
      <c r="H36" s="12"/>
      <c r="I36" s="108"/>
      <c r="J36" s="82">
        <f t="shared" si="1"/>
        <v>15191</v>
      </c>
      <c r="K36" s="83">
        <f t="shared" si="0"/>
        <v>303.82</v>
      </c>
    </row>
    <row r="37" spans="1:12" x14ac:dyDescent="0.25">
      <c r="A37" s="12" t="s">
        <v>26</v>
      </c>
      <c r="B37" s="104" t="s">
        <v>610</v>
      </c>
      <c r="C37" s="104" t="s">
        <v>609</v>
      </c>
      <c r="D37" s="12">
        <f>3+17+988</f>
        <v>1008</v>
      </c>
      <c r="E37" s="12"/>
      <c r="F37" s="12"/>
      <c r="G37" s="12"/>
      <c r="H37" s="12"/>
      <c r="I37" s="12"/>
      <c r="J37" s="82">
        <f t="shared" si="1"/>
        <v>16199</v>
      </c>
      <c r="K37" s="83">
        <f t="shared" si="0"/>
        <v>323.98</v>
      </c>
    </row>
    <row r="38" spans="1:12" x14ac:dyDescent="0.25">
      <c r="A38" s="12" t="s">
        <v>27</v>
      </c>
      <c r="B38" s="104" t="s">
        <v>611</v>
      </c>
      <c r="C38" s="56"/>
      <c r="D38" s="12">
        <v>1</v>
      </c>
      <c r="E38" s="12"/>
      <c r="F38" s="12"/>
      <c r="G38" s="12"/>
      <c r="H38" s="12">
        <v>230</v>
      </c>
      <c r="I38" s="12"/>
      <c r="J38" s="82">
        <f t="shared" si="1"/>
        <v>15970</v>
      </c>
      <c r="K38" s="83">
        <f t="shared" si="0"/>
        <v>319.40000000000003</v>
      </c>
    </row>
    <row r="39" spans="1:12" x14ac:dyDescent="0.25">
      <c r="A39" s="12" t="s">
        <v>28</v>
      </c>
      <c r="B39" s="104" t="s">
        <v>612</v>
      </c>
      <c r="C39" s="56" t="s">
        <v>613</v>
      </c>
      <c r="D39" s="12">
        <f>323+876</f>
        <v>1199</v>
      </c>
      <c r="E39" s="12"/>
      <c r="F39" s="81"/>
      <c r="G39" s="12"/>
      <c r="H39" s="12">
        <v>306</v>
      </c>
      <c r="I39" s="12">
        <v>1051</v>
      </c>
      <c r="J39" s="82">
        <f>J38+D39+E39-H39-I39</f>
        <v>15812</v>
      </c>
      <c r="K39" s="83">
        <f t="shared" si="0"/>
        <v>316.24</v>
      </c>
    </row>
    <row r="40" spans="1:12" x14ac:dyDescent="0.25">
      <c r="A40" s="12" t="s">
        <v>29</v>
      </c>
      <c r="B40" s="96"/>
      <c r="C40" s="56"/>
      <c r="D40" s="12"/>
      <c r="E40" s="12"/>
      <c r="F40" s="81"/>
      <c r="G40" s="12"/>
      <c r="H40" s="12">
        <v>476</v>
      </c>
      <c r="I40" s="12"/>
      <c r="J40" s="82">
        <f t="shared" ref="J40" si="2">J39+D40+E40-H40-I40</f>
        <v>15336</v>
      </c>
      <c r="K40" s="83">
        <f t="shared" si="0"/>
        <v>306.72000000000003</v>
      </c>
    </row>
    <row r="41" spans="1:12" x14ac:dyDescent="0.25">
      <c r="A41" s="12" t="s">
        <v>30</v>
      </c>
      <c r="B41" s="96"/>
      <c r="C41" s="56"/>
      <c r="D41" s="12"/>
      <c r="E41" s="12"/>
      <c r="F41" s="81"/>
      <c r="G41" s="12"/>
      <c r="H41" s="12">
        <v>366</v>
      </c>
      <c r="I41" s="12"/>
      <c r="J41" s="82">
        <f t="shared" ref="J41" si="3">J40+D41+E41-H41-I41</f>
        <v>14970</v>
      </c>
      <c r="K41" s="83">
        <f t="shared" ref="K41" si="4">0.02*J41</f>
        <v>299.40000000000003</v>
      </c>
    </row>
    <row r="42" spans="1:12" ht="15" thickBot="1" x14ac:dyDescent="0.35">
      <c r="A42" s="168"/>
      <c r="B42" s="169"/>
      <c r="C42" s="19" t="s">
        <v>31</v>
      </c>
      <c r="D42" s="20">
        <f>SUM(D11:D41)</f>
        <v>10126</v>
      </c>
      <c r="E42" s="20">
        <f>SUM(E11:E41)</f>
        <v>0</v>
      </c>
      <c r="F42" s="21">
        <v>0</v>
      </c>
      <c r="G42" s="21"/>
      <c r="H42" s="20">
        <f>SUM(H11:H41)</f>
        <v>7858</v>
      </c>
      <c r="I42" s="20">
        <f>SUM(I11:I41)</f>
        <v>3318</v>
      </c>
      <c r="J42" s="69">
        <f>AVERAGE(J11:J41)</f>
        <v>16351.064516129032</v>
      </c>
      <c r="K42" s="32">
        <f>SUM(K11:K41)</f>
        <v>10137.66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10126</v>
      </c>
      <c r="I45" s="59">
        <v>0.28000000000000003</v>
      </c>
      <c r="J45" s="48">
        <f>H45*I45</f>
        <v>2835.28</v>
      </c>
      <c r="K45" s="50">
        <f>kurs*J45</f>
        <v>331973.86230400001</v>
      </c>
    </row>
    <row r="46" spans="1:12" x14ac:dyDescent="0.25">
      <c r="E46" s="42" t="s">
        <v>54</v>
      </c>
      <c r="F46" s="43"/>
      <c r="G46" s="43"/>
      <c r="H46" s="44">
        <f>H42+I42</f>
        <v>11176</v>
      </c>
      <c r="I46" s="59">
        <v>0.2</v>
      </c>
      <c r="J46" s="48">
        <f>H46*I46</f>
        <v>2235.2000000000003</v>
      </c>
      <c r="K46" s="50">
        <f t="shared" ref="K46" si="5">kurs*J46</f>
        <v>261712.41536000001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6">H47*I47</f>
        <v>0</v>
      </c>
      <c r="K47" s="50">
        <f t="shared" ref="K47:K50" si="7">kurs*J47</f>
        <v>0</v>
      </c>
    </row>
    <row r="48" spans="1:12" x14ac:dyDescent="0.25">
      <c r="E48" s="42" t="s">
        <v>581</v>
      </c>
      <c r="F48" s="43"/>
      <c r="G48" s="43"/>
      <c r="H48" s="44">
        <v>7</v>
      </c>
      <c r="I48" s="59">
        <v>1.5</v>
      </c>
      <c r="J48" s="48">
        <f t="shared" si="6"/>
        <v>10.5</v>
      </c>
      <c r="K48" s="50">
        <f t="shared" ref="K48:K49" si="8">kurs*J48</f>
        <v>1229.4114</v>
      </c>
    </row>
    <row r="49" spans="3:12" x14ac:dyDescent="0.25">
      <c r="E49" s="42" t="s">
        <v>582</v>
      </c>
      <c r="F49" s="43"/>
      <c r="G49" s="43"/>
      <c r="H49" s="44">
        <v>7</v>
      </c>
      <c r="I49" s="59">
        <v>1.5</v>
      </c>
      <c r="J49" s="48">
        <f t="shared" si="6"/>
        <v>10.5</v>
      </c>
      <c r="K49" s="50">
        <f t="shared" si="8"/>
        <v>1229.4114</v>
      </c>
    </row>
    <row r="50" spans="3:12" x14ac:dyDescent="0.25">
      <c r="E50" s="45" t="s">
        <v>164</v>
      </c>
      <c r="F50" s="46"/>
      <c r="G50" s="46"/>
      <c r="H50" s="47">
        <f>I42</f>
        <v>3318</v>
      </c>
      <c r="I50" s="60">
        <v>0.19</v>
      </c>
      <c r="J50" s="48">
        <f t="shared" si="6"/>
        <v>630.41999999999996</v>
      </c>
      <c r="K50" s="50">
        <f t="shared" si="7"/>
        <v>73813.860455999995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0.04</v>
      </c>
      <c r="J51" s="48">
        <f t="shared" si="6"/>
        <v>0</v>
      </c>
      <c r="K51" s="50">
        <f>kurs*J51</f>
        <v>0</v>
      </c>
    </row>
    <row r="52" spans="3:12" x14ac:dyDescent="0.25">
      <c r="E52" s="45" t="s">
        <v>418</v>
      </c>
      <c r="F52" s="46"/>
      <c r="G52" s="46"/>
      <c r="H52" s="47">
        <v>0</v>
      </c>
      <c r="I52" s="60">
        <v>0.05</v>
      </c>
      <c r="J52" s="48">
        <f t="shared" si="6"/>
        <v>0</v>
      </c>
      <c r="K52" s="50">
        <f>kurs*J52</f>
        <v>0</v>
      </c>
    </row>
    <row r="53" spans="3:12" x14ac:dyDescent="0.25">
      <c r="E53" s="45" t="s">
        <v>562</v>
      </c>
      <c r="F53" s="46"/>
      <c r="G53" s="46"/>
      <c r="H53" s="47">
        <v>0</v>
      </c>
      <c r="I53" s="60">
        <v>200</v>
      </c>
      <c r="J53" s="48">
        <f t="shared" si="6"/>
        <v>0</v>
      </c>
      <c r="K53" s="50">
        <f>kurs*J53</f>
        <v>0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10137.66</v>
      </c>
      <c r="K54" s="50">
        <f>kurs*J54</f>
        <v>1186986.1688879998</v>
      </c>
      <c r="L54" s="61"/>
    </row>
    <row r="55" spans="3:12" x14ac:dyDescent="0.25">
      <c r="E55" s="22"/>
      <c r="I55" t="s">
        <v>56</v>
      </c>
      <c r="J55" s="52">
        <f>SUM(J45:J54)</f>
        <v>15859.560000000001</v>
      </c>
      <c r="K55" s="51">
        <f>SUM(K45:K54)</f>
        <v>1856945.1298079998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7B25-1FDC-4CDB-9D94-B5B1C1B56495}">
  <dimension ref="A1:L60"/>
  <sheetViews>
    <sheetView view="pageBreakPreview" topLeftCell="A16" zoomScaleNormal="100" zoomScaleSheetLayoutView="100" workbookViewId="0">
      <selection activeCell="D18" sqref="D18"/>
    </sheetView>
  </sheetViews>
  <sheetFormatPr defaultRowHeight="13.8" x14ac:dyDescent="0.25"/>
  <cols>
    <col min="1" max="1" width="17.5" customWidth="1"/>
    <col min="2" max="2" width="29.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45383</v>
      </c>
      <c r="H3" s="4"/>
      <c r="I3" s="4"/>
    </row>
    <row r="4" spans="1:11" x14ac:dyDescent="0.25">
      <c r="B4" s="2"/>
      <c r="C4" s="6"/>
      <c r="F4" s="3">
        <v>45412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117.1207</v>
      </c>
      <c r="F6" t="s">
        <v>42</v>
      </c>
      <c r="G6" s="102">
        <v>2404010582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13831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00" t="s">
        <v>589</v>
      </c>
      <c r="C11" s="56" t="s">
        <v>583</v>
      </c>
      <c r="D11" s="12">
        <f>499+265+966</f>
        <v>1730</v>
      </c>
      <c r="E11" s="56"/>
      <c r="F11" s="12"/>
      <c r="G11" s="12"/>
      <c r="H11" s="12"/>
      <c r="I11" s="65"/>
      <c r="J11" s="39">
        <f>D10+D11+E11-H11-I11</f>
        <v>15561</v>
      </c>
      <c r="K11" s="41">
        <f>0.02*J11</f>
        <v>311.22000000000003</v>
      </c>
    </row>
    <row r="12" spans="1:11" ht="14.25" customHeight="1" x14ac:dyDescent="0.25">
      <c r="A12" s="15" t="s">
        <v>1</v>
      </c>
      <c r="B12" s="91" t="s">
        <v>584</v>
      </c>
      <c r="C12" s="89"/>
      <c r="D12" s="12">
        <v>14</v>
      </c>
      <c r="E12" s="12"/>
      <c r="F12" s="12"/>
      <c r="G12" s="12"/>
      <c r="H12" s="12">
        <v>61</v>
      </c>
      <c r="I12" s="65"/>
      <c r="J12" s="39">
        <f>J11+D12+E12-H12-I12</f>
        <v>15514</v>
      </c>
      <c r="K12" s="41">
        <f t="shared" ref="K12:K40" si="0">0.02*J12</f>
        <v>310.28000000000003</v>
      </c>
    </row>
    <row r="13" spans="1:11" ht="13.5" customHeight="1" x14ac:dyDescent="0.25">
      <c r="A13" s="63" t="s">
        <v>2</v>
      </c>
      <c r="B13" s="73" t="s">
        <v>590</v>
      </c>
      <c r="C13" s="90" t="s">
        <v>591</v>
      </c>
      <c r="D13" s="56">
        <f>248+1151+3+2</f>
        <v>1404</v>
      </c>
      <c r="E13" s="56"/>
      <c r="F13" s="12"/>
      <c r="G13" s="12"/>
      <c r="H13" s="12">
        <v>169</v>
      </c>
      <c r="I13" s="65"/>
      <c r="J13" s="39">
        <f t="shared" ref="J13:J38" si="1">J12+D13+E13-H13-I13</f>
        <v>16749</v>
      </c>
      <c r="K13" s="41">
        <f t="shared" si="0"/>
        <v>334.98</v>
      </c>
    </row>
    <row r="14" spans="1:11" ht="14.4" x14ac:dyDescent="0.25">
      <c r="A14" s="63" t="s">
        <v>3</v>
      </c>
      <c r="B14" s="81"/>
      <c r="C14" s="93"/>
      <c r="D14" s="12"/>
      <c r="E14" s="12"/>
      <c r="F14" s="12"/>
      <c r="G14" s="12"/>
      <c r="H14" s="12">
        <v>147</v>
      </c>
      <c r="I14" s="65"/>
      <c r="J14" s="39">
        <f t="shared" si="1"/>
        <v>16602</v>
      </c>
      <c r="K14" s="41">
        <f t="shared" si="0"/>
        <v>332.04</v>
      </c>
    </row>
    <row r="15" spans="1:11" x14ac:dyDescent="0.25">
      <c r="A15" s="15" t="s">
        <v>4</v>
      </c>
      <c r="B15" s="95"/>
      <c r="C15" s="90"/>
      <c r="D15" s="12"/>
      <c r="E15" s="12"/>
      <c r="F15" s="12"/>
      <c r="G15" s="12"/>
      <c r="H15" s="12">
        <v>136</v>
      </c>
      <c r="I15" s="65"/>
      <c r="J15" s="39">
        <f t="shared" si="1"/>
        <v>16466</v>
      </c>
      <c r="K15" s="41">
        <f t="shared" si="0"/>
        <v>329.32</v>
      </c>
    </row>
    <row r="16" spans="1:11" x14ac:dyDescent="0.25">
      <c r="A16" s="15" t="s">
        <v>5</v>
      </c>
      <c r="C16" s="92"/>
      <c r="D16" s="12"/>
      <c r="E16" s="12"/>
      <c r="F16" s="12"/>
      <c r="G16" s="12"/>
      <c r="H16" s="80"/>
      <c r="I16" s="65"/>
      <c r="J16" s="39">
        <f t="shared" si="1"/>
        <v>16466</v>
      </c>
      <c r="K16" s="41">
        <f t="shared" si="0"/>
        <v>329.32</v>
      </c>
    </row>
    <row r="17" spans="1:11" x14ac:dyDescent="0.25">
      <c r="A17" s="15" t="s">
        <v>6</v>
      </c>
      <c r="B17" s="81"/>
      <c r="C17" s="90"/>
      <c r="D17" s="12"/>
      <c r="E17" s="12"/>
      <c r="F17" s="81"/>
      <c r="G17" s="12"/>
      <c r="H17" s="12"/>
      <c r="I17" s="66"/>
      <c r="J17" s="39">
        <f t="shared" si="1"/>
        <v>16466</v>
      </c>
      <c r="K17" s="41">
        <f t="shared" si="0"/>
        <v>329.32</v>
      </c>
    </row>
    <row r="18" spans="1:11" x14ac:dyDescent="0.25">
      <c r="A18" s="15" t="s">
        <v>7</v>
      </c>
      <c r="B18" s="95" t="s">
        <v>592</v>
      </c>
      <c r="C18" t="s">
        <v>594</v>
      </c>
      <c r="D18" s="12">
        <f>561+425+807+212</f>
        <v>2005</v>
      </c>
      <c r="E18" s="12"/>
      <c r="F18" s="12"/>
      <c r="G18" s="12"/>
      <c r="H18" s="12"/>
      <c r="I18" s="66"/>
      <c r="J18" s="39">
        <f t="shared" si="1"/>
        <v>18471</v>
      </c>
      <c r="K18" s="41">
        <f t="shared" si="0"/>
        <v>369.42</v>
      </c>
    </row>
    <row r="19" spans="1:11" ht="13.5" customHeight="1" x14ac:dyDescent="0.25">
      <c r="A19" s="15" t="s">
        <v>8</v>
      </c>
      <c r="B19" s="95"/>
      <c r="C19" s="90" t="s">
        <v>595</v>
      </c>
      <c r="D19" s="12">
        <v>204</v>
      </c>
      <c r="E19" s="12"/>
      <c r="F19" s="81"/>
      <c r="G19" s="12"/>
      <c r="H19" s="12">
        <v>167</v>
      </c>
      <c r="I19" s="66"/>
      <c r="J19" s="39">
        <f t="shared" si="1"/>
        <v>18508</v>
      </c>
      <c r="K19" s="41">
        <f t="shared" si="0"/>
        <v>370.16</v>
      </c>
    </row>
    <row r="20" spans="1:11" x14ac:dyDescent="0.25">
      <c r="A20" s="15" t="s">
        <v>9</v>
      </c>
      <c r="B20" s="92"/>
      <c r="C20" s="90" t="s">
        <v>595</v>
      </c>
      <c r="D20" s="12">
        <v>258</v>
      </c>
      <c r="E20" s="12"/>
      <c r="F20" s="81"/>
      <c r="G20" s="12"/>
      <c r="H20" s="12">
        <v>324</v>
      </c>
      <c r="I20" s="66"/>
      <c r="J20" s="39">
        <f t="shared" si="1"/>
        <v>18442</v>
      </c>
      <c r="K20" s="41">
        <f t="shared" si="0"/>
        <v>368.84000000000003</v>
      </c>
    </row>
    <row r="21" spans="1:11" ht="14.4" x14ac:dyDescent="0.25">
      <c r="A21" s="15" t="s">
        <v>10</v>
      </c>
      <c r="B21" s="93"/>
      <c r="C21" s="90" t="s">
        <v>595</v>
      </c>
      <c r="D21" s="12">
        <v>167</v>
      </c>
      <c r="E21" s="12"/>
      <c r="F21" s="81"/>
      <c r="G21" s="12"/>
      <c r="H21" s="12">
        <v>167</v>
      </c>
      <c r="I21" s="66"/>
      <c r="J21" s="39">
        <f t="shared" si="1"/>
        <v>18442</v>
      </c>
      <c r="K21" s="41">
        <f t="shared" si="0"/>
        <v>368.84000000000003</v>
      </c>
    </row>
    <row r="22" spans="1:11" x14ac:dyDescent="0.25">
      <c r="A22" s="15" t="s">
        <v>11</v>
      </c>
      <c r="B22" s="95"/>
      <c r="C22" s="90" t="s">
        <v>595</v>
      </c>
      <c r="D22" s="12">
        <v>142</v>
      </c>
      <c r="E22" s="12"/>
      <c r="F22" s="81"/>
      <c r="G22" s="12"/>
      <c r="H22" s="12">
        <v>125</v>
      </c>
      <c r="I22" s="66"/>
      <c r="J22" s="39">
        <f t="shared" si="1"/>
        <v>18459</v>
      </c>
      <c r="K22" s="41">
        <f t="shared" si="0"/>
        <v>369.18</v>
      </c>
    </row>
    <row r="23" spans="1:11" x14ac:dyDescent="0.25">
      <c r="A23" s="15" t="s">
        <v>12</v>
      </c>
      <c r="B23" s="81"/>
      <c r="C23" s="90"/>
      <c r="D23" s="12"/>
      <c r="E23" s="12"/>
      <c r="F23" s="81"/>
      <c r="G23" s="81"/>
      <c r="H23" s="12"/>
      <c r="I23" s="66"/>
      <c r="J23" s="39">
        <f>J22+D23+E23-H23-I23</f>
        <v>18459</v>
      </c>
      <c r="K23" s="41">
        <f t="shared" si="0"/>
        <v>369.18</v>
      </c>
    </row>
    <row r="24" spans="1:11" x14ac:dyDescent="0.25">
      <c r="A24" s="63" t="s">
        <v>13</v>
      </c>
      <c r="B24" s="81"/>
      <c r="C24" s="90"/>
      <c r="D24" s="12"/>
      <c r="E24" s="12"/>
      <c r="F24" s="81"/>
      <c r="G24" s="12"/>
      <c r="H24" s="12"/>
      <c r="I24" s="66"/>
      <c r="J24" s="39">
        <f t="shared" si="1"/>
        <v>18459</v>
      </c>
      <c r="K24" s="41">
        <f t="shared" si="0"/>
        <v>369.18</v>
      </c>
    </row>
    <row r="25" spans="1:11" x14ac:dyDescent="0.25">
      <c r="A25" s="63" t="s">
        <v>14</v>
      </c>
      <c r="B25" s="81" t="s">
        <v>585</v>
      </c>
      <c r="C25" s="90"/>
      <c r="D25" s="12">
        <v>50</v>
      </c>
      <c r="E25" s="12"/>
      <c r="F25" s="81"/>
      <c r="G25" s="12"/>
      <c r="H25" s="12"/>
      <c r="I25" s="66"/>
      <c r="J25" s="39">
        <f t="shared" si="1"/>
        <v>18509</v>
      </c>
      <c r="K25" s="41">
        <f t="shared" si="0"/>
        <v>370.18</v>
      </c>
    </row>
    <row r="26" spans="1:11" x14ac:dyDescent="0.25">
      <c r="A26" s="15" t="s">
        <v>15</v>
      </c>
      <c r="B26" s="92"/>
      <c r="C26" s="92"/>
      <c r="D26" s="12"/>
      <c r="E26" s="12"/>
      <c r="F26" s="81"/>
      <c r="G26" s="12"/>
      <c r="H26" s="12"/>
      <c r="I26" s="66"/>
      <c r="J26" s="39">
        <f t="shared" si="1"/>
        <v>18509</v>
      </c>
      <c r="K26" s="41">
        <f t="shared" si="0"/>
        <v>370.18</v>
      </c>
    </row>
    <row r="27" spans="1:11" x14ac:dyDescent="0.25">
      <c r="A27" s="15" t="s">
        <v>16</v>
      </c>
      <c r="B27" t="s">
        <v>586</v>
      </c>
      <c r="C27" s="90"/>
      <c r="D27" s="12">
        <v>17</v>
      </c>
      <c r="E27" s="12"/>
      <c r="F27" s="81"/>
      <c r="G27" s="12"/>
      <c r="H27" s="12"/>
      <c r="I27" s="66"/>
      <c r="J27" s="39">
        <f t="shared" si="1"/>
        <v>18526</v>
      </c>
      <c r="K27" s="41">
        <f t="shared" si="0"/>
        <v>370.52</v>
      </c>
    </row>
    <row r="28" spans="1:11" x14ac:dyDescent="0.25">
      <c r="A28" s="15" t="s">
        <v>17</v>
      </c>
      <c r="C28"/>
      <c r="D28" s="12"/>
      <c r="E28" s="35"/>
      <c r="F28" s="18"/>
      <c r="G28" s="12"/>
      <c r="H28" s="12"/>
      <c r="I28" s="66"/>
      <c r="J28" s="39">
        <f t="shared" si="1"/>
        <v>18526</v>
      </c>
      <c r="K28" s="41">
        <f t="shared" si="0"/>
        <v>370.52</v>
      </c>
    </row>
    <row r="29" spans="1:11" x14ac:dyDescent="0.25">
      <c r="A29" s="15" t="s">
        <v>18</v>
      </c>
      <c r="B29" t="s">
        <v>587</v>
      </c>
      <c r="C29" s="94"/>
      <c r="D29" s="12">
        <v>850</v>
      </c>
      <c r="E29" s="35"/>
      <c r="F29" s="18"/>
      <c r="G29" s="12"/>
      <c r="H29" s="12">
        <f>561+425</f>
        <v>986</v>
      </c>
      <c r="I29" s="66"/>
      <c r="J29" s="39">
        <f t="shared" si="1"/>
        <v>18390</v>
      </c>
      <c r="K29" s="41">
        <f t="shared" si="0"/>
        <v>367.8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>J29+D30+E30-H30-I30</f>
        <v>18390</v>
      </c>
      <c r="K30" s="41">
        <f t="shared" si="0"/>
        <v>367.8</v>
      </c>
    </row>
    <row r="31" spans="1:11" x14ac:dyDescent="0.25">
      <c r="A31" s="15" t="s">
        <v>20</v>
      </c>
      <c r="B31" s="17"/>
      <c r="C31" s="11"/>
      <c r="D31" s="12"/>
      <c r="E31" s="64"/>
      <c r="F31" s="18"/>
      <c r="G31" s="12"/>
      <c r="H31" s="12"/>
      <c r="I31" s="66"/>
      <c r="J31" s="39">
        <f t="shared" si="1"/>
        <v>18390</v>
      </c>
      <c r="K31" s="41">
        <f t="shared" si="0"/>
        <v>367.8</v>
      </c>
    </row>
    <row r="32" spans="1:11" x14ac:dyDescent="0.25">
      <c r="A32" s="15" t="s">
        <v>21</v>
      </c>
      <c r="B32" t="s">
        <v>588</v>
      </c>
      <c r="C32" t="s">
        <v>593</v>
      </c>
      <c r="D32" s="12">
        <f>832+946+3</f>
        <v>1781</v>
      </c>
      <c r="E32" s="35"/>
      <c r="F32" s="18"/>
      <c r="G32" s="75"/>
      <c r="H32" s="12"/>
      <c r="I32" s="66"/>
      <c r="J32" s="39">
        <f t="shared" si="1"/>
        <v>20171</v>
      </c>
      <c r="K32" s="41">
        <f t="shared" si="0"/>
        <v>403.42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1"/>
        <v>20171</v>
      </c>
      <c r="K33" s="41">
        <f t="shared" si="0"/>
        <v>403.42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1"/>
        <v>20171</v>
      </c>
      <c r="K34" s="41">
        <f t="shared" si="0"/>
        <v>403.42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/>
      <c r="I35" s="66"/>
      <c r="J35" s="39">
        <f t="shared" si="1"/>
        <v>20171</v>
      </c>
      <c r="K35" s="41">
        <f t="shared" si="0"/>
        <v>403.42</v>
      </c>
    </row>
    <row r="36" spans="1:12" ht="13.5" customHeight="1" x14ac:dyDescent="0.25">
      <c r="A36" s="15" t="s">
        <v>25</v>
      </c>
      <c r="B36" s="81"/>
      <c r="C36" s="94"/>
      <c r="D36" s="12"/>
      <c r="E36" s="35"/>
      <c r="F36" s="14"/>
      <c r="G36" s="14"/>
      <c r="H36" s="12">
        <v>2307</v>
      </c>
      <c r="I36" s="67"/>
      <c r="J36" s="39">
        <f t="shared" si="1"/>
        <v>17864</v>
      </c>
      <c r="K36" s="41">
        <f t="shared" si="0"/>
        <v>357.28000000000003</v>
      </c>
    </row>
    <row r="37" spans="1:12" x14ac:dyDescent="0.25">
      <c r="A37" s="15" t="s">
        <v>26</v>
      </c>
      <c r="B37" s="17"/>
      <c r="C37" s="17"/>
      <c r="D37" s="12"/>
      <c r="E37" s="35"/>
      <c r="F37" s="14"/>
      <c r="G37" s="12"/>
      <c r="H37" s="12"/>
      <c r="I37" s="66"/>
      <c r="J37" s="39">
        <f t="shared" si="1"/>
        <v>17864</v>
      </c>
      <c r="K37" s="41">
        <f t="shared" si="0"/>
        <v>357.28000000000003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/>
      <c r="I38" s="66"/>
      <c r="J38" s="39">
        <f t="shared" si="1"/>
        <v>17864</v>
      </c>
      <c r="K38" s="41">
        <f t="shared" si="0"/>
        <v>357.28000000000003</v>
      </c>
    </row>
    <row r="39" spans="1:12" x14ac:dyDescent="0.25">
      <c r="A39" s="15" t="s">
        <v>28</v>
      </c>
      <c r="B39" s="17"/>
      <c r="C39" s="56"/>
      <c r="D39" s="12"/>
      <c r="E39" s="35"/>
      <c r="F39" s="18"/>
      <c r="G39" s="12"/>
      <c r="H39" s="12">
        <v>797</v>
      </c>
      <c r="I39" s="66"/>
      <c r="J39" s="39">
        <f>J38+D39+E39-H39-I39</f>
        <v>17067</v>
      </c>
      <c r="K39" s="41">
        <f t="shared" si="0"/>
        <v>341.34000000000003</v>
      </c>
    </row>
    <row r="40" spans="1:12" x14ac:dyDescent="0.25">
      <c r="A40" s="12" t="s">
        <v>29</v>
      </c>
      <c r="B40" s="96"/>
      <c r="C40" s="56"/>
      <c r="D40" s="12"/>
      <c r="E40" s="12"/>
      <c r="F40" s="81"/>
      <c r="G40" s="12"/>
      <c r="H40" s="12">
        <v>1047</v>
      </c>
      <c r="I40" s="12"/>
      <c r="J40" s="39">
        <f t="shared" ref="J40" si="2">J39+D40+E40-H40-I40</f>
        <v>16020</v>
      </c>
      <c r="K40" s="41">
        <f t="shared" si="0"/>
        <v>320.40000000000003</v>
      </c>
    </row>
    <row r="41" spans="1:12" x14ac:dyDescent="0.25">
      <c r="A41" s="12" t="s">
        <v>30</v>
      </c>
      <c r="B41" s="96"/>
      <c r="C41" s="56"/>
      <c r="D41" s="12"/>
      <c r="E41" s="12"/>
      <c r="F41" s="81"/>
      <c r="G41" s="12"/>
      <c r="H41" s="12"/>
      <c r="I41" s="12"/>
      <c r="J41" s="39"/>
      <c r="K41" s="41"/>
    </row>
    <row r="42" spans="1:12" ht="15" thickBot="1" x14ac:dyDescent="0.35">
      <c r="A42" s="168"/>
      <c r="B42" s="169"/>
      <c r="C42" s="19" t="s">
        <v>31</v>
      </c>
      <c r="D42" s="20">
        <f>SUM(D11:D41)</f>
        <v>8622</v>
      </c>
      <c r="E42" s="20">
        <f>SUM(E11:E41)</f>
        <v>0</v>
      </c>
      <c r="F42" s="21">
        <v>0</v>
      </c>
      <c r="G42" s="21"/>
      <c r="H42" s="20">
        <f>SUM(H11:H41)</f>
        <v>6433</v>
      </c>
      <c r="I42" s="20">
        <f>SUM(I11:I41)</f>
        <v>0</v>
      </c>
      <c r="J42" s="69">
        <f>AVERAGE(J11:J41)</f>
        <v>17988.900000000001</v>
      </c>
      <c r="K42" s="32">
        <f>SUM(K11:K41)</f>
        <v>10793.340000000004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8622</v>
      </c>
      <c r="I45" s="59">
        <v>0.28000000000000003</v>
      </c>
      <c r="J45" s="48">
        <f>H45*I45</f>
        <v>2414.1600000000003</v>
      </c>
      <c r="K45" s="50">
        <f>kurs*J45</f>
        <v>282748.10911200003</v>
      </c>
    </row>
    <row r="46" spans="1:12" x14ac:dyDescent="0.25">
      <c r="E46" s="42" t="s">
        <v>54</v>
      </c>
      <c r="F46" s="43"/>
      <c r="G46" s="43"/>
      <c r="H46" s="44">
        <f>H42+I42</f>
        <v>6433</v>
      </c>
      <c r="I46" s="59">
        <v>0.2</v>
      </c>
      <c r="J46" s="48">
        <f>H46*I46</f>
        <v>1286.6000000000001</v>
      </c>
      <c r="K46" s="50">
        <f t="shared" ref="K46" si="3">kurs*J46</f>
        <v>150687.49262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4">H47*I47</f>
        <v>0</v>
      </c>
      <c r="K47" s="50">
        <f t="shared" ref="K47:K50" si="5">kurs*J47</f>
        <v>0</v>
      </c>
    </row>
    <row r="48" spans="1:12" x14ac:dyDescent="0.25">
      <c r="E48" s="42" t="s">
        <v>581</v>
      </c>
      <c r="F48" s="43"/>
      <c r="G48" s="43"/>
      <c r="H48" s="44">
        <v>7</v>
      </c>
      <c r="I48" s="59">
        <v>1.5</v>
      </c>
      <c r="J48" s="48">
        <f t="shared" si="4"/>
        <v>10.5</v>
      </c>
      <c r="K48" s="50">
        <f t="shared" ref="K48:K49" si="6">kurs*J48</f>
        <v>1229.7673500000001</v>
      </c>
    </row>
    <row r="49" spans="3:12" x14ac:dyDescent="0.25">
      <c r="E49" s="42" t="s">
        <v>582</v>
      </c>
      <c r="F49" s="43"/>
      <c r="G49" s="43"/>
      <c r="H49" s="44">
        <v>7</v>
      </c>
      <c r="I49" s="59">
        <v>1.5</v>
      </c>
      <c r="J49" s="48">
        <f t="shared" si="4"/>
        <v>10.5</v>
      </c>
      <c r="K49" s="50">
        <f t="shared" si="6"/>
        <v>1229.7673500000001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0.19</v>
      </c>
      <c r="J50" s="48">
        <f t="shared" si="4"/>
        <v>0</v>
      </c>
      <c r="K50" s="50">
        <f t="shared" si="5"/>
        <v>0</v>
      </c>
    </row>
    <row r="51" spans="3:12" x14ac:dyDescent="0.25">
      <c r="E51" s="45" t="s">
        <v>360</v>
      </c>
      <c r="F51" s="46"/>
      <c r="G51" s="46"/>
      <c r="H51" s="47">
        <v>12606</v>
      </c>
      <c r="I51" s="60">
        <v>0.04</v>
      </c>
      <c r="J51" s="48">
        <f t="shared" si="4"/>
        <v>504.24</v>
      </c>
      <c r="K51" s="50">
        <f>kurs*J51</f>
        <v>59056.941768000004</v>
      </c>
    </row>
    <row r="52" spans="3:12" x14ac:dyDescent="0.25">
      <c r="E52" s="45" t="s">
        <v>418</v>
      </c>
      <c r="F52" s="46"/>
      <c r="G52" s="46"/>
      <c r="H52" s="47">
        <v>0</v>
      </c>
      <c r="I52" s="60">
        <v>0.05</v>
      </c>
      <c r="J52" s="48">
        <f t="shared" si="4"/>
        <v>0</v>
      </c>
      <c r="K52" s="50">
        <f>kurs*J52</f>
        <v>0</v>
      </c>
    </row>
    <row r="53" spans="3:12" x14ac:dyDescent="0.25">
      <c r="E53" s="45" t="s">
        <v>562</v>
      </c>
      <c r="F53" s="46"/>
      <c r="G53" s="46"/>
      <c r="H53" s="47">
        <v>0</v>
      </c>
      <c r="I53" s="60">
        <v>200</v>
      </c>
      <c r="J53" s="48">
        <f t="shared" si="4"/>
        <v>0</v>
      </c>
      <c r="K53" s="50">
        <f>kurs*J53</f>
        <v>0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10793.340000000004</v>
      </c>
      <c r="K54" s="50">
        <f>kurs*J54</f>
        <v>1264123.5361380004</v>
      </c>
      <c r="L54" s="61"/>
    </row>
    <row r="55" spans="3:12" x14ac:dyDescent="0.25">
      <c r="E55" s="22"/>
      <c r="I55" t="s">
        <v>56</v>
      </c>
      <c r="J55" s="52">
        <f>SUM(J45:J54)</f>
        <v>15019.340000000004</v>
      </c>
      <c r="K55" s="51">
        <f>SUM(K45:K54)</f>
        <v>1759075.6143380003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8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5A83-F93A-42F5-841E-C17A428C3653}">
  <dimension ref="A1:L60"/>
  <sheetViews>
    <sheetView view="pageBreakPreview" zoomScaleNormal="100" zoomScaleSheetLayoutView="100" workbookViewId="0">
      <selection activeCell="D36" sqref="D36"/>
    </sheetView>
  </sheetViews>
  <sheetFormatPr defaultRowHeight="13.8" x14ac:dyDescent="0.25"/>
  <cols>
    <col min="1" max="1" width="17.5" customWidth="1"/>
    <col min="2" max="2" width="29.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45352</v>
      </c>
      <c r="H3" s="4"/>
      <c r="I3" s="4"/>
    </row>
    <row r="4" spans="1:11" x14ac:dyDescent="0.25">
      <c r="B4" s="2"/>
      <c r="C4" s="6"/>
      <c r="F4" s="3">
        <v>45382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117.1397</v>
      </c>
      <c r="F6" t="s">
        <v>42</v>
      </c>
      <c r="G6" s="99" t="s">
        <v>563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13467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31" t="s">
        <v>564</v>
      </c>
      <c r="C11" s="56"/>
      <c r="D11" s="12">
        <v>12</v>
      </c>
      <c r="E11" s="56"/>
      <c r="F11" s="12"/>
      <c r="G11" s="12"/>
      <c r="H11" s="12"/>
      <c r="I11" s="65"/>
      <c r="J11" s="39">
        <f>D10+D11+E11-H11-I11</f>
        <v>13479</v>
      </c>
      <c r="K11" s="41">
        <f>0.02*J11</f>
        <v>269.58</v>
      </c>
    </row>
    <row r="12" spans="1:11" ht="14.25" customHeight="1" x14ac:dyDescent="0.25">
      <c r="A12" s="15" t="s">
        <v>1</v>
      </c>
      <c r="B12" s="95"/>
      <c r="C12" s="89"/>
      <c r="D12" s="12"/>
      <c r="E12" s="12"/>
      <c r="F12" s="12"/>
      <c r="G12" s="12"/>
      <c r="H12" s="12"/>
      <c r="I12" s="65"/>
      <c r="J12" s="39">
        <f>J11+D12+E12-H12-I12</f>
        <v>13479</v>
      </c>
      <c r="K12" s="41">
        <f t="shared" ref="K12:K39" si="0">0.02*J12</f>
        <v>269.58</v>
      </c>
    </row>
    <row r="13" spans="1:11" ht="13.5" customHeight="1" x14ac:dyDescent="0.25">
      <c r="A13" s="15" t="s">
        <v>2</v>
      </c>
      <c r="B13" s="95"/>
      <c r="C13" s="90"/>
      <c r="D13" s="56"/>
      <c r="E13" s="56"/>
      <c r="F13" s="12"/>
      <c r="G13" s="12"/>
      <c r="H13" s="12"/>
      <c r="I13" s="65"/>
      <c r="J13" s="39">
        <f t="shared" ref="J13:J38" si="1">J12+D13+E13-H13-I13</f>
        <v>13479</v>
      </c>
      <c r="K13" s="41">
        <f t="shared" si="0"/>
        <v>269.58</v>
      </c>
    </row>
    <row r="14" spans="1:11" ht="14.4" x14ac:dyDescent="0.25">
      <c r="A14" s="15" t="s">
        <v>3</v>
      </c>
      <c r="B14" t="s">
        <v>565</v>
      </c>
      <c r="C14" s="93"/>
      <c r="D14" s="12">
        <v>852</v>
      </c>
      <c r="E14" s="12"/>
      <c r="F14" s="12"/>
      <c r="G14" s="12"/>
      <c r="H14" s="12"/>
      <c r="I14" s="65"/>
      <c r="J14" s="39">
        <f t="shared" si="1"/>
        <v>14331</v>
      </c>
      <c r="K14" s="41">
        <f t="shared" si="0"/>
        <v>286.62</v>
      </c>
    </row>
    <row r="15" spans="1:11" x14ac:dyDescent="0.25">
      <c r="A15" s="15" t="s">
        <v>4</v>
      </c>
      <c r="B15" s="95"/>
      <c r="C15" s="90"/>
      <c r="D15" s="12"/>
      <c r="E15" s="12"/>
      <c r="F15" s="12"/>
      <c r="G15" s="12"/>
      <c r="H15" s="12">
        <v>237</v>
      </c>
      <c r="I15" s="65"/>
      <c r="J15" s="39">
        <f t="shared" si="1"/>
        <v>14094</v>
      </c>
      <c r="K15" s="41">
        <f t="shared" si="0"/>
        <v>281.88</v>
      </c>
    </row>
    <row r="16" spans="1:11" x14ac:dyDescent="0.25">
      <c r="A16" s="15" t="s">
        <v>5</v>
      </c>
      <c r="B16" t="s">
        <v>566</v>
      </c>
      <c r="C16" s="92"/>
      <c r="D16" s="12">
        <v>13</v>
      </c>
      <c r="E16" s="12"/>
      <c r="F16" s="12"/>
      <c r="G16" s="12"/>
      <c r="H16" s="80">
        <v>539</v>
      </c>
      <c r="I16" s="65"/>
      <c r="J16" s="39">
        <f t="shared" si="1"/>
        <v>13568</v>
      </c>
      <c r="K16" s="41">
        <f t="shared" si="0"/>
        <v>271.36</v>
      </c>
    </row>
    <row r="17" spans="1:11" x14ac:dyDescent="0.25">
      <c r="A17" s="15" t="s">
        <v>6</v>
      </c>
      <c r="B17" s="81"/>
      <c r="C17" s="90"/>
      <c r="D17" s="12"/>
      <c r="E17" s="12"/>
      <c r="F17" s="81"/>
      <c r="G17" s="12"/>
      <c r="H17" s="12">
        <v>330</v>
      </c>
      <c r="I17" s="66"/>
      <c r="J17" s="39">
        <f t="shared" si="1"/>
        <v>13238</v>
      </c>
      <c r="K17" s="41">
        <f t="shared" si="0"/>
        <v>264.76</v>
      </c>
    </row>
    <row r="18" spans="1:11" x14ac:dyDescent="0.25">
      <c r="A18" s="15" t="s">
        <v>7</v>
      </c>
      <c r="B18" s="95" t="s">
        <v>567</v>
      </c>
      <c r="C18" t="s">
        <v>568</v>
      </c>
      <c r="D18" s="12">
        <f>3+328+268</f>
        <v>599</v>
      </c>
      <c r="E18" s="12"/>
      <c r="F18" s="12"/>
      <c r="G18" s="12"/>
      <c r="H18" s="12">
        <v>168</v>
      </c>
      <c r="I18" s="66"/>
      <c r="J18" s="39">
        <f t="shared" si="1"/>
        <v>13669</v>
      </c>
      <c r="K18" s="41">
        <f t="shared" si="0"/>
        <v>273.38</v>
      </c>
    </row>
    <row r="19" spans="1:11" ht="13.5" customHeight="1" x14ac:dyDescent="0.25">
      <c r="A19" s="15" t="s">
        <v>8</v>
      </c>
      <c r="B19" s="95"/>
      <c r="C19" s="90"/>
      <c r="D19" s="12"/>
      <c r="E19" s="12"/>
      <c r="F19" s="81"/>
      <c r="G19" s="12"/>
      <c r="H19" s="12"/>
      <c r="I19" s="66"/>
      <c r="J19" s="39">
        <f t="shared" si="1"/>
        <v>13669</v>
      </c>
      <c r="K19" s="41">
        <f t="shared" si="0"/>
        <v>273.38</v>
      </c>
    </row>
    <row r="20" spans="1:11" x14ac:dyDescent="0.25">
      <c r="A20" s="15" t="s">
        <v>9</v>
      </c>
      <c r="B20" s="92"/>
      <c r="C20" s="90"/>
      <c r="D20" s="12"/>
      <c r="E20" s="12"/>
      <c r="F20" s="81"/>
      <c r="G20" s="12"/>
      <c r="H20" s="12"/>
      <c r="I20" s="66"/>
      <c r="J20" s="39">
        <f t="shared" si="1"/>
        <v>13669</v>
      </c>
      <c r="K20" s="41">
        <f t="shared" si="0"/>
        <v>273.38</v>
      </c>
    </row>
    <row r="21" spans="1:11" ht="14.4" x14ac:dyDescent="0.25">
      <c r="A21" s="15" t="s">
        <v>10</v>
      </c>
      <c r="B21" s="93" t="s">
        <v>569</v>
      </c>
      <c r="C21" s="81"/>
      <c r="D21" s="12">
        <v>1311</v>
      </c>
      <c r="E21" s="12"/>
      <c r="F21" s="81"/>
      <c r="G21" s="12"/>
      <c r="H21" s="12"/>
      <c r="I21" s="66"/>
      <c r="J21" s="39">
        <f t="shared" si="1"/>
        <v>14980</v>
      </c>
      <c r="K21" s="41">
        <f t="shared" si="0"/>
        <v>299.60000000000002</v>
      </c>
    </row>
    <row r="22" spans="1:11" x14ac:dyDescent="0.25">
      <c r="A22" s="15" t="s">
        <v>11</v>
      </c>
      <c r="B22" s="95" t="s">
        <v>571</v>
      </c>
      <c r="C22" s="90" t="s">
        <v>570</v>
      </c>
      <c r="D22" s="12">
        <f>3+1043+791</f>
        <v>1837</v>
      </c>
      <c r="E22" s="12"/>
      <c r="F22" s="81"/>
      <c r="G22" s="12"/>
      <c r="H22" s="12">
        <v>510</v>
      </c>
      <c r="I22" s="66"/>
      <c r="J22" s="39">
        <f t="shared" si="1"/>
        <v>16307</v>
      </c>
      <c r="K22" s="41">
        <f t="shared" si="0"/>
        <v>326.14</v>
      </c>
    </row>
    <row r="23" spans="1:11" x14ac:dyDescent="0.25">
      <c r="A23" s="15" t="s">
        <v>12</v>
      </c>
      <c r="B23" s="81"/>
      <c r="C23" s="90"/>
      <c r="D23" s="12"/>
      <c r="E23" s="12"/>
      <c r="F23" s="81"/>
      <c r="G23" s="81"/>
      <c r="H23" s="12">
        <v>1210</v>
      </c>
      <c r="I23" s="66"/>
      <c r="J23" s="39">
        <f>J22+D23+E23-H23-I23</f>
        <v>15097</v>
      </c>
      <c r="K23" s="41">
        <f t="shared" si="0"/>
        <v>301.94</v>
      </c>
    </row>
    <row r="24" spans="1:11" x14ac:dyDescent="0.25">
      <c r="A24" s="15" t="s">
        <v>13</v>
      </c>
      <c r="C24" s="90"/>
      <c r="D24" s="12"/>
      <c r="E24" s="12"/>
      <c r="F24" s="81"/>
      <c r="G24" s="12"/>
      <c r="H24" s="12">
        <v>968</v>
      </c>
      <c r="I24" s="66"/>
      <c r="J24" s="39">
        <f t="shared" si="1"/>
        <v>14129</v>
      </c>
      <c r="K24" s="41">
        <f t="shared" si="0"/>
        <v>282.58</v>
      </c>
    </row>
    <row r="25" spans="1:11" x14ac:dyDescent="0.25">
      <c r="A25" s="15" t="s">
        <v>14</v>
      </c>
      <c r="B25" s="92"/>
      <c r="C25" s="90"/>
      <c r="D25" s="12"/>
      <c r="E25" s="12"/>
      <c r="F25" s="81"/>
      <c r="G25" s="12"/>
      <c r="H25" s="12">
        <v>418</v>
      </c>
      <c r="I25" s="66"/>
      <c r="J25" s="39">
        <f t="shared" si="1"/>
        <v>13711</v>
      </c>
      <c r="K25" s="41">
        <f t="shared" si="0"/>
        <v>274.22000000000003</v>
      </c>
    </row>
    <row r="26" spans="1:11" x14ac:dyDescent="0.25">
      <c r="A26" s="15" t="s">
        <v>15</v>
      </c>
      <c r="B26" s="92"/>
      <c r="C26" s="92"/>
      <c r="D26" s="12"/>
      <c r="E26" s="12"/>
      <c r="F26" s="81"/>
      <c r="G26" s="12"/>
      <c r="H26" s="12"/>
      <c r="I26" s="66"/>
      <c r="J26" s="39">
        <f t="shared" si="1"/>
        <v>13711</v>
      </c>
      <c r="K26" s="41">
        <f t="shared" si="0"/>
        <v>274.22000000000003</v>
      </c>
    </row>
    <row r="27" spans="1:11" x14ac:dyDescent="0.25">
      <c r="A27" s="15" t="s">
        <v>16</v>
      </c>
      <c r="B27" s="92"/>
      <c r="C27" s="90"/>
      <c r="D27" s="12"/>
      <c r="E27" s="12"/>
      <c r="F27" s="81"/>
      <c r="G27" s="12"/>
      <c r="H27" s="12"/>
      <c r="I27" s="66"/>
      <c r="J27" s="39">
        <f t="shared" si="1"/>
        <v>13711</v>
      </c>
      <c r="K27" s="41">
        <f t="shared" si="0"/>
        <v>274.22000000000003</v>
      </c>
    </row>
    <row r="28" spans="1:11" x14ac:dyDescent="0.25">
      <c r="A28" s="15" t="s">
        <v>17</v>
      </c>
      <c r="B28" t="s">
        <v>576</v>
      </c>
      <c r="C28" t="s">
        <v>577</v>
      </c>
      <c r="D28" s="12">
        <v>20</v>
      </c>
      <c r="E28" s="35"/>
      <c r="F28" s="18"/>
      <c r="G28" s="12"/>
      <c r="H28" s="12"/>
      <c r="I28" s="66"/>
      <c r="J28" s="39">
        <f t="shared" si="1"/>
        <v>13731</v>
      </c>
      <c r="K28" s="41">
        <f t="shared" si="0"/>
        <v>274.62</v>
      </c>
    </row>
    <row r="29" spans="1:11" x14ac:dyDescent="0.25">
      <c r="A29" s="15" t="s">
        <v>18</v>
      </c>
      <c r="B29" s="94" t="s">
        <v>572</v>
      </c>
      <c r="C29" s="94"/>
      <c r="D29" s="12">
        <v>1084</v>
      </c>
      <c r="E29" s="35"/>
      <c r="F29" s="18"/>
      <c r="G29" s="12"/>
      <c r="H29" s="12">
        <v>214</v>
      </c>
      <c r="I29" s="66"/>
      <c r="J29" s="39">
        <f t="shared" si="1"/>
        <v>14601</v>
      </c>
      <c r="K29" s="41">
        <f t="shared" si="0"/>
        <v>292.02</v>
      </c>
    </row>
    <row r="30" spans="1:11" x14ac:dyDescent="0.25">
      <c r="A30" s="15" t="s">
        <v>19</v>
      </c>
      <c r="B30" s="17" t="s">
        <v>578</v>
      </c>
      <c r="C30" s="56"/>
      <c r="D30" s="12">
        <v>6</v>
      </c>
      <c r="E30" s="35"/>
      <c r="F30" s="18"/>
      <c r="G30" s="12"/>
      <c r="H30" s="12">
        <v>1003</v>
      </c>
      <c r="I30" s="66"/>
      <c r="J30" s="39">
        <f>J29+D30+E30-H30-I30</f>
        <v>13604</v>
      </c>
      <c r="K30" s="41">
        <f t="shared" si="0"/>
        <v>272.08</v>
      </c>
    </row>
    <row r="31" spans="1:11" x14ac:dyDescent="0.25">
      <c r="A31" s="15" t="s">
        <v>20</v>
      </c>
      <c r="B31" s="17" t="s">
        <v>573</v>
      </c>
      <c r="C31" s="11" t="s">
        <v>574</v>
      </c>
      <c r="D31" s="12">
        <f>243+940</f>
        <v>1183</v>
      </c>
      <c r="E31" s="64"/>
      <c r="F31" s="18"/>
      <c r="G31" s="12"/>
      <c r="H31" s="12">
        <v>510</v>
      </c>
      <c r="I31" s="66"/>
      <c r="J31" s="39">
        <f t="shared" si="1"/>
        <v>14277</v>
      </c>
      <c r="K31" s="41">
        <f t="shared" si="0"/>
        <v>285.54000000000002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/>
      <c r="H32" s="12">
        <v>460</v>
      </c>
      <c r="I32" s="66"/>
      <c r="J32" s="39">
        <f t="shared" si="1"/>
        <v>13817</v>
      </c>
      <c r="K32" s="41">
        <f t="shared" si="0"/>
        <v>276.34000000000003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1"/>
        <v>13817</v>
      </c>
      <c r="K33" s="41">
        <f t="shared" si="0"/>
        <v>276.34000000000003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1"/>
        <v>13817</v>
      </c>
      <c r="K34" s="41">
        <f t="shared" si="0"/>
        <v>276.34000000000003</v>
      </c>
    </row>
    <row r="35" spans="1:12" x14ac:dyDescent="0.25">
      <c r="A35" s="15" t="s">
        <v>24</v>
      </c>
      <c r="B35" s="17" t="s">
        <v>575</v>
      </c>
      <c r="C35" s="56" t="s">
        <v>580</v>
      </c>
      <c r="D35" s="101">
        <f>165+499</f>
        <v>664</v>
      </c>
      <c r="E35" s="35"/>
      <c r="F35" s="18"/>
      <c r="G35" s="12"/>
      <c r="H35" s="12"/>
      <c r="I35" s="66"/>
      <c r="J35" s="39">
        <f t="shared" si="1"/>
        <v>14481</v>
      </c>
      <c r="K35" s="41">
        <f t="shared" si="0"/>
        <v>289.62</v>
      </c>
    </row>
    <row r="36" spans="1:12" ht="13.5" customHeight="1" x14ac:dyDescent="0.25">
      <c r="A36" s="15" t="s">
        <v>25</v>
      </c>
      <c r="B36" s="81"/>
      <c r="C36" s="94"/>
      <c r="D36" s="12"/>
      <c r="E36" s="35"/>
      <c r="F36" s="14"/>
      <c r="G36" s="14"/>
      <c r="H36" s="12">
        <v>231</v>
      </c>
      <c r="I36" s="67"/>
      <c r="J36" s="39">
        <f t="shared" si="1"/>
        <v>14250</v>
      </c>
      <c r="K36" s="41">
        <f t="shared" si="0"/>
        <v>285</v>
      </c>
    </row>
    <row r="37" spans="1:12" x14ac:dyDescent="0.25">
      <c r="A37" s="15" t="s">
        <v>26</v>
      </c>
      <c r="B37" s="17"/>
      <c r="C37" s="17"/>
      <c r="D37" s="12"/>
      <c r="E37" s="35"/>
      <c r="F37" s="14"/>
      <c r="G37" s="12"/>
      <c r="H37" s="12">
        <v>648</v>
      </c>
      <c r="I37" s="66"/>
      <c r="J37" s="39">
        <f t="shared" si="1"/>
        <v>13602</v>
      </c>
      <c r="K37" s="41">
        <f t="shared" si="0"/>
        <v>272.04000000000002</v>
      </c>
    </row>
    <row r="38" spans="1:12" x14ac:dyDescent="0.25">
      <c r="A38" s="15" t="s">
        <v>27</v>
      </c>
      <c r="B38" s="17" t="s">
        <v>579</v>
      </c>
      <c r="C38" s="56"/>
      <c r="D38" s="12">
        <v>45</v>
      </c>
      <c r="E38" s="35"/>
      <c r="F38" s="14"/>
      <c r="G38" s="12"/>
      <c r="H38" s="12">
        <v>659</v>
      </c>
      <c r="I38" s="66"/>
      <c r="J38" s="39">
        <f t="shared" si="1"/>
        <v>12988</v>
      </c>
      <c r="K38" s="41">
        <f t="shared" si="0"/>
        <v>259.76</v>
      </c>
    </row>
    <row r="39" spans="1:12" x14ac:dyDescent="0.25">
      <c r="A39" s="15" t="s">
        <v>28</v>
      </c>
      <c r="B39" s="17"/>
      <c r="C39" s="56"/>
      <c r="D39" s="12"/>
      <c r="E39" s="35"/>
      <c r="F39" s="18"/>
      <c r="G39" s="12"/>
      <c r="H39" s="12">
        <v>157</v>
      </c>
      <c r="I39" s="66"/>
      <c r="J39" s="39">
        <f>J38+D39+E39-H39-I39</f>
        <v>12831</v>
      </c>
      <c r="K39" s="41">
        <f t="shared" si="0"/>
        <v>256.62</v>
      </c>
    </row>
    <row r="40" spans="1:12" x14ac:dyDescent="0.25">
      <c r="A40" s="12" t="s">
        <v>29</v>
      </c>
      <c r="B40" s="96"/>
      <c r="C40" s="56"/>
      <c r="D40" s="12"/>
      <c r="E40" s="12"/>
      <c r="F40" s="81"/>
      <c r="G40" s="12"/>
      <c r="H40" s="12"/>
      <c r="I40" s="12"/>
      <c r="J40" s="39">
        <f t="shared" ref="J40:J41" si="2">J39+D40+E40-H40-I40</f>
        <v>12831</v>
      </c>
      <c r="K40" s="41">
        <f t="shared" ref="K40:K41" si="3">0.02*J40</f>
        <v>256.62</v>
      </c>
    </row>
    <row r="41" spans="1:12" x14ac:dyDescent="0.25">
      <c r="A41" s="12" t="s">
        <v>30</v>
      </c>
      <c r="B41" s="96"/>
      <c r="C41" s="56"/>
      <c r="D41" s="12"/>
      <c r="E41" s="12"/>
      <c r="F41" s="81"/>
      <c r="G41" s="12"/>
      <c r="H41" s="12"/>
      <c r="I41" s="12"/>
      <c r="J41" s="39">
        <f t="shared" si="2"/>
        <v>12831</v>
      </c>
      <c r="K41" s="41">
        <f t="shared" si="3"/>
        <v>256.62</v>
      </c>
    </row>
    <row r="42" spans="1:12" ht="15" thickBot="1" x14ac:dyDescent="0.35">
      <c r="A42" s="168"/>
      <c r="B42" s="169"/>
      <c r="C42" s="19" t="s">
        <v>31</v>
      </c>
      <c r="D42" s="20">
        <f>SUM(D11:D41)</f>
        <v>7626</v>
      </c>
      <c r="E42" s="20">
        <f>SUM(E11:E41)</f>
        <v>0</v>
      </c>
      <c r="F42" s="21">
        <v>0</v>
      </c>
      <c r="G42" s="21"/>
      <c r="H42" s="20">
        <f>SUM(H11:H41)</f>
        <v>8262</v>
      </c>
      <c r="I42" s="20">
        <f>SUM(I11:I41)</f>
        <v>0</v>
      </c>
      <c r="J42" s="69">
        <f>AVERAGE(J11:J41)</f>
        <v>13864.483870967742</v>
      </c>
      <c r="K42" s="32">
        <f>SUM(K11:K41)</f>
        <v>8595.9800000000032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D42+E42</f>
        <v>7626</v>
      </c>
      <c r="I45" s="59">
        <v>0.28000000000000003</v>
      </c>
      <c r="J45" s="48">
        <f>H45*I45</f>
        <v>2135.2800000000002</v>
      </c>
      <c r="K45" s="50">
        <f>kurs*J45</f>
        <v>250126.05861600002</v>
      </c>
    </row>
    <row r="46" spans="1:12" x14ac:dyDescent="0.25">
      <c r="E46" s="42" t="s">
        <v>54</v>
      </c>
      <c r="F46" s="43"/>
      <c r="G46" s="43"/>
      <c r="H46" s="44">
        <f>H42+I42</f>
        <v>8262</v>
      </c>
      <c r="I46" s="59">
        <v>0.2</v>
      </c>
      <c r="J46" s="48">
        <f>H46*I46</f>
        <v>1652.4</v>
      </c>
      <c r="K46" s="50">
        <f t="shared" ref="K46" si="4">kurs*J46</f>
        <v>193561.64028000002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3" si="5">H47*I47</f>
        <v>0</v>
      </c>
      <c r="K47" s="50">
        <f t="shared" ref="K47:K50" si="6">kurs*J47</f>
        <v>0</v>
      </c>
    </row>
    <row r="48" spans="1:12" x14ac:dyDescent="0.25">
      <c r="E48" s="42" t="s">
        <v>581</v>
      </c>
      <c r="F48" s="43"/>
      <c r="G48" s="43"/>
      <c r="H48" s="44">
        <v>0</v>
      </c>
      <c r="I48" s="59">
        <v>1.5</v>
      </c>
      <c r="J48" s="48">
        <f t="shared" ref="J48:J49" si="7">H48*I48</f>
        <v>0</v>
      </c>
      <c r="K48" s="50">
        <f t="shared" ref="K48:K49" si="8">kurs*J48</f>
        <v>0</v>
      </c>
    </row>
    <row r="49" spans="3:12" x14ac:dyDescent="0.25">
      <c r="E49" s="42" t="s">
        <v>582</v>
      </c>
      <c r="F49" s="43"/>
      <c r="G49" s="43"/>
      <c r="H49" s="44">
        <v>0</v>
      </c>
      <c r="I49" s="59">
        <v>1.5</v>
      </c>
      <c r="J49" s="48">
        <f t="shared" si="7"/>
        <v>0</v>
      </c>
      <c r="K49" s="50">
        <f t="shared" si="8"/>
        <v>0</v>
      </c>
    </row>
    <row r="50" spans="3:12" x14ac:dyDescent="0.25">
      <c r="E50" s="45" t="s">
        <v>164</v>
      </c>
      <c r="F50" s="46"/>
      <c r="G50" s="46"/>
      <c r="H50" s="47">
        <f>I42</f>
        <v>0</v>
      </c>
      <c r="I50" s="60">
        <v>0.19</v>
      </c>
      <c r="J50" s="48">
        <f t="shared" si="5"/>
        <v>0</v>
      </c>
      <c r="K50" s="50">
        <f t="shared" si="6"/>
        <v>0</v>
      </c>
    </row>
    <row r="51" spans="3:12" x14ac:dyDescent="0.25">
      <c r="E51" s="45" t="s">
        <v>360</v>
      </c>
      <c r="F51" s="46"/>
      <c r="G51" s="46"/>
      <c r="H51" s="47">
        <v>0</v>
      </c>
      <c r="I51" s="60">
        <v>0.04</v>
      </c>
      <c r="J51" s="48">
        <f t="shared" si="5"/>
        <v>0</v>
      </c>
      <c r="K51" s="50">
        <f>kurs*J51</f>
        <v>0</v>
      </c>
    </row>
    <row r="52" spans="3:12" x14ac:dyDescent="0.25">
      <c r="E52" s="45" t="s">
        <v>418</v>
      </c>
      <c r="F52" s="46"/>
      <c r="G52" s="46"/>
      <c r="H52" s="47">
        <v>0</v>
      </c>
      <c r="I52" s="60">
        <v>0.05</v>
      </c>
      <c r="J52" s="48">
        <f t="shared" si="5"/>
        <v>0</v>
      </c>
      <c r="K52" s="50">
        <f>kurs*J52</f>
        <v>0</v>
      </c>
    </row>
    <row r="53" spans="3:12" x14ac:dyDescent="0.25">
      <c r="E53" s="45" t="s">
        <v>562</v>
      </c>
      <c r="F53" s="46"/>
      <c r="G53" s="46"/>
      <c r="H53" s="47">
        <v>0</v>
      </c>
      <c r="I53" s="60">
        <v>200</v>
      </c>
      <c r="J53" s="48">
        <f t="shared" si="5"/>
        <v>0</v>
      </c>
      <c r="K53" s="50">
        <f>kurs*J53</f>
        <v>0</v>
      </c>
    </row>
    <row r="54" spans="3:12" x14ac:dyDescent="0.25">
      <c r="E54" s="45" t="s">
        <v>55</v>
      </c>
      <c r="F54" s="46"/>
      <c r="G54" s="46"/>
      <c r="H54" s="46"/>
      <c r="I54" s="60"/>
      <c r="J54" s="49">
        <f>K42</f>
        <v>8595.9800000000032</v>
      </c>
      <c r="K54" s="50">
        <f>kurs*J54</f>
        <v>1006930.5184060005</v>
      </c>
      <c r="L54" s="61"/>
    </row>
    <row r="55" spans="3:12" x14ac:dyDescent="0.25">
      <c r="E55" s="22"/>
      <c r="I55" t="s">
        <v>56</v>
      </c>
      <c r="J55" s="52">
        <f>SUM(J45:J54)</f>
        <v>12383.660000000003</v>
      </c>
      <c r="K55" s="51">
        <f>SUM(K45:K54)</f>
        <v>1450618.2173020006</v>
      </c>
      <c r="L55" s="62"/>
    </row>
    <row r="56" spans="3:12" ht="13.5" customHeight="1" x14ac:dyDescent="0.3">
      <c r="F56" s="23"/>
      <c r="G56" s="24" t="s">
        <v>32</v>
      </c>
    </row>
    <row r="57" spans="3:12" ht="11.25" customHeight="1" x14ac:dyDescent="0.25"/>
    <row r="58" spans="3:12" x14ac:dyDescent="0.25">
      <c r="H58" s="25"/>
      <c r="I58" s="25"/>
      <c r="J58" s="26"/>
      <c r="K58" s="25"/>
    </row>
    <row r="59" spans="3:12" x14ac:dyDescent="0.25">
      <c r="C59" s="2" t="s">
        <v>34</v>
      </c>
      <c r="H59" s="25"/>
      <c r="I59" s="25"/>
      <c r="J59" s="25"/>
      <c r="K59" s="25"/>
    </row>
    <row r="60" spans="3:12" ht="12.75" customHeight="1" x14ac:dyDescent="0.25">
      <c r="C60" s="2" t="s">
        <v>33</v>
      </c>
      <c r="H60" s="25"/>
      <c r="I60" s="27"/>
      <c r="J60" s="25"/>
      <c r="K60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83B9-86D8-479F-8274-C06D190D98C1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DA71-E847-40E1-A5B9-1A82B6E16124}">
  <dimension ref="A1:L58"/>
  <sheetViews>
    <sheetView view="pageBreakPreview" topLeftCell="A12" zoomScaleNormal="100" zoomScaleSheetLayoutView="100" workbookViewId="0">
      <selection activeCell="A11" sqref="A11:A41"/>
    </sheetView>
  </sheetViews>
  <sheetFormatPr defaultRowHeight="13.8" x14ac:dyDescent="0.25"/>
  <cols>
    <col min="1" max="1" width="17.5" customWidth="1"/>
    <col min="2" max="2" width="29.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45323</v>
      </c>
      <c r="H3" s="4"/>
      <c r="I3" s="4"/>
    </row>
    <row r="4" spans="1:11" x14ac:dyDescent="0.25">
      <c r="B4" s="2"/>
      <c r="C4" s="6"/>
      <c r="F4" s="3">
        <v>45351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117.18040000000001</v>
      </c>
      <c r="F6" t="s">
        <v>42</v>
      </c>
      <c r="G6" s="88">
        <v>2402005007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19051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31"/>
      <c r="C11" s="56"/>
      <c r="D11" s="12"/>
      <c r="E11" s="56"/>
      <c r="F11" s="12"/>
      <c r="G11" s="12"/>
      <c r="H11" s="12">
        <v>715</v>
      </c>
      <c r="I11" s="65"/>
      <c r="J11" s="39">
        <f>D10+D11+E11-H11-I11</f>
        <v>18336</v>
      </c>
      <c r="K11" s="41">
        <f>0.02*J11</f>
        <v>366.72</v>
      </c>
    </row>
    <row r="12" spans="1:11" ht="14.25" customHeight="1" x14ac:dyDescent="0.25">
      <c r="A12" s="15" t="s">
        <v>1</v>
      </c>
      <c r="B12" s="95"/>
      <c r="C12" s="89"/>
      <c r="D12" s="12"/>
      <c r="E12" s="12"/>
      <c r="F12" s="12"/>
      <c r="G12" s="12"/>
      <c r="H12" s="12">
        <v>328</v>
      </c>
      <c r="I12" s="65"/>
      <c r="J12" s="39">
        <f>J11+D12+E12-H12-I12</f>
        <v>18008</v>
      </c>
      <c r="K12" s="41">
        <f t="shared" ref="K12:K39" si="0">0.02*J12</f>
        <v>360.16</v>
      </c>
    </row>
    <row r="13" spans="1:11" ht="13.5" customHeight="1" x14ac:dyDescent="0.25">
      <c r="A13" s="15" t="s">
        <v>2</v>
      </c>
      <c r="B13" s="95"/>
      <c r="C13" s="90"/>
      <c r="D13" s="56"/>
      <c r="E13" s="56"/>
      <c r="F13" s="12"/>
      <c r="G13" s="12"/>
      <c r="H13" s="12"/>
      <c r="I13" s="65"/>
      <c r="J13" s="39">
        <f t="shared" ref="J13:J38" si="1">J12+D13+E13-H13-I13</f>
        <v>18008</v>
      </c>
      <c r="K13" s="41">
        <f t="shared" si="0"/>
        <v>360.16</v>
      </c>
    </row>
    <row r="14" spans="1:11" ht="14.4" x14ac:dyDescent="0.25">
      <c r="A14" s="15" t="s">
        <v>3</v>
      </c>
      <c r="B14" s="93"/>
      <c r="C14" s="93"/>
      <c r="D14" s="12"/>
      <c r="E14" s="12"/>
      <c r="F14" s="12"/>
      <c r="G14" s="12"/>
      <c r="H14" s="12"/>
      <c r="I14" s="65"/>
      <c r="J14" s="39">
        <f t="shared" si="1"/>
        <v>18008</v>
      </c>
      <c r="K14" s="41">
        <f t="shared" si="0"/>
        <v>360.16</v>
      </c>
    </row>
    <row r="15" spans="1:11" x14ac:dyDescent="0.25">
      <c r="A15" s="15" t="s">
        <v>4</v>
      </c>
      <c r="B15" s="95"/>
      <c r="C15" s="90"/>
      <c r="D15" s="12"/>
      <c r="E15" s="12"/>
      <c r="F15" s="12"/>
      <c r="G15" s="12"/>
      <c r="H15" s="12"/>
      <c r="I15" s="65"/>
      <c r="J15" s="39">
        <f t="shared" si="1"/>
        <v>18008</v>
      </c>
      <c r="K15" s="41">
        <f t="shared" si="0"/>
        <v>360.16</v>
      </c>
    </row>
    <row r="16" spans="1:11" x14ac:dyDescent="0.25">
      <c r="A16" s="15" t="s">
        <v>5</v>
      </c>
      <c r="B16" s="92"/>
      <c r="C16" s="92"/>
      <c r="D16" s="12"/>
      <c r="E16" s="12"/>
      <c r="F16" s="12"/>
      <c r="G16" s="12"/>
      <c r="H16" s="80">
        <v>183</v>
      </c>
      <c r="I16" s="65"/>
      <c r="J16" s="39">
        <f t="shared" si="1"/>
        <v>17825</v>
      </c>
      <c r="K16" s="41">
        <f t="shared" si="0"/>
        <v>356.5</v>
      </c>
    </row>
    <row r="17" spans="1:11" x14ac:dyDescent="0.25">
      <c r="A17" s="15" t="s">
        <v>6</v>
      </c>
      <c r="B17" s="81" t="s">
        <v>422</v>
      </c>
      <c r="C17" s="90"/>
      <c r="D17" s="12">
        <v>14</v>
      </c>
      <c r="E17" s="12"/>
      <c r="F17" s="81"/>
      <c r="G17" s="12"/>
      <c r="H17" s="12">
        <v>643</v>
      </c>
      <c r="I17" s="66"/>
      <c r="J17" s="39">
        <f t="shared" si="1"/>
        <v>17196</v>
      </c>
      <c r="K17" s="41">
        <f t="shared" si="0"/>
        <v>343.92</v>
      </c>
    </row>
    <row r="18" spans="1:11" x14ac:dyDescent="0.25">
      <c r="A18" s="15" t="s">
        <v>7</v>
      </c>
      <c r="B18" s="95"/>
      <c r="C18" s="90"/>
      <c r="D18" s="12"/>
      <c r="E18" s="12"/>
      <c r="F18" s="12"/>
      <c r="G18" s="12"/>
      <c r="H18" s="12">
        <v>484</v>
      </c>
      <c r="I18" s="66"/>
      <c r="J18" s="39">
        <f t="shared" si="1"/>
        <v>16712</v>
      </c>
      <c r="K18" s="41">
        <f t="shared" si="0"/>
        <v>334.24</v>
      </c>
    </row>
    <row r="19" spans="1:11" ht="13.5" customHeight="1" x14ac:dyDescent="0.25">
      <c r="A19" s="15" t="s">
        <v>8</v>
      </c>
      <c r="B19" s="95"/>
      <c r="C19" s="90"/>
      <c r="D19" s="12"/>
      <c r="E19" s="12"/>
      <c r="F19" s="81"/>
      <c r="G19" s="12"/>
      <c r="H19" s="12">
        <v>130</v>
      </c>
      <c r="I19" s="66"/>
      <c r="J19" s="39">
        <f t="shared" si="1"/>
        <v>16582</v>
      </c>
      <c r="K19" s="41">
        <f t="shared" si="0"/>
        <v>331.64</v>
      </c>
    </row>
    <row r="20" spans="1:11" x14ac:dyDescent="0.25">
      <c r="A20" s="15" t="s">
        <v>9</v>
      </c>
      <c r="B20" s="92"/>
      <c r="C20" s="90"/>
      <c r="D20" s="12"/>
      <c r="E20" s="12"/>
      <c r="F20" s="81"/>
      <c r="G20" s="12"/>
      <c r="H20" s="12"/>
      <c r="I20" s="66"/>
      <c r="J20" s="39">
        <f t="shared" si="1"/>
        <v>16582</v>
      </c>
      <c r="K20" s="41">
        <f t="shared" si="0"/>
        <v>331.64</v>
      </c>
    </row>
    <row r="21" spans="1:11" ht="14.4" x14ac:dyDescent="0.25">
      <c r="A21" s="15" t="s">
        <v>10</v>
      </c>
      <c r="B21" s="93"/>
      <c r="C21" s="81"/>
      <c r="D21" s="12"/>
      <c r="E21" s="12"/>
      <c r="F21" s="81"/>
      <c r="G21" s="12"/>
      <c r="H21" s="12"/>
      <c r="I21" s="66"/>
      <c r="J21" s="39">
        <f t="shared" si="1"/>
        <v>16582</v>
      </c>
      <c r="K21" s="41">
        <f t="shared" si="0"/>
        <v>331.64</v>
      </c>
    </row>
    <row r="22" spans="1:11" x14ac:dyDescent="0.25">
      <c r="A22" s="15" t="s">
        <v>11</v>
      </c>
      <c r="B22" s="95" t="s">
        <v>419</v>
      </c>
      <c r="C22" s="90" t="s">
        <v>420</v>
      </c>
      <c r="D22" s="12">
        <f>891+1196</f>
        <v>2087</v>
      </c>
      <c r="E22" s="12"/>
      <c r="F22" s="81"/>
      <c r="G22" s="12"/>
      <c r="H22" s="12"/>
      <c r="I22" s="66">
        <f>1235+1850</f>
        <v>3085</v>
      </c>
      <c r="J22" s="39">
        <f t="shared" si="1"/>
        <v>15584</v>
      </c>
      <c r="K22" s="41">
        <f t="shared" si="0"/>
        <v>311.68</v>
      </c>
    </row>
    <row r="23" spans="1:11" x14ac:dyDescent="0.25">
      <c r="A23" s="15" t="s">
        <v>12</v>
      </c>
      <c r="B23" s="81" t="s">
        <v>421</v>
      </c>
      <c r="C23" s="90"/>
      <c r="D23" s="12">
        <v>1010</v>
      </c>
      <c r="E23" s="12"/>
      <c r="F23" s="81"/>
      <c r="G23" s="81"/>
      <c r="H23" s="12">
        <v>554</v>
      </c>
      <c r="I23" s="66"/>
      <c r="J23" s="39">
        <f>J22+D23+E23-H23-I23</f>
        <v>16040</v>
      </c>
      <c r="K23" s="41">
        <f t="shared" si="0"/>
        <v>320.8</v>
      </c>
    </row>
    <row r="24" spans="1:11" x14ac:dyDescent="0.25">
      <c r="A24" s="15" t="s">
        <v>13</v>
      </c>
      <c r="B24" t="s">
        <v>423</v>
      </c>
      <c r="C24" s="90" t="s">
        <v>424</v>
      </c>
      <c r="D24" s="12">
        <v>13</v>
      </c>
      <c r="E24" s="12"/>
      <c r="F24" s="81"/>
      <c r="G24" s="12"/>
      <c r="H24" s="12">
        <v>1456</v>
      </c>
      <c r="I24" s="66"/>
      <c r="J24" s="39">
        <f t="shared" si="1"/>
        <v>14597</v>
      </c>
      <c r="K24" s="41">
        <f t="shared" si="0"/>
        <v>291.94</v>
      </c>
    </row>
    <row r="25" spans="1:11" x14ac:dyDescent="0.25">
      <c r="A25" s="15" t="s">
        <v>14</v>
      </c>
      <c r="B25" s="92"/>
      <c r="C25" s="90"/>
      <c r="D25" s="12"/>
      <c r="E25" s="12"/>
      <c r="F25" s="81"/>
      <c r="G25" s="12"/>
      <c r="H25" s="12"/>
      <c r="I25" s="66"/>
      <c r="J25" s="39">
        <f t="shared" si="1"/>
        <v>14597</v>
      </c>
      <c r="K25" s="41">
        <f t="shared" si="0"/>
        <v>291.94</v>
      </c>
    </row>
    <row r="26" spans="1:11" x14ac:dyDescent="0.25">
      <c r="A26" s="15" t="s">
        <v>15</v>
      </c>
      <c r="B26" s="92"/>
      <c r="C26" s="92"/>
      <c r="D26" s="12"/>
      <c r="E26" s="12"/>
      <c r="F26" s="81"/>
      <c r="G26" s="12"/>
      <c r="H26" s="12"/>
      <c r="I26" s="66"/>
      <c r="J26" s="39">
        <f t="shared" si="1"/>
        <v>14597</v>
      </c>
      <c r="K26" s="41">
        <f t="shared" si="0"/>
        <v>291.94</v>
      </c>
    </row>
    <row r="27" spans="1:11" x14ac:dyDescent="0.25">
      <c r="A27" s="15" t="s">
        <v>16</v>
      </c>
      <c r="B27" s="92"/>
      <c r="C27" s="90"/>
      <c r="D27" s="12"/>
      <c r="E27" s="12"/>
      <c r="F27" s="81"/>
      <c r="G27" s="12"/>
      <c r="H27" s="12"/>
      <c r="I27" s="66"/>
      <c r="J27" s="39">
        <f t="shared" si="1"/>
        <v>14597</v>
      </c>
      <c r="K27" s="41">
        <f t="shared" si="0"/>
        <v>291.94</v>
      </c>
    </row>
    <row r="28" spans="1:11" x14ac:dyDescent="0.25">
      <c r="A28" s="15" t="s">
        <v>17</v>
      </c>
      <c r="B28" s="81"/>
      <c r="C28" s="90"/>
      <c r="D28" s="12"/>
      <c r="E28" s="35"/>
      <c r="F28" s="18"/>
      <c r="G28" s="12"/>
      <c r="H28" s="12"/>
      <c r="I28" s="66"/>
      <c r="J28" s="39">
        <f t="shared" si="1"/>
        <v>14597</v>
      </c>
      <c r="K28" s="41">
        <f t="shared" si="0"/>
        <v>291.94</v>
      </c>
    </row>
    <row r="29" spans="1:11" x14ac:dyDescent="0.25">
      <c r="A29" s="15" t="s">
        <v>18</v>
      </c>
      <c r="B29" s="94"/>
      <c r="C29" s="94"/>
      <c r="D29" s="12"/>
      <c r="E29" s="35"/>
      <c r="F29" s="18"/>
      <c r="G29" s="12"/>
      <c r="H29" s="12"/>
      <c r="I29" s="66"/>
      <c r="J29" s="39">
        <f t="shared" si="1"/>
        <v>14597</v>
      </c>
      <c r="K29" s="41">
        <f t="shared" si="0"/>
        <v>291.94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>J29+D30+E30-H30-I30</f>
        <v>14597</v>
      </c>
      <c r="K30" s="41">
        <f t="shared" si="0"/>
        <v>291.94</v>
      </c>
    </row>
    <row r="31" spans="1:11" x14ac:dyDescent="0.25">
      <c r="A31" s="15" t="s">
        <v>20</v>
      </c>
      <c r="B31" s="17"/>
      <c r="C31" s="11"/>
      <c r="D31" s="12"/>
      <c r="E31" s="64"/>
      <c r="F31" s="18"/>
      <c r="G31" s="12"/>
      <c r="H31" s="12">
        <v>125</v>
      </c>
      <c r="I31" s="66"/>
      <c r="J31" s="39">
        <f t="shared" si="1"/>
        <v>14472</v>
      </c>
      <c r="K31" s="41">
        <f t="shared" si="0"/>
        <v>289.44</v>
      </c>
    </row>
    <row r="32" spans="1:11" x14ac:dyDescent="0.25">
      <c r="A32" s="15" t="s">
        <v>21</v>
      </c>
      <c r="B32" s="17" t="s">
        <v>425</v>
      </c>
      <c r="C32" s="58"/>
      <c r="D32" s="12">
        <v>478</v>
      </c>
      <c r="E32" s="35"/>
      <c r="F32" s="18"/>
      <c r="G32" s="75"/>
      <c r="H32" s="12">
        <v>387</v>
      </c>
      <c r="I32" s="66"/>
      <c r="J32" s="39">
        <f t="shared" si="1"/>
        <v>14563</v>
      </c>
      <c r="K32" s="41">
        <f t="shared" si="0"/>
        <v>291.26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>
        <v>284</v>
      </c>
      <c r="I33" s="66"/>
      <c r="J33" s="39">
        <f t="shared" si="1"/>
        <v>14279</v>
      </c>
      <c r="K33" s="41">
        <f t="shared" si="0"/>
        <v>285.58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>
        <v>148</v>
      </c>
      <c r="I34" s="66"/>
      <c r="J34" s="39">
        <f t="shared" si="1"/>
        <v>14131</v>
      </c>
      <c r="K34" s="41">
        <f t="shared" si="0"/>
        <v>282.62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/>
      <c r="I35" s="66"/>
      <c r="J35" s="39">
        <f t="shared" si="1"/>
        <v>14131</v>
      </c>
      <c r="K35" s="41">
        <f t="shared" si="0"/>
        <v>282.62</v>
      </c>
    </row>
    <row r="36" spans="1:12" ht="13.5" customHeight="1" x14ac:dyDescent="0.25">
      <c r="A36" s="15" t="s">
        <v>25</v>
      </c>
      <c r="B36" s="81" t="s">
        <v>426</v>
      </c>
      <c r="C36" s="94" t="s">
        <v>427</v>
      </c>
      <c r="D36" s="12">
        <f>835+1172</f>
        <v>2007</v>
      </c>
      <c r="E36" s="35"/>
      <c r="F36" s="14"/>
      <c r="G36" s="14"/>
      <c r="H36" s="12"/>
      <c r="I36" s="67"/>
      <c r="J36" s="39">
        <f t="shared" si="1"/>
        <v>16138</v>
      </c>
      <c r="K36" s="41">
        <f t="shared" si="0"/>
        <v>322.76</v>
      </c>
    </row>
    <row r="37" spans="1:12" x14ac:dyDescent="0.25">
      <c r="A37" s="15" t="s">
        <v>26</v>
      </c>
      <c r="B37" s="17"/>
      <c r="C37" s="17"/>
      <c r="D37" s="12"/>
      <c r="E37" s="35"/>
      <c r="F37" s="14"/>
      <c r="G37" s="12"/>
      <c r="H37" s="12">
        <v>325</v>
      </c>
      <c r="I37" s="66"/>
      <c r="J37" s="39">
        <f t="shared" si="1"/>
        <v>15813</v>
      </c>
      <c r="K37" s="41">
        <f t="shared" si="0"/>
        <v>316.26</v>
      </c>
    </row>
    <row r="38" spans="1:12" x14ac:dyDescent="0.25">
      <c r="A38" s="15" t="s">
        <v>27</v>
      </c>
      <c r="B38" s="17" t="s">
        <v>428</v>
      </c>
      <c r="C38" s="56"/>
      <c r="D38" s="12">
        <v>965</v>
      </c>
      <c r="E38" s="35"/>
      <c r="F38" s="14"/>
      <c r="G38" s="12"/>
      <c r="H38" s="12">
        <v>1344</v>
      </c>
      <c r="I38" s="66"/>
      <c r="J38" s="39">
        <f t="shared" si="1"/>
        <v>15434</v>
      </c>
      <c r="K38" s="41">
        <f t="shared" si="0"/>
        <v>308.68</v>
      </c>
    </row>
    <row r="39" spans="1:12" x14ac:dyDescent="0.25">
      <c r="A39" s="15" t="s">
        <v>28</v>
      </c>
      <c r="B39" s="17"/>
      <c r="C39" s="56"/>
      <c r="D39" s="12"/>
      <c r="E39" s="35"/>
      <c r="F39" s="18"/>
      <c r="G39" s="12"/>
      <c r="H39" s="12">
        <v>602</v>
      </c>
      <c r="I39" s="66">
        <v>1365</v>
      </c>
      <c r="J39" s="39">
        <f>J38+D39+E39-H39-I39</f>
        <v>13467</v>
      </c>
      <c r="K39" s="41">
        <f t="shared" si="0"/>
        <v>269.34000000000003</v>
      </c>
    </row>
    <row r="40" spans="1:12" x14ac:dyDescent="0.25">
      <c r="A40" s="12" t="s">
        <v>29</v>
      </c>
      <c r="B40" s="96"/>
      <c r="C40" s="56"/>
      <c r="D40" s="12"/>
      <c r="E40" s="12"/>
      <c r="F40" s="81"/>
      <c r="G40" s="12"/>
      <c r="H40" s="12"/>
      <c r="I40" s="12"/>
      <c r="J40" s="39"/>
      <c r="K40" s="41"/>
    </row>
    <row r="41" spans="1:12" x14ac:dyDescent="0.25">
      <c r="A41" s="12" t="s">
        <v>30</v>
      </c>
      <c r="B41" s="96"/>
      <c r="C41" s="56"/>
      <c r="D41" s="12"/>
      <c r="E41" s="12"/>
      <c r="F41" s="81"/>
      <c r="G41" s="12"/>
      <c r="H41" s="12"/>
      <c r="I41" s="12"/>
      <c r="J41" s="39"/>
      <c r="K41" s="41"/>
    </row>
    <row r="42" spans="1:12" ht="15" thickBot="1" x14ac:dyDescent="0.35">
      <c r="A42" s="168"/>
      <c r="B42" s="169"/>
      <c r="C42" s="19" t="s">
        <v>31</v>
      </c>
      <c r="D42" s="20">
        <f>SUM(D11:D41)</f>
        <v>6574</v>
      </c>
      <c r="E42" s="20">
        <f>SUM(E11:E41)</f>
        <v>0</v>
      </c>
      <c r="F42" s="21">
        <v>0</v>
      </c>
      <c r="G42" s="21"/>
      <c r="H42" s="20">
        <f>SUM(H11:H41)</f>
        <v>7708</v>
      </c>
      <c r="I42" s="20">
        <f>SUM(I11:I41)</f>
        <v>4450</v>
      </c>
      <c r="J42" s="69">
        <f>AVERAGE(J11:J41)</f>
        <v>15795.793103448275</v>
      </c>
      <c r="K42" s="32">
        <f>SUM(K11:K41)</f>
        <v>9161.5599999999977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</f>
        <v>6574</v>
      </c>
      <c r="I45" s="59">
        <v>0.28000000000000003</v>
      </c>
      <c r="J45" s="48">
        <f>H45*I45</f>
        <v>1840.7200000000003</v>
      </c>
      <c r="K45" s="50">
        <f>kurs*J45</f>
        <v>215696.30588800003</v>
      </c>
    </row>
    <row r="46" spans="1:12" x14ac:dyDescent="0.25">
      <c r="E46" s="42" t="s">
        <v>54</v>
      </c>
      <c r="F46" s="43"/>
      <c r="G46" s="43"/>
      <c r="H46" s="44">
        <f>H42</f>
        <v>7708</v>
      </c>
      <c r="I46" s="59">
        <v>0.2</v>
      </c>
      <c r="J46" s="48">
        <f>H46*I46</f>
        <v>1541.6000000000001</v>
      </c>
      <c r="K46" s="50">
        <f t="shared" ref="K46" si="2">kurs*J46</f>
        <v>180645.30464000002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1" si="3">H47*I47</f>
        <v>0</v>
      </c>
      <c r="K47" s="50">
        <f t="shared" ref="K47:K48" si="4">kurs*J47</f>
        <v>0</v>
      </c>
    </row>
    <row r="48" spans="1:12" x14ac:dyDescent="0.25">
      <c r="E48" s="45" t="s">
        <v>164</v>
      </c>
      <c r="F48" s="46"/>
      <c r="G48" s="46"/>
      <c r="H48" s="47">
        <f>I42</f>
        <v>4450</v>
      </c>
      <c r="I48" s="60">
        <v>0.19</v>
      </c>
      <c r="J48" s="48">
        <f t="shared" si="3"/>
        <v>845.5</v>
      </c>
      <c r="K48" s="50">
        <f t="shared" si="4"/>
        <v>99076.028200000001</v>
      </c>
    </row>
    <row r="49" spans="3:12" x14ac:dyDescent="0.25">
      <c r="E49" s="45" t="s">
        <v>360</v>
      </c>
      <c r="F49" s="46"/>
      <c r="G49" s="46"/>
      <c r="H49" s="47">
        <v>0</v>
      </c>
      <c r="I49" s="60">
        <v>0.04</v>
      </c>
      <c r="J49" s="48">
        <f t="shared" si="3"/>
        <v>0</v>
      </c>
      <c r="K49" s="50">
        <f>kurs*J49</f>
        <v>0</v>
      </c>
    </row>
    <row r="50" spans="3:12" x14ac:dyDescent="0.25">
      <c r="E50" s="45" t="s">
        <v>418</v>
      </c>
      <c r="F50" s="46"/>
      <c r="G50" s="46"/>
      <c r="H50" s="47">
        <v>0</v>
      </c>
      <c r="I50" s="60">
        <v>0.05</v>
      </c>
      <c r="J50" s="48">
        <f t="shared" si="3"/>
        <v>0</v>
      </c>
      <c r="K50" s="50">
        <f>kurs*J50</f>
        <v>0</v>
      </c>
    </row>
    <row r="51" spans="3:12" x14ac:dyDescent="0.25">
      <c r="E51" s="45" t="s">
        <v>562</v>
      </c>
      <c r="F51" s="46"/>
      <c r="G51" s="46"/>
      <c r="H51" s="47">
        <v>0</v>
      </c>
      <c r="I51" s="60">
        <v>200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9161.5599999999977</v>
      </c>
      <c r="K52" s="50">
        <f>kurs*J52</f>
        <v>1073555.2654239999</v>
      </c>
      <c r="L52" s="61"/>
    </row>
    <row r="53" spans="3:12" x14ac:dyDescent="0.25">
      <c r="E53" s="22"/>
      <c r="I53" t="s">
        <v>56</v>
      </c>
      <c r="J53" s="52">
        <f>SUM(J45:J52)</f>
        <v>13389.379999999997</v>
      </c>
      <c r="K53" s="51">
        <f>SUM(K45:K52)</f>
        <v>1568972.9041519999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2B3D-10AD-4592-ABBC-AAA82B0B6A0C}">
  <dimension ref="A1:S42"/>
  <sheetViews>
    <sheetView workbookViewId="0">
      <selection activeCell="C17" sqref="C17"/>
    </sheetView>
  </sheetViews>
  <sheetFormatPr defaultRowHeight="13.8" x14ac:dyDescent="0.25"/>
  <cols>
    <col min="1" max="1" width="11" bestFit="1" customWidth="1"/>
    <col min="5" max="5" width="35.19921875" bestFit="1" customWidth="1"/>
    <col min="6" max="6" width="9.5" bestFit="1" customWidth="1"/>
    <col min="7" max="7" width="18.19921875" style="97" bestFit="1" customWidth="1"/>
  </cols>
  <sheetData>
    <row r="1" spans="1:19" x14ac:dyDescent="0.25">
      <c r="A1" t="s">
        <v>429</v>
      </c>
      <c r="B1" t="s">
        <v>430</v>
      </c>
      <c r="C1" t="s">
        <v>431</v>
      </c>
      <c r="D1" t="s">
        <v>432</v>
      </c>
      <c r="E1" t="s">
        <v>271</v>
      </c>
      <c r="F1" t="s">
        <v>433</v>
      </c>
      <c r="G1" s="97" t="s">
        <v>434</v>
      </c>
      <c r="H1" t="s">
        <v>196</v>
      </c>
      <c r="I1" t="s">
        <v>435</v>
      </c>
      <c r="J1" t="s">
        <v>436</v>
      </c>
      <c r="K1" t="s">
        <v>437</v>
      </c>
      <c r="L1" t="s">
        <v>438</v>
      </c>
      <c r="M1" t="s">
        <v>439</v>
      </c>
      <c r="N1" t="s">
        <v>440</v>
      </c>
      <c r="O1" t="s">
        <v>441</v>
      </c>
      <c r="P1" t="s">
        <v>442</v>
      </c>
      <c r="Q1" t="s">
        <v>443</v>
      </c>
      <c r="R1" t="s">
        <v>444</v>
      </c>
      <c r="S1" t="s">
        <v>445</v>
      </c>
    </row>
    <row r="2" spans="1:19" x14ac:dyDescent="0.25">
      <c r="A2" t="s">
        <v>454</v>
      </c>
      <c r="B2" t="s">
        <v>455</v>
      </c>
      <c r="C2" t="s">
        <v>446</v>
      </c>
      <c r="D2">
        <v>200</v>
      </c>
      <c r="E2" t="s">
        <v>456</v>
      </c>
      <c r="F2" s="84">
        <v>224</v>
      </c>
      <c r="G2" s="97" t="s">
        <v>457</v>
      </c>
      <c r="H2" t="s">
        <v>448</v>
      </c>
      <c r="J2" t="s">
        <v>449</v>
      </c>
      <c r="K2" t="s">
        <v>181</v>
      </c>
      <c r="N2" t="s">
        <v>450</v>
      </c>
      <c r="O2" t="s">
        <v>451</v>
      </c>
      <c r="P2">
        <v>0</v>
      </c>
      <c r="Q2">
        <v>0</v>
      </c>
      <c r="R2">
        <v>90</v>
      </c>
      <c r="S2" t="s">
        <v>456</v>
      </c>
    </row>
    <row r="3" spans="1:19" x14ac:dyDescent="0.25">
      <c r="A3" t="s">
        <v>459</v>
      </c>
      <c r="B3" t="s">
        <v>460</v>
      </c>
      <c r="C3" t="s">
        <v>446</v>
      </c>
      <c r="D3">
        <v>185</v>
      </c>
      <c r="E3" t="s">
        <v>461</v>
      </c>
      <c r="F3" s="84">
        <v>201</v>
      </c>
      <c r="G3" s="97" t="s">
        <v>462</v>
      </c>
      <c r="H3" t="s">
        <v>448</v>
      </c>
      <c r="J3" t="s">
        <v>449</v>
      </c>
      <c r="K3" t="s">
        <v>181</v>
      </c>
      <c r="N3" t="s">
        <v>450</v>
      </c>
      <c r="O3" t="s">
        <v>451</v>
      </c>
      <c r="P3">
        <v>0</v>
      </c>
      <c r="Q3">
        <v>0</v>
      </c>
      <c r="R3">
        <v>90</v>
      </c>
      <c r="S3" t="s">
        <v>461</v>
      </c>
    </row>
    <row r="4" spans="1:19" x14ac:dyDescent="0.25">
      <c r="A4" t="s">
        <v>463</v>
      </c>
      <c r="B4" t="s">
        <v>464</v>
      </c>
      <c r="C4" t="s">
        <v>446</v>
      </c>
      <c r="D4">
        <v>148</v>
      </c>
      <c r="E4" t="s">
        <v>465</v>
      </c>
      <c r="F4" s="84">
        <v>165</v>
      </c>
      <c r="G4" s="97" t="s">
        <v>466</v>
      </c>
      <c r="H4" t="s">
        <v>448</v>
      </c>
      <c r="J4" t="s">
        <v>449</v>
      </c>
      <c r="K4" t="s">
        <v>181</v>
      </c>
      <c r="N4" t="s">
        <v>450</v>
      </c>
      <c r="O4" t="s">
        <v>451</v>
      </c>
      <c r="P4">
        <v>0</v>
      </c>
      <c r="Q4">
        <v>0</v>
      </c>
      <c r="R4">
        <v>90</v>
      </c>
      <c r="S4" t="s">
        <v>465</v>
      </c>
    </row>
    <row r="5" spans="1:19" x14ac:dyDescent="0.25">
      <c r="A5" t="s">
        <v>467</v>
      </c>
      <c r="B5" t="s">
        <v>468</v>
      </c>
      <c r="C5" t="s">
        <v>446</v>
      </c>
      <c r="D5">
        <v>146</v>
      </c>
      <c r="E5" t="s">
        <v>469</v>
      </c>
      <c r="F5" s="84">
        <v>163</v>
      </c>
      <c r="G5" s="97" t="s">
        <v>470</v>
      </c>
      <c r="H5" t="s">
        <v>448</v>
      </c>
      <c r="J5" t="s">
        <v>449</v>
      </c>
      <c r="K5" t="s">
        <v>181</v>
      </c>
      <c r="N5" t="s">
        <v>450</v>
      </c>
      <c r="O5" t="s">
        <v>451</v>
      </c>
      <c r="P5">
        <v>0</v>
      </c>
      <c r="Q5">
        <v>0</v>
      </c>
      <c r="R5">
        <v>90</v>
      </c>
      <c r="S5" t="s">
        <v>469</v>
      </c>
    </row>
    <row r="6" spans="1:19" x14ac:dyDescent="0.25">
      <c r="A6" t="s">
        <v>471</v>
      </c>
      <c r="B6" t="s">
        <v>468</v>
      </c>
      <c r="C6" t="s">
        <v>446</v>
      </c>
      <c r="D6">
        <v>243</v>
      </c>
      <c r="E6" t="s">
        <v>472</v>
      </c>
      <c r="F6" s="84">
        <v>290</v>
      </c>
      <c r="G6" s="97">
        <v>45323</v>
      </c>
    </row>
    <row r="7" spans="1:19" x14ac:dyDescent="0.25">
      <c r="A7" t="s">
        <v>473</v>
      </c>
      <c r="B7" t="s">
        <v>474</v>
      </c>
      <c r="C7" t="s">
        <v>446</v>
      </c>
      <c r="D7">
        <v>235</v>
      </c>
      <c r="E7" t="s">
        <v>447</v>
      </c>
      <c r="F7" s="98">
        <v>223</v>
      </c>
      <c r="G7" s="97" t="s">
        <v>475</v>
      </c>
      <c r="H7" t="s">
        <v>448</v>
      </c>
      <c r="J7" t="s">
        <v>449</v>
      </c>
      <c r="K7" t="s">
        <v>181</v>
      </c>
      <c r="N7" t="s">
        <v>450</v>
      </c>
      <c r="O7" t="s">
        <v>451</v>
      </c>
      <c r="P7">
        <v>0</v>
      </c>
      <c r="Q7">
        <v>0</v>
      </c>
      <c r="R7">
        <v>90</v>
      </c>
      <c r="S7" t="s">
        <v>447</v>
      </c>
    </row>
    <row r="8" spans="1:19" x14ac:dyDescent="0.25">
      <c r="A8" t="s">
        <v>476</v>
      </c>
      <c r="B8" t="s">
        <v>474</v>
      </c>
      <c r="C8" t="s">
        <v>446</v>
      </c>
      <c r="D8">
        <v>195</v>
      </c>
      <c r="E8" t="s">
        <v>452</v>
      </c>
      <c r="F8" s="98">
        <v>219</v>
      </c>
      <c r="G8" s="97" t="s">
        <v>477</v>
      </c>
      <c r="H8" t="s">
        <v>448</v>
      </c>
      <c r="J8" t="s">
        <v>449</v>
      </c>
      <c r="K8" t="s">
        <v>181</v>
      </c>
      <c r="N8" t="s">
        <v>450</v>
      </c>
      <c r="O8" t="s">
        <v>451</v>
      </c>
      <c r="P8">
        <v>0</v>
      </c>
      <c r="Q8">
        <v>0</v>
      </c>
      <c r="R8">
        <v>90</v>
      </c>
      <c r="S8" t="s">
        <v>452</v>
      </c>
    </row>
    <row r="9" spans="1:19" x14ac:dyDescent="0.25">
      <c r="A9" t="s">
        <v>478</v>
      </c>
      <c r="B9" t="s">
        <v>474</v>
      </c>
      <c r="C9" t="s">
        <v>446</v>
      </c>
      <c r="D9">
        <v>146</v>
      </c>
      <c r="E9" t="s">
        <v>453</v>
      </c>
      <c r="F9" s="84">
        <v>183</v>
      </c>
      <c r="G9" s="97" t="s">
        <v>479</v>
      </c>
      <c r="H9" t="s">
        <v>448</v>
      </c>
      <c r="J9" t="s">
        <v>449</v>
      </c>
      <c r="K9" t="s">
        <v>181</v>
      </c>
      <c r="N9" t="s">
        <v>450</v>
      </c>
      <c r="O9" t="s">
        <v>451</v>
      </c>
      <c r="P9">
        <v>0</v>
      </c>
      <c r="Q9">
        <v>0</v>
      </c>
      <c r="R9">
        <v>90</v>
      </c>
      <c r="S9" t="s">
        <v>453</v>
      </c>
    </row>
    <row r="10" spans="1:19" x14ac:dyDescent="0.25">
      <c r="A10" t="s">
        <v>480</v>
      </c>
      <c r="B10" t="s">
        <v>474</v>
      </c>
      <c r="C10" t="s">
        <v>446</v>
      </c>
      <c r="D10">
        <v>127</v>
      </c>
      <c r="E10" t="s">
        <v>456</v>
      </c>
      <c r="F10" s="98">
        <v>134</v>
      </c>
      <c r="G10" s="97" t="s">
        <v>481</v>
      </c>
      <c r="H10" t="s">
        <v>448</v>
      </c>
      <c r="J10" t="s">
        <v>449</v>
      </c>
      <c r="K10" t="s">
        <v>181</v>
      </c>
      <c r="N10" t="s">
        <v>450</v>
      </c>
      <c r="O10" t="s">
        <v>451</v>
      </c>
      <c r="P10">
        <v>0</v>
      </c>
      <c r="Q10">
        <v>0</v>
      </c>
      <c r="R10">
        <v>90</v>
      </c>
      <c r="S10" t="s">
        <v>456</v>
      </c>
    </row>
    <row r="11" spans="1:19" x14ac:dyDescent="0.25">
      <c r="A11" t="s">
        <v>482</v>
      </c>
      <c r="B11" t="s">
        <v>474</v>
      </c>
      <c r="C11" t="s">
        <v>446</v>
      </c>
      <c r="D11">
        <v>170</v>
      </c>
      <c r="E11" t="s">
        <v>458</v>
      </c>
      <c r="F11" s="98">
        <v>201</v>
      </c>
      <c r="G11" s="97" t="s">
        <v>483</v>
      </c>
      <c r="H11" t="s">
        <v>448</v>
      </c>
      <c r="J11" t="s">
        <v>449</v>
      </c>
      <c r="K11" t="s">
        <v>181</v>
      </c>
      <c r="N11" t="s">
        <v>450</v>
      </c>
      <c r="O11" t="s">
        <v>451</v>
      </c>
      <c r="P11">
        <v>0</v>
      </c>
      <c r="Q11">
        <v>0</v>
      </c>
      <c r="R11">
        <v>90</v>
      </c>
      <c r="S11" t="s">
        <v>458</v>
      </c>
    </row>
    <row r="12" spans="1:19" x14ac:dyDescent="0.25">
      <c r="A12" t="s">
        <v>484</v>
      </c>
      <c r="B12" t="s">
        <v>474</v>
      </c>
      <c r="C12" t="s">
        <v>446</v>
      </c>
      <c r="D12">
        <v>142</v>
      </c>
      <c r="E12" t="s">
        <v>461</v>
      </c>
      <c r="F12" s="98">
        <v>164</v>
      </c>
      <c r="G12" s="97" t="s">
        <v>485</v>
      </c>
      <c r="H12" t="s">
        <v>448</v>
      </c>
      <c r="J12" t="s">
        <v>449</v>
      </c>
      <c r="K12" t="s">
        <v>181</v>
      </c>
      <c r="N12" t="s">
        <v>450</v>
      </c>
      <c r="O12" t="s">
        <v>451</v>
      </c>
      <c r="P12">
        <v>0</v>
      </c>
      <c r="Q12">
        <v>0</v>
      </c>
      <c r="R12">
        <v>90</v>
      </c>
      <c r="S12" t="s">
        <v>461</v>
      </c>
    </row>
    <row r="13" spans="1:19" x14ac:dyDescent="0.25">
      <c r="A13" t="s">
        <v>486</v>
      </c>
      <c r="B13" t="s">
        <v>474</v>
      </c>
      <c r="C13" t="s">
        <v>446</v>
      </c>
      <c r="D13">
        <v>68</v>
      </c>
      <c r="E13" t="s">
        <v>469</v>
      </c>
      <c r="F13" s="84">
        <v>82</v>
      </c>
      <c r="G13" s="97" t="s">
        <v>487</v>
      </c>
      <c r="H13" t="s">
        <v>448</v>
      </c>
      <c r="J13" t="s">
        <v>449</v>
      </c>
      <c r="K13" t="s">
        <v>181</v>
      </c>
      <c r="N13" t="s">
        <v>450</v>
      </c>
      <c r="O13" t="s">
        <v>451</v>
      </c>
      <c r="P13">
        <v>0</v>
      </c>
      <c r="Q13">
        <v>0</v>
      </c>
      <c r="R13">
        <v>90</v>
      </c>
      <c r="S13" t="s">
        <v>469</v>
      </c>
    </row>
    <row r="14" spans="1:19" x14ac:dyDescent="0.25">
      <c r="A14" t="s">
        <v>488</v>
      </c>
      <c r="B14" t="s">
        <v>474</v>
      </c>
      <c r="C14" t="s">
        <v>446</v>
      </c>
      <c r="D14">
        <v>159</v>
      </c>
      <c r="E14" t="s">
        <v>472</v>
      </c>
      <c r="F14" s="84">
        <v>186</v>
      </c>
      <c r="G14" s="97" t="s">
        <v>489</v>
      </c>
      <c r="H14" t="s">
        <v>448</v>
      </c>
      <c r="J14" t="s">
        <v>449</v>
      </c>
      <c r="K14" t="s">
        <v>181</v>
      </c>
      <c r="N14" t="s">
        <v>450</v>
      </c>
      <c r="O14" t="s">
        <v>451</v>
      </c>
      <c r="P14">
        <v>0</v>
      </c>
      <c r="Q14">
        <v>0</v>
      </c>
      <c r="R14">
        <v>90</v>
      </c>
      <c r="S14" t="s">
        <v>472</v>
      </c>
    </row>
    <row r="15" spans="1:19" x14ac:dyDescent="0.25">
      <c r="A15" t="s">
        <v>490</v>
      </c>
      <c r="B15" t="s">
        <v>474</v>
      </c>
      <c r="C15" t="s">
        <v>446</v>
      </c>
      <c r="D15">
        <v>43</v>
      </c>
      <c r="E15" t="s">
        <v>465</v>
      </c>
      <c r="F15" s="84">
        <v>48</v>
      </c>
      <c r="G15" s="97" t="s">
        <v>491</v>
      </c>
      <c r="H15" t="s">
        <v>448</v>
      </c>
      <c r="J15" t="s">
        <v>449</v>
      </c>
      <c r="K15" t="s">
        <v>181</v>
      </c>
      <c r="N15" t="s">
        <v>450</v>
      </c>
      <c r="O15" t="s">
        <v>451</v>
      </c>
      <c r="P15">
        <v>0</v>
      </c>
      <c r="Q15">
        <v>0</v>
      </c>
      <c r="R15">
        <v>90</v>
      </c>
      <c r="S15" t="s">
        <v>465</v>
      </c>
    </row>
    <row r="16" spans="1:19" x14ac:dyDescent="0.25">
      <c r="A16" t="s">
        <v>492</v>
      </c>
      <c r="B16" t="s">
        <v>493</v>
      </c>
      <c r="C16" t="s">
        <v>446</v>
      </c>
      <c r="D16">
        <v>308</v>
      </c>
      <c r="E16" t="s">
        <v>447</v>
      </c>
      <c r="F16" s="98">
        <v>294</v>
      </c>
      <c r="G16" s="97" t="s">
        <v>494</v>
      </c>
      <c r="H16" t="s">
        <v>448</v>
      </c>
      <c r="J16" t="s">
        <v>449</v>
      </c>
      <c r="K16" t="s">
        <v>181</v>
      </c>
      <c r="N16" t="s">
        <v>450</v>
      </c>
      <c r="O16" t="s">
        <v>451</v>
      </c>
      <c r="P16">
        <v>0</v>
      </c>
      <c r="Q16">
        <v>0</v>
      </c>
      <c r="R16">
        <v>90</v>
      </c>
      <c r="S16" t="s">
        <v>447</v>
      </c>
    </row>
    <row r="17" spans="1:19" x14ac:dyDescent="0.25">
      <c r="A17" t="s">
        <v>495</v>
      </c>
      <c r="B17" t="s">
        <v>493</v>
      </c>
      <c r="C17" t="s">
        <v>446</v>
      </c>
      <c r="D17">
        <v>344</v>
      </c>
      <c r="E17" t="s">
        <v>452</v>
      </c>
      <c r="F17" s="98">
        <v>361</v>
      </c>
      <c r="G17" s="97" t="s">
        <v>496</v>
      </c>
      <c r="H17" t="s">
        <v>448</v>
      </c>
      <c r="J17" t="s">
        <v>449</v>
      </c>
      <c r="K17" t="s">
        <v>181</v>
      </c>
      <c r="N17" t="s">
        <v>450</v>
      </c>
      <c r="O17" t="s">
        <v>451</v>
      </c>
      <c r="P17">
        <v>0</v>
      </c>
      <c r="Q17">
        <v>0</v>
      </c>
      <c r="R17">
        <v>90</v>
      </c>
      <c r="S17" t="s">
        <v>452</v>
      </c>
    </row>
    <row r="18" spans="1:19" x14ac:dyDescent="0.25">
      <c r="A18" t="s">
        <v>497</v>
      </c>
      <c r="B18" t="s">
        <v>493</v>
      </c>
      <c r="C18" t="s">
        <v>446</v>
      </c>
      <c r="D18">
        <v>236</v>
      </c>
      <c r="E18" t="s">
        <v>453</v>
      </c>
      <c r="F18" s="98">
        <v>260</v>
      </c>
      <c r="G18" s="97" t="s">
        <v>498</v>
      </c>
      <c r="H18" t="s">
        <v>448</v>
      </c>
      <c r="J18" t="s">
        <v>449</v>
      </c>
      <c r="K18" t="s">
        <v>181</v>
      </c>
      <c r="N18" t="s">
        <v>450</v>
      </c>
      <c r="O18" t="s">
        <v>451</v>
      </c>
      <c r="P18">
        <v>0</v>
      </c>
      <c r="Q18">
        <v>0</v>
      </c>
      <c r="R18">
        <v>90</v>
      </c>
      <c r="S18" t="s">
        <v>453</v>
      </c>
    </row>
    <row r="19" spans="1:19" x14ac:dyDescent="0.25">
      <c r="A19" t="s">
        <v>499</v>
      </c>
      <c r="B19" t="s">
        <v>493</v>
      </c>
      <c r="C19" t="s">
        <v>446</v>
      </c>
      <c r="D19">
        <v>148</v>
      </c>
      <c r="E19" t="s">
        <v>456</v>
      </c>
      <c r="F19" s="98">
        <v>159</v>
      </c>
      <c r="G19" s="97" t="s">
        <v>500</v>
      </c>
      <c r="H19" t="s">
        <v>448</v>
      </c>
      <c r="J19" t="s">
        <v>449</v>
      </c>
      <c r="K19" t="s">
        <v>181</v>
      </c>
      <c r="N19" t="s">
        <v>450</v>
      </c>
      <c r="O19" t="s">
        <v>451</v>
      </c>
      <c r="P19">
        <v>0</v>
      </c>
      <c r="Q19">
        <v>0</v>
      </c>
      <c r="R19">
        <v>90</v>
      </c>
      <c r="S19" t="s">
        <v>456</v>
      </c>
    </row>
    <row r="20" spans="1:19" x14ac:dyDescent="0.25">
      <c r="A20" t="s">
        <v>501</v>
      </c>
      <c r="B20" t="s">
        <v>493</v>
      </c>
      <c r="C20" t="s">
        <v>446</v>
      </c>
      <c r="D20">
        <v>214</v>
      </c>
      <c r="E20" t="s">
        <v>458</v>
      </c>
      <c r="F20" s="98">
        <v>238</v>
      </c>
      <c r="G20" s="97" t="s">
        <v>502</v>
      </c>
      <c r="H20" t="s">
        <v>448</v>
      </c>
      <c r="J20" t="s">
        <v>449</v>
      </c>
      <c r="K20" t="s">
        <v>181</v>
      </c>
      <c r="N20" t="s">
        <v>450</v>
      </c>
      <c r="O20" t="s">
        <v>451</v>
      </c>
      <c r="P20">
        <v>0</v>
      </c>
      <c r="Q20">
        <v>0</v>
      </c>
      <c r="R20">
        <v>90</v>
      </c>
      <c r="S20" t="s">
        <v>458</v>
      </c>
    </row>
    <row r="21" spans="1:19" x14ac:dyDescent="0.25">
      <c r="A21" t="s">
        <v>503</v>
      </c>
      <c r="B21" t="s">
        <v>493</v>
      </c>
      <c r="C21" t="s">
        <v>446</v>
      </c>
      <c r="D21">
        <v>105</v>
      </c>
      <c r="E21" t="s">
        <v>465</v>
      </c>
      <c r="F21" s="98">
        <v>114</v>
      </c>
      <c r="G21" s="97">
        <v>45336</v>
      </c>
    </row>
    <row r="22" spans="1:19" x14ac:dyDescent="0.25">
      <c r="A22" t="s">
        <v>504</v>
      </c>
      <c r="B22" t="s">
        <v>493</v>
      </c>
      <c r="C22" t="s">
        <v>446</v>
      </c>
      <c r="D22">
        <v>130</v>
      </c>
      <c r="E22" t="s">
        <v>469</v>
      </c>
      <c r="F22" s="98">
        <v>150</v>
      </c>
      <c r="G22" s="97" t="s">
        <v>505</v>
      </c>
      <c r="H22" t="s">
        <v>448</v>
      </c>
      <c r="J22" t="s">
        <v>449</v>
      </c>
      <c r="K22" t="s">
        <v>181</v>
      </c>
      <c r="N22" t="s">
        <v>450</v>
      </c>
      <c r="O22" t="s">
        <v>451</v>
      </c>
      <c r="P22">
        <v>0</v>
      </c>
      <c r="Q22">
        <v>0</v>
      </c>
      <c r="R22">
        <v>90</v>
      </c>
      <c r="S22" t="s">
        <v>469</v>
      </c>
    </row>
    <row r="23" spans="1:19" x14ac:dyDescent="0.25">
      <c r="A23" t="s">
        <v>506</v>
      </c>
      <c r="B23" t="s">
        <v>493</v>
      </c>
      <c r="C23" t="s">
        <v>446</v>
      </c>
      <c r="D23">
        <v>206</v>
      </c>
      <c r="E23" t="s">
        <v>472</v>
      </c>
      <c r="F23" s="98">
        <v>241</v>
      </c>
      <c r="G23" s="97" t="s">
        <v>507</v>
      </c>
      <c r="H23" t="s">
        <v>448</v>
      </c>
      <c r="J23" t="s">
        <v>449</v>
      </c>
      <c r="K23" t="s">
        <v>181</v>
      </c>
      <c r="N23" t="s">
        <v>450</v>
      </c>
      <c r="O23" t="s">
        <v>451</v>
      </c>
      <c r="P23">
        <v>0</v>
      </c>
      <c r="Q23">
        <v>0</v>
      </c>
      <c r="R23">
        <v>90</v>
      </c>
      <c r="S23" t="s">
        <v>472</v>
      </c>
    </row>
    <row r="24" spans="1:19" x14ac:dyDescent="0.25">
      <c r="A24" t="s">
        <v>508</v>
      </c>
      <c r="B24" t="s">
        <v>493</v>
      </c>
      <c r="C24" t="s">
        <v>446</v>
      </c>
      <c r="D24">
        <v>184</v>
      </c>
      <c r="E24" t="s">
        <v>461</v>
      </c>
      <c r="F24" s="98">
        <v>193</v>
      </c>
      <c r="G24" s="97" t="s">
        <v>509</v>
      </c>
      <c r="H24" t="s">
        <v>448</v>
      </c>
      <c r="J24" t="s">
        <v>449</v>
      </c>
      <c r="K24" t="s">
        <v>181</v>
      </c>
      <c r="N24" t="s">
        <v>450</v>
      </c>
      <c r="O24" t="s">
        <v>451</v>
      </c>
      <c r="P24">
        <v>0</v>
      </c>
      <c r="Q24">
        <v>0</v>
      </c>
      <c r="R24">
        <v>90</v>
      </c>
      <c r="S24" t="s">
        <v>461</v>
      </c>
    </row>
    <row r="25" spans="1:19" x14ac:dyDescent="0.25">
      <c r="A25" t="s">
        <v>510</v>
      </c>
      <c r="B25" t="s">
        <v>511</v>
      </c>
      <c r="C25" t="s">
        <v>446</v>
      </c>
      <c r="D25">
        <v>121</v>
      </c>
      <c r="E25" t="s">
        <v>469</v>
      </c>
      <c r="F25" s="84">
        <v>50</v>
      </c>
      <c r="G25" s="97">
        <v>45345</v>
      </c>
    </row>
    <row r="26" spans="1:19" x14ac:dyDescent="0.25">
      <c r="A26" t="s">
        <v>512</v>
      </c>
      <c r="B26" t="s">
        <v>513</v>
      </c>
      <c r="C26" t="s">
        <v>446</v>
      </c>
      <c r="D26">
        <v>389</v>
      </c>
      <c r="E26" t="s">
        <v>447</v>
      </c>
      <c r="F26" s="98">
        <v>148</v>
      </c>
      <c r="G26" s="97" t="s">
        <v>514</v>
      </c>
      <c r="H26" t="s">
        <v>448</v>
      </c>
      <c r="J26" t="s">
        <v>449</v>
      </c>
      <c r="K26" t="s">
        <v>181</v>
      </c>
      <c r="N26" t="s">
        <v>450</v>
      </c>
      <c r="O26" t="s">
        <v>451</v>
      </c>
      <c r="P26">
        <v>0</v>
      </c>
      <c r="Q26">
        <v>0</v>
      </c>
      <c r="R26">
        <v>90</v>
      </c>
      <c r="S26" t="s">
        <v>447</v>
      </c>
    </row>
    <row r="27" spans="1:19" x14ac:dyDescent="0.25">
      <c r="A27" t="s">
        <v>515</v>
      </c>
      <c r="B27" t="s">
        <v>516</v>
      </c>
      <c r="C27" t="s">
        <v>446</v>
      </c>
      <c r="D27">
        <v>329</v>
      </c>
      <c r="E27" t="s">
        <v>452</v>
      </c>
      <c r="F27" s="98">
        <v>154</v>
      </c>
      <c r="G27" s="97" t="s">
        <v>517</v>
      </c>
      <c r="H27" t="s">
        <v>448</v>
      </c>
      <c r="J27" t="s">
        <v>449</v>
      </c>
      <c r="K27" t="s">
        <v>181</v>
      </c>
      <c r="N27" t="s">
        <v>450</v>
      </c>
      <c r="O27" t="s">
        <v>451</v>
      </c>
      <c r="P27">
        <v>0</v>
      </c>
      <c r="Q27">
        <v>0</v>
      </c>
      <c r="R27">
        <v>90</v>
      </c>
      <c r="S27" t="s">
        <v>452</v>
      </c>
    </row>
    <row r="28" spans="1:19" x14ac:dyDescent="0.25">
      <c r="A28" t="s">
        <v>518</v>
      </c>
      <c r="B28" t="s">
        <v>519</v>
      </c>
      <c r="C28" t="s">
        <v>446</v>
      </c>
      <c r="D28">
        <v>191</v>
      </c>
      <c r="E28" t="s">
        <v>472</v>
      </c>
      <c r="F28" s="98">
        <v>108</v>
      </c>
      <c r="G28" s="97" t="s">
        <v>520</v>
      </c>
      <c r="H28" t="s">
        <v>448</v>
      </c>
      <c r="J28" t="s">
        <v>449</v>
      </c>
      <c r="K28" t="s">
        <v>181</v>
      </c>
      <c r="N28" t="s">
        <v>450</v>
      </c>
      <c r="O28" t="s">
        <v>451</v>
      </c>
      <c r="P28">
        <v>0</v>
      </c>
      <c r="Q28">
        <v>0</v>
      </c>
      <c r="R28">
        <v>90</v>
      </c>
      <c r="S28" t="s">
        <v>472</v>
      </c>
    </row>
    <row r="29" spans="1:19" x14ac:dyDescent="0.25">
      <c r="A29" t="s">
        <v>521</v>
      </c>
      <c r="B29" t="s">
        <v>522</v>
      </c>
      <c r="C29" t="s">
        <v>446</v>
      </c>
      <c r="D29">
        <v>234</v>
      </c>
      <c r="E29" t="s">
        <v>453</v>
      </c>
      <c r="F29" s="84">
        <v>125</v>
      </c>
      <c r="G29" s="97">
        <v>45343</v>
      </c>
    </row>
    <row r="30" spans="1:19" x14ac:dyDescent="0.25">
      <c r="A30" t="s">
        <v>523</v>
      </c>
      <c r="B30" t="s">
        <v>524</v>
      </c>
      <c r="C30" t="s">
        <v>446</v>
      </c>
      <c r="D30">
        <v>157</v>
      </c>
      <c r="E30" t="s">
        <v>456</v>
      </c>
      <c r="F30" s="98">
        <v>93</v>
      </c>
      <c r="G30" s="97" t="s">
        <v>525</v>
      </c>
      <c r="H30" t="s">
        <v>448</v>
      </c>
      <c r="J30" t="s">
        <v>449</v>
      </c>
      <c r="K30" t="s">
        <v>181</v>
      </c>
      <c r="N30" t="s">
        <v>450</v>
      </c>
      <c r="O30" t="s">
        <v>451</v>
      </c>
      <c r="P30">
        <v>0</v>
      </c>
      <c r="Q30">
        <v>0</v>
      </c>
      <c r="R30">
        <v>90</v>
      </c>
      <c r="S30" t="s">
        <v>456</v>
      </c>
    </row>
    <row r="31" spans="1:19" x14ac:dyDescent="0.25">
      <c r="A31" t="s">
        <v>526</v>
      </c>
      <c r="B31" t="s">
        <v>527</v>
      </c>
      <c r="C31" t="s">
        <v>446</v>
      </c>
      <c r="D31">
        <v>198</v>
      </c>
      <c r="E31" t="s">
        <v>458</v>
      </c>
      <c r="F31" s="98">
        <v>85</v>
      </c>
      <c r="G31" s="97" t="s">
        <v>528</v>
      </c>
      <c r="H31" t="s">
        <v>448</v>
      </c>
      <c r="J31" t="s">
        <v>449</v>
      </c>
      <c r="K31" t="s">
        <v>181</v>
      </c>
      <c r="N31" t="s">
        <v>450</v>
      </c>
      <c r="O31" t="s">
        <v>451</v>
      </c>
      <c r="P31">
        <v>0</v>
      </c>
      <c r="Q31">
        <v>0</v>
      </c>
      <c r="R31">
        <v>90</v>
      </c>
      <c r="S31" t="s">
        <v>458</v>
      </c>
    </row>
    <row r="32" spans="1:19" x14ac:dyDescent="0.25">
      <c r="A32" t="s">
        <v>529</v>
      </c>
      <c r="B32" t="s">
        <v>530</v>
      </c>
      <c r="C32" t="s">
        <v>446</v>
      </c>
      <c r="D32">
        <v>180</v>
      </c>
      <c r="E32" t="s">
        <v>461</v>
      </c>
      <c r="F32" s="98">
        <v>83</v>
      </c>
      <c r="G32" s="97" t="s">
        <v>531</v>
      </c>
      <c r="H32" t="s">
        <v>448</v>
      </c>
      <c r="J32" t="s">
        <v>449</v>
      </c>
      <c r="K32" t="s">
        <v>181</v>
      </c>
      <c r="N32" t="s">
        <v>450</v>
      </c>
      <c r="O32" t="s">
        <v>451</v>
      </c>
      <c r="P32">
        <v>0</v>
      </c>
      <c r="Q32">
        <v>0</v>
      </c>
      <c r="R32">
        <v>90</v>
      </c>
      <c r="S32" t="s">
        <v>461</v>
      </c>
    </row>
    <row r="33" spans="1:19" x14ac:dyDescent="0.25">
      <c r="A33" t="s">
        <v>532</v>
      </c>
      <c r="B33" t="s">
        <v>533</v>
      </c>
      <c r="C33" t="s">
        <v>446</v>
      </c>
      <c r="D33">
        <v>118</v>
      </c>
      <c r="E33" t="s">
        <v>465</v>
      </c>
      <c r="F33" s="84">
        <v>98</v>
      </c>
      <c r="G33" s="97" t="s">
        <v>534</v>
      </c>
      <c r="H33" t="s">
        <v>448</v>
      </c>
      <c r="J33" t="s">
        <v>449</v>
      </c>
      <c r="K33" t="s">
        <v>181</v>
      </c>
      <c r="N33" t="s">
        <v>450</v>
      </c>
      <c r="O33" t="s">
        <v>451</v>
      </c>
      <c r="P33">
        <v>0</v>
      </c>
      <c r="Q33">
        <v>0</v>
      </c>
      <c r="R33">
        <v>90</v>
      </c>
      <c r="S33" t="s">
        <v>465</v>
      </c>
    </row>
    <row r="34" spans="1:19" x14ac:dyDescent="0.25">
      <c r="A34" t="s">
        <v>535</v>
      </c>
      <c r="B34" t="s">
        <v>536</v>
      </c>
      <c r="C34" t="s">
        <v>446</v>
      </c>
      <c r="D34">
        <v>9</v>
      </c>
      <c r="E34" t="s">
        <v>537</v>
      </c>
      <c r="F34" s="84">
        <v>1365</v>
      </c>
      <c r="G34" s="97" t="s">
        <v>538</v>
      </c>
      <c r="H34" t="s">
        <v>448</v>
      </c>
      <c r="J34" t="s">
        <v>449</v>
      </c>
      <c r="K34" t="s">
        <v>181</v>
      </c>
      <c r="N34" t="s">
        <v>450</v>
      </c>
      <c r="O34" t="s">
        <v>451</v>
      </c>
      <c r="P34">
        <v>0</v>
      </c>
      <c r="Q34">
        <v>0</v>
      </c>
      <c r="R34">
        <v>90</v>
      </c>
      <c r="S34" t="s">
        <v>537</v>
      </c>
    </row>
    <row r="35" spans="1:19" x14ac:dyDescent="0.25">
      <c r="A35" t="s">
        <v>539</v>
      </c>
      <c r="B35" t="s">
        <v>540</v>
      </c>
      <c r="C35" t="s">
        <v>446</v>
      </c>
      <c r="D35">
        <v>476</v>
      </c>
      <c r="E35" t="s">
        <v>447</v>
      </c>
      <c r="F35" s="98">
        <v>354</v>
      </c>
      <c r="G35" s="97" t="s">
        <v>541</v>
      </c>
      <c r="H35" t="s">
        <v>448</v>
      </c>
      <c r="J35" t="s">
        <v>449</v>
      </c>
      <c r="K35" t="s">
        <v>181</v>
      </c>
      <c r="N35" t="s">
        <v>450</v>
      </c>
      <c r="O35" t="s">
        <v>451</v>
      </c>
      <c r="P35">
        <v>0</v>
      </c>
      <c r="Q35">
        <v>0</v>
      </c>
      <c r="R35">
        <v>90</v>
      </c>
      <c r="S35" t="s">
        <v>447</v>
      </c>
    </row>
    <row r="36" spans="1:19" x14ac:dyDescent="0.25">
      <c r="A36" t="s">
        <v>542</v>
      </c>
      <c r="B36" t="s">
        <v>543</v>
      </c>
      <c r="C36" t="s">
        <v>446</v>
      </c>
      <c r="D36">
        <v>412</v>
      </c>
      <c r="E36" t="s">
        <v>452</v>
      </c>
      <c r="F36" s="98">
        <v>333</v>
      </c>
      <c r="G36" s="97" t="s">
        <v>544</v>
      </c>
      <c r="H36" t="s">
        <v>448</v>
      </c>
      <c r="J36" t="s">
        <v>449</v>
      </c>
      <c r="K36" t="s">
        <v>181</v>
      </c>
      <c r="N36" t="s">
        <v>450</v>
      </c>
      <c r="O36" t="s">
        <v>451</v>
      </c>
      <c r="P36">
        <v>0</v>
      </c>
      <c r="Q36">
        <v>0</v>
      </c>
      <c r="R36">
        <v>90</v>
      </c>
      <c r="S36" t="s">
        <v>452</v>
      </c>
    </row>
    <row r="37" spans="1:19" x14ac:dyDescent="0.25">
      <c r="A37" t="s">
        <v>545</v>
      </c>
      <c r="B37" t="s">
        <v>546</v>
      </c>
      <c r="C37" t="s">
        <v>446</v>
      </c>
      <c r="D37">
        <v>206</v>
      </c>
      <c r="E37" t="s">
        <v>472</v>
      </c>
      <c r="F37" s="98">
        <v>160</v>
      </c>
      <c r="G37" s="97" t="s">
        <v>547</v>
      </c>
      <c r="H37" t="s">
        <v>448</v>
      </c>
      <c r="J37" t="s">
        <v>449</v>
      </c>
      <c r="K37" t="s">
        <v>181</v>
      </c>
      <c r="N37" t="s">
        <v>450</v>
      </c>
      <c r="O37" t="s">
        <v>451</v>
      </c>
      <c r="P37">
        <v>0</v>
      </c>
      <c r="Q37">
        <v>0</v>
      </c>
      <c r="R37">
        <v>90</v>
      </c>
      <c r="S37" t="s">
        <v>472</v>
      </c>
    </row>
    <row r="38" spans="1:19" x14ac:dyDescent="0.25">
      <c r="A38" t="s">
        <v>548</v>
      </c>
      <c r="B38" t="s">
        <v>549</v>
      </c>
      <c r="C38" t="s">
        <v>446</v>
      </c>
      <c r="D38">
        <v>497</v>
      </c>
      <c r="E38" t="s">
        <v>453</v>
      </c>
      <c r="F38" s="98">
        <v>325</v>
      </c>
      <c r="G38" s="97" t="s">
        <v>550</v>
      </c>
      <c r="H38" t="s">
        <v>448</v>
      </c>
      <c r="J38" t="s">
        <v>449</v>
      </c>
      <c r="K38" t="s">
        <v>181</v>
      </c>
      <c r="N38" t="s">
        <v>450</v>
      </c>
      <c r="O38" t="s">
        <v>451</v>
      </c>
      <c r="P38">
        <v>0</v>
      </c>
      <c r="Q38">
        <v>0</v>
      </c>
      <c r="R38">
        <v>90</v>
      </c>
      <c r="S38" t="s">
        <v>453</v>
      </c>
    </row>
    <row r="39" spans="1:19" x14ac:dyDescent="0.25">
      <c r="A39" t="s">
        <v>551</v>
      </c>
      <c r="B39" t="s">
        <v>552</v>
      </c>
      <c r="C39" t="s">
        <v>446</v>
      </c>
      <c r="D39">
        <v>204</v>
      </c>
      <c r="E39" t="s">
        <v>456</v>
      </c>
      <c r="F39" s="98">
        <v>171</v>
      </c>
      <c r="G39" s="97" t="s">
        <v>553</v>
      </c>
      <c r="H39" t="s">
        <v>448</v>
      </c>
      <c r="J39" t="s">
        <v>449</v>
      </c>
      <c r="K39" t="s">
        <v>181</v>
      </c>
      <c r="N39" t="s">
        <v>450</v>
      </c>
      <c r="O39" t="s">
        <v>451</v>
      </c>
      <c r="P39">
        <v>0</v>
      </c>
      <c r="Q39">
        <v>0</v>
      </c>
      <c r="R39">
        <v>90</v>
      </c>
      <c r="S39" t="s">
        <v>456</v>
      </c>
    </row>
    <row r="40" spans="1:19" x14ac:dyDescent="0.25">
      <c r="A40" t="s">
        <v>554</v>
      </c>
      <c r="B40" t="s">
        <v>555</v>
      </c>
      <c r="C40" t="s">
        <v>446</v>
      </c>
      <c r="D40">
        <v>368</v>
      </c>
      <c r="E40" t="s">
        <v>458</v>
      </c>
      <c r="F40" s="98">
        <v>332</v>
      </c>
      <c r="G40" s="97" t="s">
        <v>556</v>
      </c>
      <c r="H40" t="s">
        <v>448</v>
      </c>
      <c r="J40" t="s">
        <v>449</v>
      </c>
      <c r="K40" t="s">
        <v>181</v>
      </c>
      <c r="N40" t="s">
        <v>450</v>
      </c>
      <c r="O40" t="s">
        <v>451</v>
      </c>
      <c r="P40">
        <v>0</v>
      </c>
      <c r="Q40">
        <v>0</v>
      </c>
      <c r="R40">
        <v>90</v>
      </c>
      <c r="S40" t="s">
        <v>458</v>
      </c>
    </row>
    <row r="41" spans="1:19" x14ac:dyDescent="0.25">
      <c r="A41" t="s">
        <v>557</v>
      </c>
      <c r="B41" t="s">
        <v>558</v>
      </c>
      <c r="C41" t="s">
        <v>446</v>
      </c>
      <c r="D41">
        <v>42</v>
      </c>
      <c r="E41" t="s">
        <v>461</v>
      </c>
      <c r="F41" s="98">
        <v>41</v>
      </c>
      <c r="G41" s="97" t="s">
        <v>559</v>
      </c>
      <c r="H41" t="s">
        <v>448</v>
      </c>
      <c r="J41" t="s">
        <v>449</v>
      </c>
      <c r="K41" t="s">
        <v>181</v>
      </c>
      <c r="N41" t="s">
        <v>450</v>
      </c>
      <c r="O41" t="s">
        <v>451</v>
      </c>
      <c r="P41">
        <v>0</v>
      </c>
      <c r="Q41">
        <v>0</v>
      </c>
      <c r="R41">
        <v>90</v>
      </c>
      <c r="S41" t="s">
        <v>461</v>
      </c>
    </row>
    <row r="42" spans="1:19" x14ac:dyDescent="0.25">
      <c r="A42" t="s">
        <v>560</v>
      </c>
      <c r="B42" t="s">
        <v>558</v>
      </c>
      <c r="C42" t="s">
        <v>446</v>
      </c>
      <c r="D42">
        <v>248</v>
      </c>
      <c r="E42" t="s">
        <v>461</v>
      </c>
      <c r="F42" s="98">
        <v>230</v>
      </c>
      <c r="G42" s="97" t="s">
        <v>561</v>
      </c>
      <c r="H42" t="s">
        <v>448</v>
      </c>
      <c r="J42" t="s">
        <v>449</v>
      </c>
      <c r="K42" t="s">
        <v>181</v>
      </c>
      <c r="N42" t="s">
        <v>450</v>
      </c>
      <c r="O42" t="s">
        <v>451</v>
      </c>
      <c r="P42">
        <v>0</v>
      </c>
      <c r="Q42">
        <v>0</v>
      </c>
      <c r="R42">
        <v>90</v>
      </c>
      <c r="S42" t="s">
        <v>461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7A67-F835-4961-A3CD-4A327C405895}">
  <dimension ref="A1:L58"/>
  <sheetViews>
    <sheetView view="pageBreakPreview" topLeftCell="A7" zoomScaleNormal="100" zoomScaleSheetLayoutView="100" workbookViewId="0">
      <selection activeCell="E13" sqref="E13:E27"/>
    </sheetView>
  </sheetViews>
  <sheetFormatPr defaultRowHeight="13.8" x14ac:dyDescent="0.25"/>
  <cols>
    <col min="1" max="1" width="17.5" customWidth="1"/>
    <col min="2" max="2" width="29.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45292</v>
      </c>
      <c r="H3" s="4"/>
      <c r="I3" s="4"/>
    </row>
    <row r="4" spans="1:11" x14ac:dyDescent="0.25">
      <c r="B4" s="2"/>
      <c r="C4" s="6"/>
      <c r="F4" s="3">
        <v>45322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117.1679</v>
      </c>
      <c r="F6" t="s">
        <v>42</v>
      </c>
      <c r="G6" s="88">
        <v>2401002257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10503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31"/>
      <c r="C11" s="56"/>
      <c r="D11" s="12"/>
      <c r="E11" s="56"/>
      <c r="F11" s="12"/>
      <c r="G11" s="12"/>
      <c r="H11" s="12"/>
      <c r="I11" s="65"/>
      <c r="J11" s="39">
        <f>D10+D11+E11-H11-I11</f>
        <v>10503</v>
      </c>
      <c r="K11" s="41">
        <f>0.02*J11</f>
        <v>210.06</v>
      </c>
    </row>
    <row r="12" spans="1:11" ht="14.25" customHeight="1" x14ac:dyDescent="0.25">
      <c r="A12" s="15" t="s">
        <v>1</v>
      </c>
      <c r="B12" s="95"/>
      <c r="C12" s="89"/>
      <c r="D12" s="12"/>
      <c r="E12" s="12"/>
      <c r="F12" s="12"/>
      <c r="G12" s="12"/>
      <c r="H12" s="12"/>
      <c r="I12" s="65"/>
      <c r="J12" s="39">
        <f>J11+D12+E12-H12-I12</f>
        <v>10503</v>
      </c>
      <c r="K12" s="41">
        <f t="shared" ref="K12:K41" si="0">0.02*J12</f>
        <v>210.06</v>
      </c>
    </row>
    <row r="13" spans="1:11" ht="13.5" customHeight="1" x14ac:dyDescent="0.25">
      <c r="A13" s="15" t="s">
        <v>2</v>
      </c>
      <c r="B13" s="95" t="s">
        <v>406</v>
      </c>
      <c r="C13" s="90"/>
      <c r="D13" s="56">
        <v>1516</v>
      </c>
      <c r="E13" s="56">
        <v>3200</v>
      </c>
      <c r="F13" s="12"/>
      <c r="G13" s="12"/>
      <c r="H13" s="12"/>
      <c r="I13" s="65"/>
      <c r="J13" s="39">
        <f t="shared" ref="J13:J39" si="1">J12+D13+E13-H13-I13</f>
        <v>15219</v>
      </c>
      <c r="K13" s="41">
        <f t="shared" si="0"/>
        <v>304.38</v>
      </c>
    </row>
    <row r="14" spans="1:11" ht="14.4" x14ac:dyDescent="0.25">
      <c r="A14" s="15" t="s">
        <v>3</v>
      </c>
      <c r="B14" s="93" t="s">
        <v>407</v>
      </c>
      <c r="C14" s="93"/>
      <c r="D14" s="12">
        <v>743</v>
      </c>
      <c r="E14" s="12">
        <v>138</v>
      </c>
      <c r="F14" s="12"/>
      <c r="G14" s="12"/>
      <c r="H14" s="12">
        <v>52</v>
      </c>
      <c r="I14" s="65"/>
      <c r="J14" s="39">
        <f t="shared" si="1"/>
        <v>16048</v>
      </c>
      <c r="K14" s="41">
        <f t="shared" si="0"/>
        <v>320.95999999999998</v>
      </c>
    </row>
    <row r="15" spans="1:11" x14ac:dyDescent="0.25">
      <c r="A15" s="15" t="s">
        <v>4</v>
      </c>
      <c r="B15" s="95"/>
      <c r="C15" s="90"/>
      <c r="D15" s="12"/>
      <c r="E15" s="12">
        <v>86</v>
      </c>
      <c r="F15" s="12"/>
      <c r="G15" s="12"/>
      <c r="H15" s="12"/>
      <c r="I15" s="65"/>
      <c r="J15" s="39">
        <f t="shared" si="1"/>
        <v>16134</v>
      </c>
      <c r="K15" s="41">
        <f t="shared" si="0"/>
        <v>322.68</v>
      </c>
    </row>
    <row r="16" spans="1:11" x14ac:dyDescent="0.25">
      <c r="A16" s="15" t="s">
        <v>5</v>
      </c>
      <c r="B16" s="92"/>
      <c r="C16" s="92"/>
      <c r="D16" s="12"/>
      <c r="E16" s="12"/>
      <c r="F16" s="12"/>
      <c r="G16" s="12"/>
      <c r="H16" s="80"/>
      <c r="I16" s="65"/>
      <c r="J16" s="39">
        <f t="shared" si="1"/>
        <v>16134</v>
      </c>
      <c r="K16" s="41">
        <f t="shared" si="0"/>
        <v>322.68</v>
      </c>
    </row>
    <row r="17" spans="1:11" x14ac:dyDescent="0.25">
      <c r="A17" s="15" t="s">
        <v>6</v>
      </c>
      <c r="B17" s="81"/>
      <c r="C17" s="90"/>
      <c r="D17" s="12"/>
      <c r="E17" s="12"/>
      <c r="F17" s="81"/>
      <c r="G17" s="12"/>
      <c r="H17" s="12"/>
      <c r="I17" s="66"/>
      <c r="J17" s="39">
        <f t="shared" si="1"/>
        <v>16134</v>
      </c>
      <c r="K17" s="41">
        <f t="shared" si="0"/>
        <v>322.68</v>
      </c>
    </row>
    <row r="18" spans="1:11" x14ac:dyDescent="0.25">
      <c r="A18" s="15" t="s">
        <v>7</v>
      </c>
      <c r="B18" s="95"/>
      <c r="C18" s="90"/>
      <c r="D18" s="12"/>
      <c r="E18" s="12">
        <v>59</v>
      </c>
      <c r="F18" s="12"/>
      <c r="G18" s="12"/>
      <c r="H18" s="12"/>
      <c r="I18" s="66"/>
      <c r="J18" s="39">
        <f t="shared" si="1"/>
        <v>16193</v>
      </c>
      <c r="K18" s="41">
        <f t="shared" si="0"/>
        <v>323.86</v>
      </c>
    </row>
    <row r="19" spans="1:11" ht="13.5" customHeight="1" x14ac:dyDescent="0.25">
      <c r="A19" s="15" t="s">
        <v>8</v>
      </c>
      <c r="B19" s="95" t="s">
        <v>408</v>
      </c>
      <c r="C19" s="90"/>
      <c r="D19" s="12">
        <v>870</v>
      </c>
      <c r="E19" s="12">
        <v>131</v>
      </c>
      <c r="F19" s="81"/>
      <c r="G19" s="12"/>
      <c r="H19" s="12"/>
      <c r="I19" s="66"/>
      <c r="J19" s="39">
        <f t="shared" si="1"/>
        <v>17194</v>
      </c>
      <c r="K19" s="41">
        <f t="shared" si="0"/>
        <v>343.88</v>
      </c>
    </row>
    <row r="20" spans="1:11" x14ac:dyDescent="0.25">
      <c r="A20" s="15" t="s">
        <v>9</v>
      </c>
      <c r="B20" s="92"/>
      <c r="C20" s="90"/>
      <c r="D20" s="12"/>
      <c r="E20" s="12">
        <v>19</v>
      </c>
      <c r="F20" s="81"/>
      <c r="G20" s="12"/>
      <c r="H20" s="12">
        <v>1469</v>
      </c>
      <c r="I20" s="66"/>
      <c r="J20" s="39">
        <f t="shared" si="1"/>
        <v>15744</v>
      </c>
      <c r="K20" s="41">
        <f t="shared" si="0"/>
        <v>314.88</v>
      </c>
    </row>
    <row r="21" spans="1:11" ht="14.4" x14ac:dyDescent="0.25">
      <c r="A21" s="15" t="s">
        <v>10</v>
      </c>
      <c r="B21" s="93"/>
      <c r="C21" s="81"/>
      <c r="D21" s="12"/>
      <c r="E21" s="12">
        <v>36</v>
      </c>
      <c r="F21" s="81"/>
      <c r="G21" s="12"/>
      <c r="H21" s="12">
        <v>699</v>
      </c>
      <c r="I21" s="66"/>
      <c r="J21" s="39">
        <f t="shared" si="1"/>
        <v>15081</v>
      </c>
      <c r="K21" s="41">
        <f t="shared" si="0"/>
        <v>301.62</v>
      </c>
    </row>
    <row r="22" spans="1:11" x14ac:dyDescent="0.25">
      <c r="A22" s="15" t="s">
        <v>11</v>
      </c>
      <c r="B22" s="95"/>
      <c r="C22" s="90"/>
      <c r="D22" s="12"/>
      <c r="E22" s="12">
        <v>20</v>
      </c>
      <c r="F22" s="81"/>
      <c r="G22" s="12"/>
      <c r="H22" s="12">
        <v>340</v>
      </c>
      <c r="I22" s="66"/>
      <c r="J22" s="39">
        <f t="shared" si="1"/>
        <v>14761</v>
      </c>
      <c r="K22" s="41">
        <f t="shared" si="0"/>
        <v>295.22000000000003</v>
      </c>
    </row>
    <row r="23" spans="1:11" x14ac:dyDescent="0.25">
      <c r="A23" s="15" t="s">
        <v>12</v>
      </c>
      <c r="B23" s="92"/>
      <c r="C23" s="90"/>
      <c r="D23" s="12"/>
      <c r="E23" s="12"/>
      <c r="F23" s="81"/>
      <c r="G23" s="81"/>
      <c r="H23" s="12"/>
      <c r="I23" s="66"/>
      <c r="J23" s="39">
        <f t="shared" si="1"/>
        <v>14761</v>
      </c>
      <c r="K23" s="41">
        <f t="shared" si="0"/>
        <v>295.22000000000003</v>
      </c>
    </row>
    <row r="24" spans="1:11" x14ac:dyDescent="0.25">
      <c r="A24" s="15" t="s">
        <v>13</v>
      </c>
      <c r="B24" s="81"/>
      <c r="C24" s="90"/>
      <c r="D24" s="12"/>
      <c r="E24" s="12"/>
      <c r="F24" s="81"/>
      <c r="G24" s="12"/>
      <c r="H24" s="12"/>
      <c r="I24" s="66"/>
      <c r="J24" s="39">
        <f t="shared" si="1"/>
        <v>14761</v>
      </c>
      <c r="K24" s="41">
        <f t="shared" si="0"/>
        <v>295.22000000000003</v>
      </c>
    </row>
    <row r="25" spans="1:11" x14ac:dyDescent="0.25">
      <c r="A25" s="15" t="s">
        <v>14</v>
      </c>
      <c r="B25" s="92" t="s">
        <v>409</v>
      </c>
      <c r="C25" s="90"/>
      <c r="D25" s="12">
        <v>1236</v>
      </c>
      <c r="E25" s="12">
        <v>43</v>
      </c>
      <c r="F25" s="81"/>
      <c r="G25" s="12"/>
      <c r="H25" s="12"/>
      <c r="I25" s="66"/>
      <c r="J25" s="39">
        <f t="shared" si="1"/>
        <v>16040</v>
      </c>
      <c r="K25" s="41">
        <f t="shared" si="0"/>
        <v>320.8</v>
      </c>
    </row>
    <row r="26" spans="1:11" x14ac:dyDescent="0.25">
      <c r="A26" s="15" t="s">
        <v>15</v>
      </c>
      <c r="B26" s="92" t="s">
        <v>410</v>
      </c>
      <c r="C26" s="92"/>
      <c r="D26" s="12">
        <v>1075</v>
      </c>
      <c r="E26" s="12">
        <v>18</v>
      </c>
      <c r="F26" s="81"/>
      <c r="G26" s="12"/>
      <c r="H26" s="12">
        <v>266</v>
      </c>
      <c r="I26" s="66"/>
      <c r="J26" s="39">
        <f t="shared" si="1"/>
        <v>16867</v>
      </c>
      <c r="K26" s="41">
        <f t="shared" si="0"/>
        <v>337.34000000000003</v>
      </c>
    </row>
    <row r="27" spans="1:11" x14ac:dyDescent="0.25">
      <c r="A27" s="15" t="s">
        <v>16</v>
      </c>
      <c r="B27" s="92"/>
      <c r="C27" s="90"/>
      <c r="D27" s="12"/>
      <c r="E27" s="12">
        <v>20</v>
      </c>
      <c r="F27" s="81"/>
      <c r="G27" s="12"/>
      <c r="H27" s="12">
        <v>531</v>
      </c>
      <c r="I27" s="66"/>
      <c r="J27" s="39">
        <f t="shared" si="1"/>
        <v>16356</v>
      </c>
      <c r="K27" s="41">
        <f t="shared" si="0"/>
        <v>327.12</v>
      </c>
    </row>
    <row r="28" spans="1:11" x14ac:dyDescent="0.25">
      <c r="A28" s="15" t="s">
        <v>17</v>
      </c>
      <c r="B28" s="81"/>
      <c r="C28" s="90"/>
      <c r="D28" s="12"/>
      <c r="E28" s="35"/>
      <c r="F28" s="18"/>
      <c r="G28" s="12"/>
      <c r="H28" s="12">
        <v>534</v>
      </c>
      <c r="I28" s="66"/>
      <c r="J28" s="39">
        <f t="shared" si="1"/>
        <v>15822</v>
      </c>
      <c r="K28" s="41">
        <f t="shared" si="0"/>
        <v>316.44</v>
      </c>
    </row>
    <row r="29" spans="1:11" x14ac:dyDescent="0.25">
      <c r="A29" s="15" t="s">
        <v>18</v>
      </c>
      <c r="B29" s="94" t="s">
        <v>411</v>
      </c>
      <c r="C29" s="94"/>
      <c r="D29" s="12">
        <v>1278</v>
      </c>
      <c r="E29" s="35"/>
      <c r="F29" s="18"/>
      <c r="G29" s="12"/>
      <c r="H29" s="12">
        <v>84</v>
      </c>
      <c r="I29" s="66"/>
      <c r="J29" s="39">
        <f t="shared" si="1"/>
        <v>17016</v>
      </c>
      <c r="K29" s="41">
        <f t="shared" si="0"/>
        <v>340.32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>J29+D30+E30-H30-I30</f>
        <v>17016</v>
      </c>
      <c r="K30" s="41">
        <f t="shared" si="0"/>
        <v>340.32</v>
      </c>
    </row>
    <row r="31" spans="1:11" x14ac:dyDescent="0.25">
      <c r="A31" s="15" t="s">
        <v>20</v>
      </c>
      <c r="B31" s="17"/>
      <c r="C31" s="11"/>
      <c r="D31" s="12"/>
      <c r="E31" s="64"/>
      <c r="F31" s="18"/>
      <c r="G31" s="12"/>
      <c r="H31" s="12"/>
      <c r="I31" s="66"/>
      <c r="J31" s="39">
        <f t="shared" si="1"/>
        <v>17016</v>
      </c>
      <c r="K31" s="41">
        <f t="shared" si="0"/>
        <v>340.32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/>
      <c r="H32" s="12"/>
      <c r="I32" s="66"/>
      <c r="J32" s="39">
        <f t="shared" si="1"/>
        <v>17016</v>
      </c>
      <c r="K32" s="41">
        <f t="shared" si="0"/>
        <v>340.32</v>
      </c>
    </row>
    <row r="33" spans="1:12" x14ac:dyDescent="0.25">
      <c r="A33" s="15" t="s">
        <v>22</v>
      </c>
      <c r="B33" s="17" t="s">
        <v>412</v>
      </c>
      <c r="C33" s="56"/>
      <c r="D33" s="12">
        <v>1445</v>
      </c>
      <c r="E33" s="35"/>
      <c r="F33" s="18"/>
      <c r="G33" s="12"/>
      <c r="H33" s="12">
        <v>240</v>
      </c>
      <c r="I33" s="66"/>
      <c r="J33" s="39">
        <f t="shared" si="1"/>
        <v>18221</v>
      </c>
      <c r="K33" s="41">
        <f t="shared" si="0"/>
        <v>364.42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>
        <v>765</v>
      </c>
      <c r="I34" s="66"/>
      <c r="J34" s="39">
        <f t="shared" si="1"/>
        <v>17456</v>
      </c>
      <c r="K34" s="41">
        <f t="shared" si="0"/>
        <v>349.12</v>
      </c>
    </row>
    <row r="35" spans="1:12" x14ac:dyDescent="0.25">
      <c r="A35" s="15" t="s">
        <v>24</v>
      </c>
      <c r="B35" s="17" t="s">
        <v>413</v>
      </c>
      <c r="C35" s="56" t="s">
        <v>414</v>
      </c>
      <c r="D35" s="12">
        <f>1145+158</f>
        <v>1303</v>
      </c>
      <c r="E35" s="35"/>
      <c r="F35" s="18"/>
      <c r="G35" s="12"/>
      <c r="H35" s="12">
        <v>564</v>
      </c>
      <c r="I35" s="66"/>
      <c r="J35" s="39">
        <f t="shared" si="1"/>
        <v>18195</v>
      </c>
      <c r="K35" s="41">
        <f t="shared" si="0"/>
        <v>363.90000000000003</v>
      </c>
    </row>
    <row r="36" spans="1:12" ht="13.5" customHeight="1" x14ac:dyDescent="0.25">
      <c r="A36" s="15" t="s">
        <v>25</v>
      </c>
      <c r="B36" s="81"/>
      <c r="C36" s="94"/>
      <c r="D36" s="12"/>
      <c r="E36" s="35"/>
      <c r="F36" s="14"/>
      <c r="G36" s="14"/>
      <c r="H36" s="12">
        <v>220</v>
      </c>
      <c r="I36" s="67"/>
      <c r="J36" s="39">
        <f t="shared" si="1"/>
        <v>17975</v>
      </c>
      <c r="K36" s="41">
        <f t="shared" si="0"/>
        <v>359.5</v>
      </c>
    </row>
    <row r="37" spans="1:12" x14ac:dyDescent="0.25">
      <c r="A37" s="15" t="s">
        <v>26</v>
      </c>
      <c r="B37" s="17"/>
      <c r="C37" s="17"/>
      <c r="D37" s="12"/>
      <c r="E37" s="35"/>
      <c r="F37" s="14"/>
      <c r="G37" s="12"/>
      <c r="H37" s="12"/>
      <c r="I37" s="66"/>
      <c r="J37" s="39">
        <f t="shared" si="1"/>
        <v>17975</v>
      </c>
      <c r="K37" s="41">
        <f t="shared" si="0"/>
        <v>359.5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/>
      <c r="I38" s="66"/>
      <c r="J38" s="39">
        <f t="shared" si="1"/>
        <v>17975</v>
      </c>
      <c r="K38" s="41">
        <f t="shared" si="0"/>
        <v>359.5</v>
      </c>
    </row>
    <row r="39" spans="1:12" x14ac:dyDescent="0.25">
      <c r="A39" s="15" t="s">
        <v>28</v>
      </c>
      <c r="B39" s="17" t="s">
        <v>415</v>
      </c>
      <c r="C39" s="56"/>
      <c r="D39" s="12">
        <v>873</v>
      </c>
      <c r="E39" s="35"/>
      <c r="F39" s="18"/>
      <c r="G39" s="12"/>
      <c r="H39" s="12"/>
      <c r="I39" s="66"/>
      <c r="J39" s="39">
        <f t="shared" si="1"/>
        <v>18848</v>
      </c>
      <c r="K39" s="41">
        <f t="shared" si="0"/>
        <v>376.96</v>
      </c>
    </row>
    <row r="40" spans="1:12" x14ac:dyDescent="0.25">
      <c r="A40" s="12" t="s">
        <v>29</v>
      </c>
      <c r="B40" s="96" t="s">
        <v>416</v>
      </c>
      <c r="C40" s="56"/>
      <c r="D40" s="12">
        <v>5</v>
      </c>
      <c r="E40" s="12"/>
      <c r="F40" s="81"/>
      <c r="G40" s="12"/>
      <c r="H40" s="12">
        <v>330</v>
      </c>
      <c r="I40" s="12"/>
      <c r="J40" s="39">
        <f>J39+D40+E40-H40-I40</f>
        <v>18523</v>
      </c>
      <c r="K40" s="41">
        <f t="shared" si="0"/>
        <v>370.46</v>
      </c>
    </row>
    <row r="41" spans="1:12" x14ac:dyDescent="0.25">
      <c r="A41" s="12" t="s">
        <v>30</v>
      </c>
      <c r="B41" s="96" t="s">
        <v>417</v>
      </c>
      <c r="C41" s="56"/>
      <c r="D41" s="12">
        <v>1598</v>
      </c>
      <c r="E41" s="12"/>
      <c r="F41" s="81"/>
      <c r="G41" s="12"/>
      <c r="H41" s="12">
        <v>1070</v>
      </c>
      <c r="I41" s="12"/>
      <c r="J41" s="39">
        <f>J40+D41+E41-H41-I41</f>
        <v>19051</v>
      </c>
      <c r="K41" s="41">
        <f t="shared" si="0"/>
        <v>381.02</v>
      </c>
    </row>
    <row r="42" spans="1:12" ht="15" thickBot="1" x14ac:dyDescent="0.35">
      <c r="A42" s="168"/>
      <c r="B42" s="169"/>
      <c r="C42" s="19" t="s">
        <v>31</v>
      </c>
      <c r="D42" s="20">
        <f>SUM(D11:D41)</f>
        <v>11942</v>
      </c>
      <c r="E42" s="20">
        <f>SUM(E11:E41)</f>
        <v>3770</v>
      </c>
      <c r="F42" s="21">
        <v>0</v>
      </c>
      <c r="G42" s="21"/>
      <c r="H42" s="20">
        <f>SUM(H11:H41)</f>
        <v>7164</v>
      </c>
      <c r="I42" s="20">
        <f>SUM(I11:I41)</f>
        <v>0</v>
      </c>
      <c r="J42" s="69">
        <f>AVERAGE(J11:J41)</f>
        <v>16339.935483870968</v>
      </c>
      <c r="K42" s="32">
        <f>SUM(K11:K41)</f>
        <v>10130.759999999998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</f>
        <v>11942</v>
      </c>
      <c r="I45" s="59">
        <v>0.28000000000000003</v>
      </c>
      <c r="J45" s="48">
        <f>H45*I45</f>
        <v>3343.76</v>
      </c>
      <c r="K45" s="50">
        <f>kurs*J45</f>
        <v>391781.33730400004</v>
      </c>
    </row>
    <row r="46" spans="1:12" x14ac:dyDescent="0.25">
      <c r="E46" s="42" t="s">
        <v>54</v>
      </c>
      <c r="F46" s="43"/>
      <c r="G46" s="43"/>
      <c r="H46" s="44">
        <f>H42</f>
        <v>7164</v>
      </c>
      <c r="I46" s="59">
        <v>0.2</v>
      </c>
      <c r="J46" s="48">
        <f>H46*I46</f>
        <v>1432.8000000000002</v>
      </c>
      <c r="K46" s="50">
        <f t="shared" ref="K46" si="2">kurs*J46</f>
        <v>167878.16712000003</v>
      </c>
      <c r="L46" s="61"/>
    </row>
    <row r="47" spans="1:12" x14ac:dyDescent="0.25">
      <c r="E47" s="42" t="s">
        <v>163</v>
      </c>
      <c r="F47" s="43"/>
      <c r="G47" s="43"/>
      <c r="H47" s="44">
        <f>E42</f>
        <v>3770</v>
      </c>
      <c r="I47" s="59">
        <v>0.26600000000000001</v>
      </c>
      <c r="J47" s="48">
        <f t="shared" ref="J47:J51" si="3">H47*I47</f>
        <v>1002.82</v>
      </c>
      <c r="K47" s="50">
        <f t="shared" ref="K47:K48" si="4">kurs*J47</f>
        <v>117498.31347800001</v>
      </c>
    </row>
    <row r="48" spans="1:12" x14ac:dyDescent="0.25">
      <c r="E48" s="45" t="s">
        <v>164</v>
      </c>
      <c r="F48" s="46"/>
      <c r="G48" s="46"/>
      <c r="H48" s="47">
        <f>I42</f>
        <v>0</v>
      </c>
      <c r="I48" s="60">
        <v>0.19</v>
      </c>
      <c r="J48" s="48">
        <f t="shared" si="3"/>
        <v>0</v>
      </c>
      <c r="K48" s="50">
        <f t="shared" si="4"/>
        <v>0</v>
      </c>
    </row>
    <row r="49" spans="3:12" x14ac:dyDescent="0.25">
      <c r="E49" s="45" t="s">
        <v>360</v>
      </c>
      <c r="F49" s="46"/>
      <c r="G49" s="46"/>
      <c r="H49" s="47">
        <v>0</v>
      </c>
      <c r="I49" s="60">
        <v>0.04</v>
      </c>
      <c r="J49" s="48">
        <f t="shared" si="3"/>
        <v>0</v>
      </c>
      <c r="K49" s="50">
        <f>kurs*J49</f>
        <v>0</v>
      </c>
    </row>
    <row r="50" spans="3:12" x14ac:dyDescent="0.25">
      <c r="E50" s="45" t="s">
        <v>418</v>
      </c>
      <c r="F50" s="46"/>
      <c r="G50" s="46"/>
      <c r="H50" s="47">
        <v>3085</v>
      </c>
      <c r="I50" s="60">
        <v>0.05</v>
      </c>
      <c r="J50" s="48">
        <f t="shared" si="3"/>
        <v>154.25</v>
      </c>
      <c r="K50" s="50">
        <f>kurs*J50</f>
        <v>18073.148574999999</v>
      </c>
    </row>
    <row r="51" spans="3:12" x14ac:dyDescent="0.25">
      <c r="E51" s="45" t="s">
        <v>386</v>
      </c>
      <c r="F51" s="46"/>
      <c r="G51" s="46"/>
      <c r="H51" s="47">
        <v>0</v>
      </c>
      <c r="I51" s="60">
        <v>200</v>
      </c>
      <c r="J51" s="48">
        <f t="shared" si="3"/>
        <v>0</v>
      </c>
      <c r="K51" s="50">
        <f>kurs*J51</f>
        <v>0</v>
      </c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10130.759999999998</v>
      </c>
      <c r="K52" s="50">
        <f>kurs*J52</f>
        <v>1186999.8746039998</v>
      </c>
      <c r="L52" s="61"/>
    </row>
    <row r="53" spans="3:12" x14ac:dyDescent="0.25">
      <c r="E53" s="22"/>
      <c r="I53" t="s">
        <v>56</v>
      </c>
      <c r="J53" s="52">
        <f>SUM(J45:J52)</f>
        <v>16064.39</v>
      </c>
      <c r="K53" s="51">
        <f>SUM(K45:K52)</f>
        <v>1882230.8410809999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7926-62C5-46AB-98C3-D9BC70E424A8}">
  <dimension ref="A1:L58"/>
  <sheetViews>
    <sheetView view="pageBreakPreview" topLeftCell="A10" zoomScaleNormal="100" zoomScaleSheetLayoutView="100" workbookViewId="0">
      <selection activeCell="D36" sqref="D36"/>
    </sheetView>
  </sheetViews>
  <sheetFormatPr defaultRowHeight="13.8" x14ac:dyDescent="0.25"/>
  <cols>
    <col min="1" max="1" width="17.5" customWidth="1"/>
    <col min="2" max="2" width="29.5" bestFit="1" customWidth="1"/>
    <col min="3" max="3" width="34.5976562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45261</v>
      </c>
      <c r="H3" s="4"/>
      <c r="I3" s="4"/>
    </row>
    <row r="4" spans="1:11" x14ac:dyDescent="0.25">
      <c r="B4" s="2"/>
      <c r="C4" s="6"/>
      <c r="F4" s="3">
        <v>45291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117.2299</v>
      </c>
      <c r="F6" t="s">
        <v>42</v>
      </c>
      <c r="G6" s="88">
        <v>2312028942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14798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31"/>
      <c r="C11" s="56"/>
      <c r="D11" s="12"/>
      <c r="E11" s="56"/>
      <c r="F11" s="12"/>
      <c r="G11" s="12"/>
      <c r="H11" s="12"/>
      <c r="I11" s="65"/>
      <c r="J11" s="39">
        <f>D10+D11+E11-H11-I11</f>
        <v>14798</v>
      </c>
      <c r="K11" s="41">
        <f>0.02*J11</f>
        <v>295.95999999999998</v>
      </c>
    </row>
    <row r="12" spans="1:11" ht="14.25" customHeight="1" x14ac:dyDescent="0.25">
      <c r="A12" s="15" t="s">
        <v>1</v>
      </c>
      <c r="B12" s="91"/>
      <c r="C12" s="89"/>
      <c r="D12" s="12"/>
      <c r="E12" s="12"/>
      <c r="F12" s="12"/>
      <c r="G12" s="12"/>
      <c r="H12" s="12"/>
      <c r="I12" s="65"/>
      <c r="J12" s="39">
        <f>J11+D12+E12-H12-I12</f>
        <v>14798</v>
      </c>
      <c r="K12" s="41">
        <f t="shared" ref="K12:K40" si="0">0.02*J12</f>
        <v>295.95999999999998</v>
      </c>
    </row>
    <row r="13" spans="1:11" ht="13.5" customHeight="1" x14ac:dyDescent="0.25">
      <c r="A13" s="15" t="s">
        <v>2</v>
      </c>
      <c r="B13" s="89"/>
      <c r="C13" s="90"/>
      <c r="D13" s="56"/>
      <c r="E13" s="56"/>
      <c r="F13" s="12"/>
      <c r="G13" s="12"/>
      <c r="H13" s="12"/>
      <c r="I13" s="65"/>
      <c r="J13" s="39">
        <f t="shared" ref="J13:J39" si="1">J12+D13+E13-H13-I13</f>
        <v>14798</v>
      </c>
      <c r="K13" s="41">
        <f t="shared" si="0"/>
        <v>295.95999999999998</v>
      </c>
    </row>
    <row r="14" spans="1:11" ht="14.4" x14ac:dyDescent="0.25">
      <c r="A14" s="15" t="s">
        <v>3</v>
      </c>
      <c r="B14" s="93" t="s">
        <v>395</v>
      </c>
      <c r="C14" s="93" t="s">
        <v>396</v>
      </c>
      <c r="D14" s="12">
        <v>1680</v>
      </c>
      <c r="E14" s="12"/>
      <c r="F14" s="12"/>
      <c r="G14" s="12"/>
      <c r="H14" s="12"/>
      <c r="I14" s="65"/>
      <c r="J14" s="39">
        <f t="shared" si="1"/>
        <v>16478</v>
      </c>
      <c r="K14" s="41">
        <f t="shared" si="0"/>
        <v>329.56</v>
      </c>
    </row>
    <row r="15" spans="1:11" x14ac:dyDescent="0.25">
      <c r="A15" s="15" t="s">
        <v>4</v>
      </c>
      <c r="B15" s="91"/>
      <c r="C15" s="90"/>
      <c r="D15" s="12"/>
      <c r="E15" s="12"/>
      <c r="F15" s="12"/>
      <c r="G15" s="12"/>
      <c r="H15" s="12"/>
      <c r="I15" s="65"/>
      <c r="J15" s="39">
        <f t="shared" si="1"/>
        <v>16478</v>
      </c>
      <c r="K15" s="41">
        <f t="shared" si="0"/>
        <v>329.56</v>
      </c>
    </row>
    <row r="16" spans="1:11" x14ac:dyDescent="0.25">
      <c r="A16" s="15" t="s">
        <v>5</v>
      </c>
      <c r="B16" s="92"/>
      <c r="C16" s="92"/>
      <c r="D16" s="12"/>
      <c r="E16" s="12"/>
      <c r="F16" s="12"/>
      <c r="G16" s="12"/>
      <c r="H16" s="80">
        <v>223</v>
      </c>
      <c r="I16" s="65"/>
      <c r="J16" s="39">
        <f t="shared" si="1"/>
        <v>16255</v>
      </c>
      <c r="K16" s="41">
        <f t="shared" si="0"/>
        <v>325.10000000000002</v>
      </c>
    </row>
    <row r="17" spans="1:11" x14ac:dyDescent="0.25">
      <c r="A17" s="15" t="s">
        <v>6</v>
      </c>
      <c r="B17" s="81" t="s">
        <v>397</v>
      </c>
      <c r="C17" s="90"/>
      <c r="D17" s="12">
        <v>419</v>
      </c>
      <c r="E17" s="12"/>
      <c r="F17" s="81"/>
      <c r="G17" s="12"/>
      <c r="H17" s="12">
        <f>1412+1104</f>
        <v>2516</v>
      </c>
      <c r="I17" s="66"/>
      <c r="J17" s="39">
        <f t="shared" si="1"/>
        <v>14158</v>
      </c>
      <c r="K17" s="41">
        <f t="shared" si="0"/>
        <v>283.16000000000003</v>
      </c>
    </row>
    <row r="18" spans="1:11" x14ac:dyDescent="0.25">
      <c r="A18" s="15" t="s">
        <v>7</v>
      </c>
      <c r="B18" s="91"/>
      <c r="C18" s="90"/>
      <c r="D18" s="12"/>
      <c r="E18" s="12"/>
      <c r="F18" s="12"/>
      <c r="G18" s="12"/>
      <c r="H18" s="12">
        <f>1336+593</f>
        <v>1929</v>
      </c>
      <c r="I18" s="66"/>
      <c r="J18" s="39">
        <f t="shared" si="1"/>
        <v>12229</v>
      </c>
      <c r="K18" s="41">
        <f t="shared" si="0"/>
        <v>244.58</v>
      </c>
    </row>
    <row r="19" spans="1:11" ht="13.5" customHeight="1" x14ac:dyDescent="0.25">
      <c r="A19" s="15" t="s">
        <v>8</v>
      </c>
      <c r="B19" s="91"/>
      <c r="C19" s="90"/>
      <c r="D19" s="12"/>
      <c r="E19" s="12"/>
      <c r="F19" s="81"/>
      <c r="G19" s="12"/>
      <c r="H19" s="12"/>
      <c r="I19" s="66"/>
      <c r="J19" s="39">
        <f t="shared" si="1"/>
        <v>12229</v>
      </c>
      <c r="K19" s="41">
        <f t="shared" si="0"/>
        <v>244.58</v>
      </c>
    </row>
    <row r="20" spans="1:11" x14ac:dyDescent="0.25">
      <c r="A20" s="15" t="s">
        <v>9</v>
      </c>
      <c r="B20" s="92"/>
      <c r="C20" s="90"/>
      <c r="D20" s="12"/>
      <c r="E20" s="12"/>
      <c r="F20" s="81"/>
      <c r="G20" s="12"/>
      <c r="H20" s="12"/>
      <c r="I20" s="66"/>
      <c r="J20" s="39">
        <f t="shared" si="1"/>
        <v>12229</v>
      </c>
      <c r="K20" s="41">
        <f t="shared" si="0"/>
        <v>244.58</v>
      </c>
    </row>
    <row r="21" spans="1:11" ht="14.4" x14ac:dyDescent="0.25">
      <c r="A21" s="15" t="s">
        <v>10</v>
      </c>
      <c r="B21" s="93" t="s">
        <v>398</v>
      </c>
      <c r="C21" s="81" t="s">
        <v>399</v>
      </c>
      <c r="D21" s="12">
        <v>2245</v>
      </c>
      <c r="E21" s="12"/>
      <c r="F21" s="81"/>
      <c r="G21" s="12"/>
      <c r="H21" s="12">
        <f>756</f>
        <v>756</v>
      </c>
      <c r="I21" s="66"/>
      <c r="J21" s="39">
        <f t="shared" si="1"/>
        <v>13718</v>
      </c>
      <c r="K21" s="41">
        <f t="shared" si="0"/>
        <v>274.36</v>
      </c>
    </row>
    <row r="22" spans="1:11" x14ac:dyDescent="0.25">
      <c r="A22" s="15" t="s">
        <v>11</v>
      </c>
      <c r="B22" s="91"/>
      <c r="C22" s="90"/>
      <c r="D22" s="12"/>
      <c r="E22" s="12"/>
      <c r="F22" s="81"/>
      <c r="G22" s="12"/>
      <c r="H22" s="12"/>
      <c r="I22" s="66"/>
      <c r="J22" s="39">
        <f t="shared" si="1"/>
        <v>13718</v>
      </c>
      <c r="K22" s="41">
        <f t="shared" si="0"/>
        <v>274.36</v>
      </c>
    </row>
    <row r="23" spans="1:11" x14ac:dyDescent="0.25">
      <c r="A23" s="15" t="s">
        <v>12</v>
      </c>
      <c r="B23" s="92"/>
      <c r="C23" s="90"/>
      <c r="D23" s="12"/>
      <c r="E23" s="12"/>
      <c r="F23" s="81"/>
      <c r="G23" s="81"/>
      <c r="H23" s="12">
        <f>1105+540+1201</f>
        <v>2846</v>
      </c>
      <c r="I23" s="66"/>
      <c r="J23" s="39">
        <f t="shared" si="1"/>
        <v>10872</v>
      </c>
      <c r="K23" s="41">
        <f t="shared" si="0"/>
        <v>217.44</v>
      </c>
    </row>
    <row r="24" spans="1:11" x14ac:dyDescent="0.25">
      <c r="A24" s="15" t="s">
        <v>13</v>
      </c>
      <c r="B24" s="81" t="s">
        <v>400</v>
      </c>
      <c r="C24" s="90"/>
      <c r="D24" s="12">
        <v>951</v>
      </c>
      <c r="E24" s="12"/>
      <c r="F24" s="81"/>
      <c r="G24" s="12"/>
      <c r="H24" s="12">
        <f>1013+271</f>
        <v>1284</v>
      </c>
      <c r="I24" s="66"/>
      <c r="J24" s="39">
        <f t="shared" si="1"/>
        <v>10539</v>
      </c>
      <c r="K24" s="41">
        <f t="shared" si="0"/>
        <v>210.78</v>
      </c>
    </row>
    <row r="25" spans="1:11" x14ac:dyDescent="0.25">
      <c r="A25" s="15" t="s">
        <v>14</v>
      </c>
      <c r="B25" s="92"/>
      <c r="C25" s="90"/>
      <c r="D25" s="12"/>
      <c r="E25" s="12"/>
      <c r="F25" s="81"/>
      <c r="G25" s="12"/>
      <c r="H25" s="12"/>
      <c r="I25" s="66"/>
      <c r="J25" s="39">
        <f t="shared" si="1"/>
        <v>10539</v>
      </c>
      <c r="K25" s="41">
        <f t="shared" si="0"/>
        <v>210.78</v>
      </c>
    </row>
    <row r="26" spans="1:11" x14ac:dyDescent="0.25">
      <c r="A26" s="15" t="s">
        <v>15</v>
      </c>
      <c r="B26" s="92"/>
      <c r="C26" s="92"/>
      <c r="D26" s="12"/>
      <c r="E26" s="12"/>
      <c r="F26" s="81"/>
      <c r="G26" s="12"/>
      <c r="H26" s="12"/>
      <c r="I26" s="66"/>
      <c r="J26" s="39">
        <f t="shared" si="1"/>
        <v>10539</v>
      </c>
      <c r="K26" s="41">
        <f t="shared" si="0"/>
        <v>210.78</v>
      </c>
    </row>
    <row r="27" spans="1:11" x14ac:dyDescent="0.25">
      <c r="A27" s="15" t="s">
        <v>16</v>
      </c>
      <c r="B27" s="92"/>
      <c r="C27" s="90"/>
      <c r="D27" s="12"/>
      <c r="E27" s="12"/>
      <c r="F27" s="81"/>
      <c r="G27" s="12"/>
      <c r="H27" s="12"/>
      <c r="I27" s="66"/>
      <c r="J27" s="39">
        <f t="shared" si="1"/>
        <v>10539</v>
      </c>
      <c r="K27" s="41">
        <f t="shared" si="0"/>
        <v>210.78</v>
      </c>
    </row>
    <row r="28" spans="1:11" x14ac:dyDescent="0.25">
      <c r="A28" s="15" t="s">
        <v>17</v>
      </c>
      <c r="B28" s="81" t="s">
        <v>401</v>
      </c>
      <c r="C28" s="90"/>
      <c r="D28" s="12">
        <v>888</v>
      </c>
      <c r="E28" s="35"/>
      <c r="F28" s="18"/>
      <c r="G28" s="12"/>
      <c r="H28" s="12"/>
      <c r="I28" s="66"/>
      <c r="J28" s="39">
        <f t="shared" si="1"/>
        <v>11427</v>
      </c>
      <c r="K28" s="41">
        <f t="shared" si="0"/>
        <v>228.54</v>
      </c>
    </row>
    <row r="29" spans="1:11" x14ac:dyDescent="0.25">
      <c r="A29" s="15" t="s">
        <v>18</v>
      </c>
      <c r="B29" s="94" t="s">
        <v>402</v>
      </c>
      <c r="C29" s="94" t="s">
        <v>403</v>
      </c>
      <c r="D29" s="12">
        <v>932</v>
      </c>
      <c r="E29" s="35"/>
      <c r="F29" s="18"/>
      <c r="G29" s="12"/>
      <c r="H29" s="12"/>
      <c r="I29" s="66"/>
      <c r="J29" s="39">
        <f t="shared" si="1"/>
        <v>12359</v>
      </c>
      <c r="K29" s="41">
        <f t="shared" si="0"/>
        <v>247.18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>J29+D30+E30-H30-I30</f>
        <v>12359</v>
      </c>
      <c r="K30" s="41">
        <f t="shared" si="0"/>
        <v>247.18</v>
      </c>
    </row>
    <row r="31" spans="1:11" x14ac:dyDescent="0.25">
      <c r="A31" s="15" t="s">
        <v>20</v>
      </c>
      <c r="B31" s="17"/>
      <c r="C31" s="11"/>
      <c r="D31" s="12"/>
      <c r="E31" s="64"/>
      <c r="F31" s="18"/>
      <c r="G31" s="12"/>
      <c r="H31" s="12">
        <f>819</f>
        <v>819</v>
      </c>
      <c r="I31" s="66"/>
      <c r="J31" s="39">
        <f t="shared" si="1"/>
        <v>11540</v>
      </c>
      <c r="K31" s="41">
        <f t="shared" si="0"/>
        <v>230.8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/>
      <c r="H32" s="12">
        <f>491</f>
        <v>491</v>
      </c>
      <c r="I32" s="66"/>
      <c r="J32" s="39">
        <f t="shared" si="1"/>
        <v>11049</v>
      </c>
      <c r="K32" s="41">
        <f t="shared" si="0"/>
        <v>220.98000000000002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1"/>
        <v>11049</v>
      </c>
      <c r="K33" s="41">
        <f t="shared" si="0"/>
        <v>220.98000000000002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1"/>
        <v>11049</v>
      </c>
      <c r="K34" s="41">
        <f t="shared" si="0"/>
        <v>220.98000000000002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>
        <f>387+1035</f>
        <v>1422</v>
      </c>
      <c r="I35" s="66"/>
      <c r="J35" s="39">
        <f t="shared" si="1"/>
        <v>9627</v>
      </c>
      <c r="K35" s="41">
        <f t="shared" si="0"/>
        <v>192.54</v>
      </c>
    </row>
    <row r="36" spans="1:12" ht="13.5" customHeight="1" x14ac:dyDescent="0.25">
      <c r="A36" s="15" t="s">
        <v>25</v>
      </c>
      <c r="B36" s="81" t="s">
        <v>404</v>
      </c>
      <c r="C36" s="94" t="s">
        <v>405</v>
      </c>
      <c r="D36" s="12">
        <v>1863</v>
      </c>
      <c r="E36" s="35"/>
      <c r="F36" s="14"/>
      <c r="G36" s="14"/>
      <c r="H36" s="12"/>
      <c r="I36" s="67"/>
      <c r="J36" s="39">
        <f t="shared" si="1"/>
        <v>11490</v>
      </c>
      <c r="K36" s="41">
        <f t="shared" si="0"/>
        <v>229.8</v>
      </c>
    </row>
    <row r="37" spans="1:12" x14ac:dyDescent="0.25">
      <c r="A37" s="15" t="s">
        <v>26</v>
      </c>
      <c r="B37" s="17"/>
      <c r="C37" s="17"/>
      <c r="D37" s="12"/>
      <c r="E37" s="35"/>
      <c r="F37" s="14"/>
      <c r="G37" s="12"/>
      <c r="H37" s="12"/>
      <c r="I37" s="66"/>
      <c r="J37" s="39">
        <f t="shared" si="1"/>
        <v>11490</v>
      </c>
      <c r="K37" s="41">
        <f t="shared" si="0"/>
        <v>229.8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>
        <v>987</v>
      </c>
      <c r="I38" s="66"/>
      <c r="J38" s="39">
        <f t="shared" si="1"/>
        <v>10503</v>
      </c>
      <c r="K38" s="41">
        <f t="shared" si="0"/>
        <v>210.06</v>
      </c>
    </row>
    <row r="39" spans="1:12" x14ac:dyDescent="0.25">
      <c r="A39" s="15" t="s">
        <v>28</v>
      </c>
      <c r="B39" s="17"/>
      <c r="C39" s="56"/>
      <c r="D39" s="12"/>
      <c r="E39" s="35"/>
      <c r="F39" s="18"/>
      <c r="G39" s="12"/>
      <c r="H39" s="12"/>
      <c r="I39" s="66"/>
      <c r="J39" s="39">
        <f t="shared" si="1"/>
        <v>10503</v>
      </c>
      <c r="K39" s="41">
        <f t="shared" si="0"/>
        <v>210.06</v>
      </c>
    </row>
    <row r="40" spans="1:12" x14ac:dyDescent="0.25">
      <c r="A40" s="12" t="s">
        <v>29</v>
      </c>
      <c r="B40" s="56"/>
      <c r="C40" s="56"/>
      <c r="D40" s="12"/>
      <c r="E40" s="12"/>
      <c r="F40" s="81"/>
      <c r="G40" s="12"/>
      <c r="H40" s="12"/>
      <c r="I40" s="12"/>
      <c r="J40" s="39">
        <f>J39+D40+E40-H40-I40</f>
        <v>10503</v>
      </c>
      <c r="K40" s="41">
        <f t="shared" si="0"/>
        <v>210.06</v>
      </c>
    </row>
    <row r="41" spans="1:12" x14ac:dyDescent="0.25">
      <c r="A41" s="12" t="s">
        <v>30</v>
      </c>
      <c r="B41" s="56"/>
      <c r="C41" s="56"/>
      <c r="D41" s="12"/>
      <c r="E41" s="12"/>
      <c r="F41" s="81"/>
      <c r="G41" s="12"/>
      <c r="H41" s="12"/>
      <c r="I41" s="12"/>
      <c r="J41" s="39">
        <f>J40+D41+E41-H41-I41</f>
        <v>10503</v>
      </c>
      <c r="K41" s="41">
        <f t="shared" ref="K41" si="2">0.02*J41</f>
        <v>210.06</v>
      </c>
    </row>
    <row r="42" spans="1:12" ht="15" thickBot="1" x14ac:dyDescent="0.35">
      <c r="A42" s="168"/>
      <c r="B42" s="169"/>
      <c r="C42" s="19" t="s">
        <v>31</v>
      </c>
      <c r="D42" s="20">
        <f>SUM(D11:D41)</f>
        <v>8978</v>
      </c>
      <c r="E42" s="20">
        <f>SUM(E11:E41)</f>
        <v>0</v>
      </c>
      <c r="F42" s="21">
        <v>0</v>
      </c>
      <c r="G42" s="21"/>
      <c r="H42" s="20">
        <f>SUM(H11:H41)</f>
        <v>13273</v>
      </c>
      <c r="I42" s="20">
        <f>SUM(I11:I41)</f>
        <v>0</v>
      </c>
      <c r="J42" s="69">
        <f>AVERAGE(J11:J41)</f>
        <v>12269.838709677419</v>
      </c>
      <c r="K42" s="32">
        <f>SUM(K11:K41)</f>
        <v>7607.300000000002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</f>
        <v>8978</v>
      </c>
      <c r="I45" s="59">
        <v>0.28000000000000003</v>
      </c>
      <c r="J45" s="48">
        <f>H45*I45</f>
        <v>2513.84</v>
      </c>
      <c r="K45" s="50">
        <f>kurs*J45</f>
        <v>294697.211816</v>
      </c>
    </row>
    <row r="46" spans="1:12" x14ac:dyDescent="0.25">
      <c r="E46" s="42" t="s">
        <v>54</v>
      </c>
      <c r="F46" s="43"/>
      <c r="G46" s="43"/>
      <c r="H46" s="44">
        <f>H42</f>
        <v>13273</v>
      </c>
      <c r="I46" s="59">
        <v>0.2</v>
      </c>
      <c r="J46" s="48">
        <f>H46*I46</f>
        <v>2654.6000000000004</v>
      </c>
      <c r="K46" s="50">
        <f t="shared" ref="K46" si="3">kurs*J46</f>
        <v>311198.49254000006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51" si="4">H47*I47</f>
        <v>0</v>
      </c>
      <c r="K47" s="50">
        <f t="shared" ref="K47:K48" si="5">kurs*J47</f>
        <v>0</v>
      </c>
    </row>
    <row r="48" spans="1:12" x14ac:dyDescent="0.25">
      <c r="E48" s="45" t="s">
        <v>164</v>
      </c>
      <c r="F48" s="46"/>
      <c r="G48" s="46"/>
      <c r="H48" s="47">
        <f>I42</f>
        <v>0</v>
      </c>
      <c r="I48" s="60">
        <v>0.19</v>
      </c>
      <c r="J48" s="48">
        <f t="shared" si="4"/>
        <v>0</v>
      </c>
      <c r="K48" s="50">
        <f t="shared" si="5"/>
        <v>0</v>
      </c>
    </row>
    <row r="49" spans="3:12" x14ac:dyDescent="0.25">
      <c r="E49" s="45" t="s">
        <v>360</v>
      </c>
      <c r="F49" s="46"/>
      <c r="G49" s="46"/>
      <c r="H49" s="47">
        <v>0</v>
      </c>
      <c r="I49" s="60">
        <v>0.04</v>
      </c>
      <c r="J49" s="48">
        <f t="shared" si="4"/>
        <v>0</v>
      </c>
      <c r="K49" s="50">
        <f>kurs*J49</f>
        <v>0</v>
      </c>
    </row>
    <row r="50" spans="3:12" x14ac:dyDescent="0.25">
      <c r="E50" s="45" t="s">
        <v>385</v>
      </c>
      <c r="F50" s="46"/>
      <c r="G50" s="46"/>
      <c r="H50" s="47">
        <v>0</v>
      </c>
      <c r="I50" s="60">
        <v>200</v>
      </c>
      <c r="J50" s="48">
        <f t="shared" si="4"/>
        <v>0</v>
      </c>
      <c r="K50" s="50">
        <f>kurs*J50</f>
        <v>0</v>
      </c>
    </row>
    <row r="51" spans="3:12" x14ac:dyDescent="0.25">
      <c r="E51" s="45" t="s">
        <v>386</v>
      </c>
      <c r="F51" s="46"/>
      <c r="G51" s="46"/>
      <c r="H51" s="47">
        <v>0</v>
      </c>
      <c r="I51" s="60">
        <v>200</v>
      </c>
      <c r="J51" s="48">
        <f t="shared" si="4"/>
        <v>0</v>
      </c>
      <c r="K51" s="50">
        <f>kurs*J51</f>
        <v>0</v>
      </c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7607.300000000002</v>
      </c>
      <c r="K52" s="50">
        <f>kurs*J52</f>
        <v>891803.01827000023</v>
      </c>
      <c r="L52" s="61"/>
    </row>
    <row r="53" spans="3:12" x14ac:dyDescent="0.25">
      <c r="E53" s="22"/>
      <c r="I53" t="s">
        <v>56</v>
      </c>
      <c r="J53" s="52">
        <f>SUM(J45:J52)</f>
        <v>12775.740000000002</v>
      </c>
      <c r="K53" s="51">
        <f>SUM(K45:K52)</f>
        <v>1497698.7226260002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5E01-DA3D-4E8D-B927-0E3ACD0D62BB}">
  <dimension ref="A1:L58"/>
  <sheetViews>
    <sheetView view="pageBreakPreview" topLeftCell="A15" zoomScaleNormal="100" zoomScaleSheetLayoutView="100" workbookViewId="0">
      <selection activeCell="B31" sqref="B31"/>
    </sheetView>
  </sheetViews>
  <sheetFormatPr defaultRowHeight="13.8" x14ac:dyDescent="0.25"/>
  <cols>
    <col min="1" max="1" width="17.5" customWidth="1"/>
    <col min="2" max="2" width="29.5" bestFit="1" customWidth="1"/>
    <col min="3" max="3" width="32.1992187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45231</v>
      </c>
      <c r="H3" s="4"/>
      <c r="I3" s="4"/>
    </row>
    <row r="4" spans="1:11" x14ac:dyDescent="0.25">
      <c r="B4" s="2"/>
      <c r="C4" s="6"/>
      <c r="F4" s="3">
        <v>45260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117.1708</v>
      </c>
      <c r="F6" t="s">
        <v>42</v>
      </c>
      <c r="G6" s="88">
        <v>2311026969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12138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D10+D11+E11-H11-I11</f>
        <v>12138</v>
      </c>
      <c r="K11" s="41">
        <f>0.02*J11</f>
        <v>242.76</v>
      </c>
    </row>
    <row r="12" spans="1:11" ht="14.25" customHeight="1" x14ac:dyDescent="0.25">
      <c r="A12" s="15" t="s">
        <v>1</v>
      </c>
      <c r="B12" s="16"/>
      <c r="C12" s="31"/>
      <c r="D12" s="12"/>
      <c r="E12" s="35"/>
      <c r="F12" s="14"/>
      <c r="G12" s="12"/>
      <c r="H12" s="12"/>
      <c r="I12" s="65"/>
      <c r="J12" s="39">
        <f>J11+D12+E12-H12-I12</f>
        <v>12138</v>
      </c>
      <c r="K12" s="41">
        <f t="shared" ref="K12:K40" si="0">0.02*J12</f>
        <v>242.76</v>
      </c>
    </row>
    <row r="13" spans="1:11" ht="13.5" customHeight="1" x14ac:dyDescent="0.25">
      <c r="A13" s="15" t="s">
        <v>2</v>
      </c>
      <c r="B13" s="11"/>
      <c r="C13" s="56"/>
      <c r="D13" s="56"/>
      <c r="E13" s="13"/>
      <c r="F13" s="14"/>
      <c r="G13" s="12"/>
      <c r="H13" s="12"/>
      <c r="I13" s="65"/>
      <c r="J13" s="39">
        <f t="shared" ref="J13:J39" si="1">J12+D13+E13-H13-I13</f>
        <v>12138</v>
      </c>
      <c r="K13" s="41">
        <f t="shared" si="0"/>
        <v>242.76</v>
      </c>
    </row>
    <row r="14" spans="1:11" x14ac:dyDescent="0.25">
      <c r="A14" s="15" t="s">
        <v>3</v>
      </c>
      <c r="B14" s="16"/>
      <c r="C14" s="56"/>
      <c r="D14" s="12"/>
      <c r="E14" s="35"/>
      <c r="F14" s="63"/>
      <c r="G14" s="12"/>
      <c r="H14" s="12"/>
      <c r="I14" s="65"/>
      <c r="J14" s="39">
        <f t="shared" si="1"/>
        <v>12138</v>
      </c>
      <c r="K14" s="41">
        <f t="shared" si="0"/>
        <v>242.76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/>
      <c r="J15" s="39">
        <f t="shared" si="1"/>
        <v>12138</v>
      </c>
      <c r="K15" s="41">
        <f t="shared" si="0"/>
        <v>242.76</v>
      </c>
    </row>
    <row r="16" spans="1:11" x14ac:dyDescent="0.25">
      <c r="A16" s="15" t="s">
        <v>5</v>
      </c>
      <c r="B16" s="85" t="s">
        <v>378</v>
      </c>
      <c r="C16" s="85" t="s">
        <v>378</v>
      </c>
      <c r="D16" s="12">
        <v>1996</v>
      </c>
      <c r="E16" s="35"/>
      <c r="F16" s="14"/>
      <c r="G16" s="12"/>
      <c r="H16" s="80"/>
      <c r="I16" s="65"/>
      <c r="J16" s="39">
        <f t="shared" si="1"/>
        <v>14134</v>
      </c>
      <c r="K16" s="41">
        <f t="shared" si="0"/>
        <v>282.68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/>
      <c r="H17" s="12"/>
      <c r="I17" s="66"/>
      <c r="J17" s="39">
        <f t="shared" si="1"/>
        <v>14134</v>
      </c>
      <c r="K17" s="41">
        <f t="shared" si="0"/>
        <v>282.68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>
        <v>113</v>
      </c>
      <c r="I18" s="66"/>
      <c r="J18" s="39">
        <f t="shared" si="1"/>
        <v>14021</v>
      </c>
      <c r="K18" s="41">
        <f t="shared" si="0"/>
        <v>280.42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1"/>
        <v>14021</v>
      </c>
      <c r="K19" s="41">
        <f t="shared" si="0"/>
        <v>280.42</v>
      </c>
    </row>
    <row r="20" spans="1:11" x14ac:dyDescent="0.25">
      <c r="A20" s="15" t="s">
        <v>9</v>
      </c>
      <c r="B20" s="84" t="s">
        <v>379</v>
      </c>
      <c r="C20" s="56"/>
      <c r="D20" s="12">
        <v>482</v>
      </c>
      <c r="E20" s="35"/>
      <c r="F20" s="18"/>
      <c r="G20" s="12"/>
      <c r="H20" s="12"/>
      <c r="I20" s="66"/>
      <c r="J20" s="39">
        <f t="shared" si="1"/>
        <v>14503</v>
      </c>
      <c r="K20" s="41">
        <f t="shared" si="0"/>
        <v>290.06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/>
      <c r="H21" s="12"/>
      <c r="I21" s="66"/>
      <c r="J21" s="39">
        <f t="shared" si="1"/>
        <v>14503</v>
      </c>
      <c r="K21" s="41">
        <f t="shared" si="0"/>
        <v>290.06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/>
      <c r="H22" s="12"/>
      <c r="I22" s="66"/>
      <c r="J22" s="39">
        <f t="shared" si="1"/>
        <v>14503</v>
      </c>
      <c r="K22" s="41">
        <f t="shared" si="0"/>
        <v>290.06</v>
      </c>
    </row>
    <row r="23" spans="1:11" x14ac:dyDescent="0.25">
      <c r="A23" s="15" t="s">
        <v>12</v>
      </c>
      <c r="B23" s="84" t="s">
        <v>380</v>
      </c>
      <c r="C23" s="56"/>
      <c r="D23" s="12">
        <v>871</v>
      </c>
      <c r="E23" s="35"/>
      <c r="F23" s="18"/>
      <c r="H23" s="12"/>
      <c r="I23" s="66"/>
      <c r="J23" s="39">
        <f t="shared" si="1"/>
        <v>15374</v>
      </c>
      <c r="K23" s="41">
        <f t="shared" si="0"/>
        <v>307.48</v>
      </c>
    </row>
    <row r="24" spans="1:11" x14ac:dyDescent="0.25">
      <c r="A24" s="15" t="s">
        <v>13</v>
      </c>
      <c r="B24" t="s">
        <v>381</v>
      </c>
      <c r="C24" s="56"/>
      <c r="D24" s="12">
        <v>571</v>
      </c>
      <c r="E24" s="35"/>
      <c r="F24" s="18"/>
      <c r="G24" s="12"/>
      <c r="H24" s="12">
        <v>1092</v>
      </c>
      <c r="I24" s="66"/>
      <c r="J24" s="39">
        <f t="shared" si="1"/>
        <v>14853</v>
      </c>
      <c r="K24" s="41">
        <f t="shared" si="0"/>
        <v>297.06</v>
      </c>
    </row>
    <row r="25" spans="1:11" x14ac:dyDescent="0.25">
      <c r="A25" s="15" t="s">
        <v>14</v>
      </c>
      <c r="B25" s="84" t="s">
        <v>382</v>
      </c>
      <c r="C25" s="56"/>
      <c r="D25" s="12">
        <v>650</v>
      </c>
      <c r="E25" s="35"/>
      <c r="F25" s="18"/>
      <c r="G25" s="12"/>
      <c r="H25" s="12"/>
      <c r="I25" s="66"/>
      <c r="J25" s="39">
        <f t="shared" si="1"/>
        <v>15503</v>
      </c>
      <c r="K25" s="41">
        <f t="shared" si="0"/>
        <v>310.06</v>
      </c>
    </row>
    <row r="26" spans="1:11" ht="14.4" thickBot="1" x14ac:dyDescent="0.3">
      <c r="A26" s="15" t="s">
        <v>15</v>
      </c>
      <c r="B26" s="86" t="s">
        <v>383</v>
      </c>
      <c r="C26" s="87" t="s">
        <v>384</v>
      </c>
      <c r="D26" s="12">
        <v>1429</v>
      </c>
      <c r="E26" s="35"/>
      <c r="F26" s="18"/>
      <c r="G26" s="12"/>
      <c r="H26" s="12"/>
      <c r="I26" s="66"/>
      <c r="J26" s="39">
        <f t="shared" si="1"/>
        <v>16932</v>
      </c>
      <c r="K26" s="41">
        <f t="shared" si="0"/>
        <v>338.64</v>
      </c>
    </row>
    <row r="27" spans="1:11" x14ac:dyDescent="0.25">
      <c r="A27" s="15" t="s">
        <v>16</v>
      </c>
      <c r="B27" t="s">
        <v>387</v>
      </c>
      <c r="C27" s="56"/>
      <c r="D27" s="12">
        <v>1104</v>
      </c>
      <c r="E27" s="35"/>
      <c r="F27" s="18"/>
      <c r="G27" s="12"/>
      <c r="H27" s="12">
        <f>482+1439</f>
        <v>1921</v>
      </c>
      <c r="I27" s="66"/>
      <c r="J27" s="39">
        <f t="shared" si="1"/>
        <v>16115</v>
      </c>
      <c r="K27" s="41">
        <f t="shared" si="0"/>
        <v>322.3</v>
      </c>
    </row>
    <row r="28" spans="1:11" x14ac:dyDescent="0.25">
      <c r="A28" s="15" t="s">
        <v>17</v>
      </c>
      <c r="B28" s="16"/>
      <c r="C28" s="56"/>
      <c r="D28" s="12"/>
      <c r="E28" s="35"/>
      <c r="F28" s="18"/>
      <c r="G28" s="12"/>
      <c r="H28" s="12"/>
      <c r="I28" s="66"/>
      <c r="J28" s="39">
        <f t="shared" si="1"/>
        <v>16115</v>
      </c>
      <c r="K28" s="41">
        <f t="shared" si="0"/>
        <v>322.3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/>
      <c r="J29" s="39">
        <f t="shared" si="1"/>
        <v>16115</v>
      </c>
      <c r="K29" s="41">
        <f t="shared" si="0"/>
        <v>322.3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>
        <v>650</v>
      </c>
      <c r="I30" s="66"/>
      <c r="J30" s="39">
        <f>J29+D30+E30-H30-I30</f>
        <v>15465</v>
      </c>
      <c r="K30" s="41">
        <f t="shared" si="0"/>
        <v>309.3</v>
      </c>
    </row>
    <row r="31" spans="1:11" x14ac:dyDescent="0.25">
      <c r="A31" s="15" t="s">
        <v>20</v>
      </c>
      <c r="B31" s="17" t="s">
        <v>388</v>
      </c>
      <c r="C31" s="11"/>
      <c r="D31" s="12">
        <v>1013</v>
      </c>
      <c r="E31" s="64"/>
      <c r="F31" s="18"/>
      <c r="G31" s="12"/>
      <c r="H31" s="12"/>
      <c r="I31" s="66"/>
      <c r="J31" s="39">
        <f t="shared" si="1"/>
        <v>16478</v>
      </c>
      <c r="K31" s="41">
        <f t="shared" si="0"/>
        <v>329.56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/>
      <c r="H32" s="12"/>
      <c r="I32" s="66"/>
      <c r="J32" s="39">
        <f t="shared" si="1"/>
        <v>16478</v>
      </c>
      <c r="K32" s="41">
        <f t="shared" si="0"/>
        <v>329.56</v>
      </c>
    </row>
    <row r="33" spans="1:12" x14ac:dyDescent="0.25">
      <c r="A33" s="15" t="s">
        <v>22</v>
      </c>
      <c r="B33" s="17" t="s">
        <v>390</v>
      </c>
      <c r="C33" s="56"/>
      <c r="D33" s="12">
        <v>271</v>
      </c>
      <c r="E33" s="35"/>
      <c r="F33" s="18"/>
      <c r="G33" s="12"/>
      <c r="H33" s="12">
        <v>74</v>
      </c>
      <c r="I33" s="66"/>
      <c r="J33" s="39">
        <f t="shared" si="1"/>
        <v>16675</v>
      </c>
      <c r="K33" s="41">
        <f t="shared" si="0"/>
        <v>333.5</v>
      </c>
    </row>
    <row r="34" spans="1:12" x14ac:dyDescent="0.25">
      <c r="A34" s="15" t="s">
        <v>23</v>
      </c>
      <c r="B34" s="17" t="s">
        <v>389</v>
      </c>
      <c r="C34" s="56"/>
      <c r="D34" s="12">
        <v>564</v>
      </c>
      <c r="E34" s="35"/>
      <c r="F34" s="18"/>
      <c r="G34" s="12"/>
      <c r="H34" s="12">
        <f>1429+1100+700</f>
        <v>3229</v>
      </c>
      <c r="I34" s="66"/>
      <c r="J34" s="39">
        <f t="shared" si="1"/>
        <v>14010</v>
      </c>
      <c r="K34" s="41">
        <f t="shared" si="0"/>
        <v>280.2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>
        <f>1231+66+179</f>
        <v>1476</v>
      </c>
      <c r="I35" s="66"/>
      <c r="J35" s="39">
        <f t="shared" si="1"/>
        <v>12534</v>
      </c>
      <c r="K35" s="41">
        <f t="shared" si="0"/>
        <v>250.68</v>
      </c>
    </row>
    <row r="36" spans="1:12" ht="13.5" customHeight="1" x14ac:dyDescent="0.25">
      <c r="A36" s="15" t="s">
        <v>25</v>
      </c>
      <c r="B36" s="17"/>
      <c r="C36" s="56"/>
      <c r="D36" s="12"/>
      <c r="E36" s="35"/>
      <c r="F36" s="14"/>
      <c r="G36" s="14"/>
      <c r="H36" s="12"/>
      <c r="I36" s="67"/>
      <c r="J36" s="39">
        <f t="shared" si="1"/>
        <v>12534</v>
      </c>
      <c r="K36" s="41">
        <f t="shared" si="0"/>
        <v>250.68</v>
      </c>
    </row>
    <row r="37" spans="1:12" x14ac:dyDescent="0.25">
      <c r="A37" s="15" t="s">
        <v>26</v>
      </c>
      <c r="B37" s="17" t="s">
        <v>391</v>
      </c>
      <c r="C37" s="17" t="s">
        <v>392</v>
      </c>
      <c r="D37" s="12">
        <v>2095</v>
      </c>
      <c r="E37" s="35"/>
      <c r="F37" s="14"/>
      <c r="G37" s="12"/>
      <c r="H37" s="12"/>
      <c r="I37" s="66"/>
      <c r="J37" s="39">
        <f t="shared" si="1"/>
        <v>14629</v>
      </c>
      <c r="K37" s="41">
        <f t="shared" si="0"/>
        <v>292.58</v>
      </c>
    </row>
    <row r="38" spans="1:12" x14ac:dyDescent="0.25">
      <c r="A38" s="15" t="s">
        <v>27</v>
      </c>
      <c r="B38" s="17" t="s">
        <v>393</v>
      </c>
      <c r="C38" s="56"/>
      <c r="D38" s="12">
        <v>1105</v>
      </c>
      <c r="E38" s="35"/>
      <c r="F38" s="14"/>
      <c r="G38" s="12"/>
      <c r="H38" s="12"/>
      <c r="I38" s="66"/>
      <c r="J38" s="39">
        <f t="shared" si="1"/>
        <v>15734</v>
      </c>
      <c r="K38" s="41">
        <f t="shared" si="0"/>
        <v>314.68</v>
      </c>
    </row>
    <row r="39" spans="1:12" x14ac:dyDescent="0.25">
      <c r="A39" s="15" t="s">
        <v>28</v>
      </c>
      <c r="B39" s="17" t="s">
        <v>394</v>
      </c>
      <c r="C39" s="56"/>
      <c r="D39" s="12">
        <v>578</v>
      </c>
      <c r="E39" s="35"/>
      <c r="F39" s="18"/>
      <c r="G39" s="12"/>
      <c r="H39" s="12">
        <f>871+3</f>
        <v>874</v>
      </c>
      <c r="I39" s="66"/>
      <c r="J39" s="39">
        <f t="shared" si="1"/>
        <v>15438</v>
      </c>
      <c r="K39" s="41">
        <f t="shared" si="0"/>
        <v>308.76</v>
      </c>
    </row>
    <row r="40" spans="1:12" x14ac:dyDescent="0.25">
      <c r="A40" s="12" t="s">
        <v>29</v>
      </c>
      <c r="B40" s="56"/>
      <c r="C40" s="56"/>
      <c r="D40" s="12"/>
      <c r="E40" s="12"/>
      <c r="F40" s="81"/>
      <c r="G40" s="12"/>
      <c r="H40" s="12">
        <f>76+564</f>
        <v>640</v>
      </c>
      <c r="I40" s="12"/>
      <c r="J40" s="39">
        <f>J39+D40+E40-H40-I40</f>
        <v>14798</v>
      </c>
      <c r="K40" s="41">
        <f t="shared" si="0"/>
        <v>295.95999999999998</v>
      </c>
    </row>
    <row r="41" spans="1:12" x14ac:dyDescent="0.25">
      <c r="A41" s="12" t="s">
        <v>30</v>
      </c>
      <c r="B41" s="56"/>
      <c r="C41" s="56"/>
      <c r="D41" s="12"/>
      <c r="E41" s="12"/>
      <c r="F41" s="81"/>
      <c r="G41" s="12"/>
      <c r="H41" s="12"/>
      <c r="I41" s="12"/>
      <c r="J41" s="39"/>
      <c r="K41" s="41"/>
    </row>
    <row r="42" spans="1:12" ht="15" thickBot="1" x14ac:dyDescent="0.35">
      <c r="A42" s="168"/>
      <c r="B42" s="169"/>
      <c r="C42" s="19" t="s">
        <v>31</v>
      </c>
      <c r="D42" s="20">
        <f>SUM(D11:D41)</f>
        <v>12729</v>
      </c>
      <c r="E42" s="20">
        <f>SUM(E11:E41)</f>
        <v>0</v>
      </c>
      <c r="F42" s="21">
        <v>0</v>
      </c>
      <c r="G42" s="21"/>
      <c r="H42" s="20">
        <f>SUM(H11:H41)</f>
        <v>10069</v>
      </c>
      <c r="I42" s="20">
        <f>SUM(I11:I41)</f>
        <v>0</v>
      </c>
      <c r="J42" s="69">
        <f>AVERAGE(J11:J41)</f>
        <v>14542.966666666667</v>
      </c>
      <c r="K42" s="32">
        <f>SUM(K11:K41)</f>
        <v>8725.7800000000007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</f>
        <v>12729</v>
      </c>
      <c r="I45" s="59">
        <v>0.28000000000000003</v>
      </c>
      <c r="J45" s="48">
        <f>H45*I45</f>
        <v>3564.1200000000003</v>
      </c>
      <c r="K45" s="50">
        <f>kurs*J45</f>
        <v>417610.79169600003</v>
      </c>
    </row>
    <row r="46" spans="1:12" x14ac:dyDescent="0.25">
      <c r="E46" s="42" t="s">
        <v>54</v>
      </c>
      <c r="F46" s="43"/>
      <c r="G46" s="43"/>
      <c r="H46" s="44">
        <f>H42</f>
        <v>10069</v>
      </c>
      <c r="I46" s="59">
        <v>0.2</v>
      </c>
      <c r="J46" s="48">
        <f>H46*I46</f>
        <v>2013.8000000000002</v>
      </c>
      <c r="K46" s="50">
        <f t="shared" ref="K46" si="2">kurs*J46</f>
        <v>235958.55704000001</v>
      </c>
      <c r="L46" s="61"/>
    </row>
    <row r="47" spans="1:12" x14ac:dyDescent="0.25">
      <c r="E47" s="42" t="s">
        <v>163</v>
      </c>
      <c r="F47" s="43"/>
      <c r="G47" s="43"/>
      <c r="H47" s="44">
        <f>E42</f>
        <v>0</v>
      </c>
      <c r="I47" s="59">
        <v>0.26600000000000001</v>
      </c>
      <c r="J47" s="48">
        <f t="shared" ref="J47:J49" si="3">H47*I47</f>
        <v>0</v>
      </c>
      <c r="K47" s="50">
        <f t="shared" ref="K47:K48" si="4">kurs*J47</f>
        <v>0</v>
      </c>
    </row>
    <row r="48" spans="1:12" x14ac:dyDescent="0.25">
      <c r="E48" s="45" t="s">
        <v>164</v>
      </c>
      <c r="F48" s="46"/>
      <c r="G48" s="46"/>
      <c r="H48" s="47">
        <f>I42</f>
        <v>0</v>
      </c>
      <c r="I48" s="60">
        <v>0.19</v>
      </c>
      <c r="J48" s="48">
        <f t="shared" si="3"/>
        <v>0</v>
      </c>
      <c r="K48" s="50">
        <f t="shared" si="4"/>
        <v>0</v>
      </c>
    </row>
    <row r="49" spans="3:12" x14ac:dyDescent="0.25">
      <c r="E49" s="45" t="s">
        <v>360</v>
      </c>
      <c r="F49" s="46"/>
      <c r="G49" s="46"/>
      <c r="H49" s="47">
        <v>0</v>
      </c>
      <c r="I49" s="60">
        <v>0.04</v>
      </c>
      <c r="J49" s="48">
        <f t="shared" si="3"/>
        <v>0</v>
      </c>
      <c r="K49" s="50">
        <f>kurs*J49</f>
        <v>0</v>
      </c>
    </row>
    <row r="50" spans="3:12" x14ac:dyDescent="0.25">
      <c r="E50" s="45" t="s">
        <v>385</v>
      </c>
      <c r="F50" s="46"/>
      <c r="G50" s="46"/>
      <c r="H50" s="47">
        <v>4</v>
      </c>
      <c r="I50" s="60">
        <v>200</v>
      </c>
      <c r="J50" s="48">
        <f t="shared" ref="J50:J51" si="5">H50*I50</f>
        <v>800</v>
      </c>
      <c r="K50" s="50">
        <f>kurs*J50</f>
        <v>93736.639999999999</v>
      </c>
    </row>
    <row r="51" spans="3:12" x14ac:dyDescent="0.25">
      <c r="E51" s="45" t="s">
        <v>386</v>
      </c>
      <c r="F51" s="46"/>
      <c r="G51" s="46"/>
      <c r="H51" s="47">
        <v>4</v>
      </c>
      <c r="I51" s="60">
        <v>200</v>
      </c>
      <c r="J51" s="48">
        <f t="shared" si="5"/>
        <v>800</v>
      </c>
      <c r="K51" s="50">
        <f>kurs*J51</f>
        <v>93736.639999999999</v>
      </c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8725.7800000000007</v>
      </c>
      <c r="K52" s="50">
        <f>kurs*J52</f>
        <v>1022406.6232240001</v>
      </c>
      <c r="L52" s="61"/>
    </row>
    <row r="53" spans="3:12" x14ac:dyDescent="0.25">
      <c r="E53" s="22"/>
      <c r="I53" t="s">
        <v>56</v>
      </c>
      <c r="J53" s="52">
        <f>SUM(J45:J52)</f>
        <v>15903.7</v>
      </c>
      <c r="K53" s="51">
        <f>SUM(K45:K52)</f>
        <v>1863449.25196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C47B-FEBB-4821-8848-E4FBECE6E221}">
  <dimension ref="A1:L58"/>
  <sheetViews>
    <sheetView view="pageBreakPreview" topLeftCell="A16" zoomScaleNormal="100" zoomScaleSheetLayoutView="100" workbookViewId="0">
      <selection activeCell="D37" sqref="D37"/>
    </sheetView>
  </sheetViews>
  <sheetFormatPr defaultRowHeight="13.8" x14ac:dyDescent="0.25"/>
  <cols>
    <col min="1" max="1" width="17.5" customWidth="1"/>
    <col min="2" max="2" width="29.5" bestFit="1" customWidth="1"/>
    <col min="3" max="3" width="32.1992187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45200</v>
      </c>
      <c r="H3" s="4"/>
      <c r="I3" s="4"/>
    </row>
    <row r="4" spans="1:11" x14ac:dyDescent="0.25">
      <c r="B4" s="2"/>
      <c r="C4" s="6"/>
      <c r="F4" s="3">
        <v>45230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117.18219999999999</v>
      </c>
      <c r="F6" t="s">
        <v>42</v>
      </c>
      <c r="G6" s="81">
        <v>2310024485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842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D10+D11+E11-H11-I11</f>
        <v>842</v>
      </c>
      <c r="K11" s="41">
        <f>0.02*J11</f>
        <v>16.84</v>
      </c>
    </row>
    <row r="12" spans="1:11" ht="14.25" customHeight="1" x14ac:dyDescent="0.25">
      <c r="A12" s="15" t="s">
        <v>1</v>
      </c>
      <c r="B12" s="16" t="s">
        <v>361</v>
      </c>
      <c r="C12" s="31" t="s">
        <v>362</v>
      </c>
      <c r="D12" s="12">
        <f>1096+1696</f>
        <v>2792</v>
      </c>
      <c r="E12" s="35">
        <v>211</v>
      </c>
      <c r="F12" s="14"/>
      <c r="G12" s="12"/>
      <c r="H12" s="12"/>
      <c r="I12" s="65">
        <v>302</v>
      </c>
      <c r="J12" s="39">
        <f>J11+D12+E12-H12-I12</f>
        <v>3543</v>
      </c>
      <c r="K12" s="41">
        <f t="shared" ref="K12:K40" si="0">0.02*J12</f>
        <v>70.86</v>
      </c>
    </row>
    <row r="13" spans="1:11" ht="13.5" customHeight="1" x14ac:dyDescent="0.25">
      <c r="A13" s="15" t="s">
        <v>2</v>
      </c>
      <c r="B13" s="11" t="s">
        <v>363</v>
      </c>
      <c r="C13" s="56"/>
      <c r="D13" s="56">
        <v>208</v>
      </c>
      <c r="E13" s="13"/>
      <c r="F13" s="14"/>
      <c r="G13" s="12"/>
      <c r="H13" s="12"/>
      <c r="I13" s="65">
        <v>314</v>
      </c>
      <c r="J13" s="39">
        <f t="shared" ref="J13:J40" si="1">J12+D13+E13-H13-I13</f>
        <v>3437</v>
      </c>
      <c r="K13" s="41">
        <f t="shared" si="0"/>
        <v>68.739999999999995</v>
      </c>
    </row>
    <row r="14" spans="1:11" x14ac:dyDescent="0.25">
      <c r="A14" s="15" t="s">
        <v>3</v>
      </c>
      <c r="B14" s="16"/>
      <c r="C14" s="56"/>
      <c r="D14" s="12"/>
      <c r="E14" s="35"/>
      <c r="F14" s="63"/>
      <c r="G14" s="12"/>
      <c r="H14" s="12"/>
      <c r="I14" s="65">
        <v>350</v>
      </c>
      <c r="J14" s="39">
        <f t="shared" si="1"/>
        <v>3087</v>
      </c>
      <c r="K14" s="41">
        <f t="shared" si="0"/>
        <v>61.74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>
        <v>290</v>
      </c>
      <c r="J15" s="39">
        <f t="shared" si="1"/>
        <v>2797</v>
      </c>
      <c r="K15" s="41">
        <f t="shared" si="0"/>
        <v>55.94</v>
      </c>
    </row>
    <row r="16" spans="1:11" x14ac:dyDescent="0.25">
      <c r="A16" s="15" t="s">
        <v>5</v>
      </c>
      <c r="B16" s="16"/>
      <c r="C16" s="56"/>
      <c r="D16" s="12"/>
      <c r="E16" s="35"/>
      <c r="F16" s="14"/>
      <c r="G16" s="12"/>
      <c r="H16" s="80">
        <v>499</v>
      </c>
      <c r="I16" s="65">
        <v>286</v>
      </c>
      <c r="J16" s="39">
        <f t="shared" si="1"/>
        <v>2012</v>
      </c>
      <c r="K16" s="41">
        <f t="shared" si="0"/>
        <v>40.24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/>
      <c r="H17" s="12"/>
      <c r="I17" s="66"/>
      <c r="J17" s="39">
        <f t="shared" si="1"/>
        <v>2012</v>
      </c>
      <c r="K17" s="41">
        <f t="shared" si="0"/>
        <v>40.24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/>
      <c r="I18" s="66"/>
      <c r="J18" s="39">
        <f t="shared" si="1"/>
        <v>2012</v>
      </c>
      <c r="K18" s="41">
        <f t="shared" si="0"/>
        <v>40.24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1"/>
        <v>2012</v>
      </c>
      <c r="K19" s="41">
        <f t="shared" si="0"/>
        <v>40.24</v>
      </c>
    </row>
    <row r="20" spans="1:11" x14ac:dyDescent="0.25">
      <c r="A20" s="15" t="s">
        <v>9</v>
      </c>
      <c r="B20" s="16" t="s">
        <v>364</v>
      </c>
      <c r="C20" s="56" t="s">
        <v>365</v>
      </c>
      <c r="D20" s="12">
        <f>1231+369+59+7</f>
        <v>1666</v>
      </c>
      <c r="E20" s="35"/>
      <c r="F20" s="18"/>
      <c r="G20" s="12"/>
      <c r="H20" s="12"/>
      <c r="I20" s="66"/>
      <c r="J20" s="39">
        <f t="shared" si="1"/>
        <v>3678</v>
      </c>
      <c r="K20" s="41">
        <f t="shared" si="0"/>
        <v>73.56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/>
      <c r="H21" s="12">
        <v>199</v>
      </c>
      <c r="I21" s="66"/>
      <c r="J21" s="39">
        <f t="shared" si="1"/>
        <v>3479</v>
      </c>
      <c r="K21" s="41">
        <f t="shared" si="0"/>
        <v>69.58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/>
      <c r="H22" s="12"/>
      <c r="I22" s="66">
        <v>331</v>
      </c>
      <c r="J22" s="39">
        <f t="shared" si="1"/>
        <v>3148</v>
      </c>
      <c r="K22" s="41">
        <f t="shared" si="0"/>
        <v>62.96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H23" s="12"/>
      <c r="I23" s="66">
        <v>311</v>
      </c>
      <c r="J23" s="39">
        <f t="shared" si="1"/>
        <v>2837</v>
      </c>
      <c r="K23" s="41">
        <f t="shared" si="0"/>
        <v>56.74</v>
      </c>
    </row>
    <row r="24" spans="1:11" x14ac:dyDescent="0.25">
      <c r="A24" s="15" t="s">
        <v>13</v>
      </c>
      <c r="B24" s="11"/>
      <c r="C24" s="56"/>
      <c r="D24" s="12"/>
      <c r="E24" s="35"/>
      <c r="F24" s="18"/>
      <c r="G24" s="12"/>
      <c r="H24" s="12"/>
      <c r="I24" s="66"/>
      <c r="J24" s="39">
        <f t="shared" si="1"/>
        <v>2837</v>
      </c>
      <c r="K24" s="41">
        <f t="shared" si="0"/>
        <v>56.74</v>
      </c>
    </row>
    <row r="25" spans="1:11" x14ac:dyDescent="0.25">
      <c r="A25" s="15" t="s">
        <v>14</v>
      </c>
      <c r="B25" s="16"/>
      <c r="C25" s="56"/>
      <c r="D25" s="12"/>
      <c r="E25" s="35"/>
      <c r="F25" s="18"/>
      <c r="G25" s="12"/>
      <c r="H25" s="12"/>
      <c r="I25" s="66"/>
      <c r="J25" s="39">
        <f t="shared" si="1"/>
        <v>2837</v>
      </c>
      <c r="K25" s="41">
        <f t="shared" si="0"/>
        <v>56.74</v>
      </c>
    </row>
    <row r="26" spans="1:11" x14ac:dyDescent="0.25">
      <c r="A26" s="15" t="s">
        <v>15</v>
      </c>
      <c r="B26" s="16" t="s">
        <v>366</v>
      </c>
      <c r="C26" s="56"/>
      <c r="D26" s="12">
        <v>1124</v>
      </c>
      <c r="E26" s="35"/>
      <c r="F26" s="18"/>
      <c r="G26" s="12"/>
      <c r="H26" s="12"/>
      <c r="I26" s="66">
        <v>409</v>
      </c>
      <c r="J26" s="39">
        <f t="shared" si="1"/>
        <v>3552</v>
      </c>
      <c r="K26" s="41">
        <f t="shared" si="0"/>
        <v>71.040000000000006</v>
      </c>
    </row>
    <row r="27" spans="1:11" ht="14.4" x14ac:dyDescent="0.3">
      <c r="A27" s="15" t="s">
        <v>16</v>
      </c>
      <c r="B27" s="53" t="s">
        <v>367</v>
      </c>
      <c r="C27" s="56" t="s">
        <v>368</v>
      </c>
      <c r="D27" s="12">
        <f>372+11+98+179</f>
        <v>660</v>
      </c>
      <c r="E27" s="35">
        <v>147</v>
      </c>
      <c r="F27" s="18"/>
      <c r="G27" s="12"/>
      <c r="H27" s="12"/>
      <c r="I27" s="66">
        <v>305</v>
      </c>
      <c r="J27" s="39">
        <f t="shared" si="1"/>
        <v>4054</v>
      </c>
      <c r="K27" s="41">
        <f t="shared" si="0"/>
        <v>81.08</v>
      </c>
    </row>
    <row r="28" spans="1:11" x14ac:dyDescent="0.25">
      <c r="A28" s="15" t="s">
        <v>17</v>
      </c>
      <c r="B28" s="16"/>
      <c r="C28" s="56"/>
      <c r="D28" s="12"/>
      <c r="E28" s="35"/>
      <c r="F28" s="18"/>
      <c r="G28" s="12"/>
      <c r="H28" s="12"/>
      <c r="I28" s="66">
        <v>327</v>
      </c>
      <c r="J28" s="39">
        <f t="shared" si="1"/>
        <v>3727</v>
      </c>
      <c r="K28" s="41">
        <f t="shared" si="0"/>
        <v>74.540000000000006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>
        <v>302</v>
      </c>
      <c r="J29" s="39">
        <f t="shared" si="1"/>
        <v>3425</v>
      </c>
      <c r="K29" s="41">
        <f t="shared" si="0"/>
        <v>68.5</v>
      </c>
    </row>
    <row r="30" spans="1:11" x14ac:dyDescent="0.25">
      <c r="A30" s="15" t="s">
        <v>19</v>
      </c>
      <c r="B30" s="17" t="s">
        <v>369</v>
      </c>
      <c r="C30" s="56" t="s">
        <v>370</v>
      </c>
      <c r="D30" s="12">
        <f>1213+1429</f>
        <v>2642</v>
      </c>
      <c r="E30" s="35"/>
      <c r="F30" s="18"/>
      <c r="G30" s="12"/>
      <c r="H30" s="12">
        <v>819</v>
      </c>
      <c r="I30" s="66">
        <v>290</v>
      </c>
      <c r="J30" s="39">
        <f t="shared" si="1"/>
        <v>4958</v>
      </c>
      <c r="K30" s="41">
        <f t="shared" si="0"/>
        <v>99.16</v>
      </c>
    </row>
    <row r="31" spans="1:11" x14ac:dyDescent="0.25">
      <c r="A31" s="15" t="s">
        <v>20</v>
      </c>
      <c r="B31" s="17"/>
      <c r="C31" s="11"/>
      <c r="D31" s="12"/>
      <c r="E31" s="64"/>
      <c r="F31" s="18"/>
      <c r="G31" s="12"/>
      <c r="H31" s="12">
        <v>336</v>
      </c>
      <c r="I31" s="66"/>
      <c r="J31" s="39">
        <f t="shared" si="1"/>
        <v>4622</v>
      </c>
      <c r="K31" s="41">
        <f t="shared" si="0"/>
        <v>92.44</v>
      </c>
    </row>
    <row r="32" spans="1:11" x14ac:dyDescent="0.25">
      <c r="A32" s="15" t="s">
        <v>21</v>
      </c>
      <c r="B32" s="17" t="s">
        <v>371</v>
      </c>
      <c r="C32" s="58" t="s">
        <v>372</v>
      </c>
      <c r="D32" s="12">
        <f>504+1032</f>
        <v>1536</v>
      </c>
      <c r="E32" s="35"/>
      <c r="F32" s="18"/>
      <c r="G32" s="75"/>
      <c r="H32" s="12"/>
      <c r="I32" s="66"/>
      <c r="J32" s="39">
        <f t="shared" si="1"/>
        <v>6158</v>
      </c>
      <c r="K32" s="41">
        <f t="shared" si="0"/>
        <v>123.16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>
        <v>783</v>
      </c>
      <c r="I33" s="66"/>
      <c r="J33" s="39">
        <f t="shared" si="1"/>
        <v>5375</v>
      </c>
      <c r="K33" s="41">
        <f t="shared" si="0"/>
        <v>107.5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1"/>
        <v>5375</v>
      </c>
      <c r="K34" s="41">
        <f t="shared" si="0"/>
        <v>107.5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/>
      <c r="I35" s="66"/>
      <c r="J35" s="39">
        <f t="shared" si="1"/>
        <v>5375</v>
      </c>
      <c r="K35" s="41">
        <f t="shared" si="0"/>
        <v>107.5</v>
      </c>
    </row>
    <row r="36" spans="1:12" ht="13.5" customHeight="1" x14ac:dyDescent="0.25">
      <c r="A36" s="15" t="s">
        <v>25</v>
      </c>
      <c r="B36" s="17"/>
      <c r="C36" s="56"/>
      <c r="D36" s="12"/>
      <c r="E36" s="35"/>
      <c r="F36" s="14"/>
      <c r="G36" s="14"/>
      <c r="H36" s="12"/>
      <c r="I36" s="67"/>
      <c r="J36" s="39">
        <f t="shared" si="1"/>
        <v>5375</v>
      </c>
      <c r="K36" s="41">
        <f t="shared" si="0"/>
        <v>107.5</v>
      </c>
    </row>
    <row r="37" spans="1:12" x14ac:dyDescent="0.25">
      <c r="A37" s="15" t="s">
        <v>26</v>
      </c>
      <c r="B37" s="17" t="s">
        <v>373</v>
      </c>
      <c r="C37" s="56" t="s">
        <v>374</v>
      </c>
      <c r="D37" s="12">
        <f>1036+1192</f>
        <v>2228</v>
      </c>
      <c r="E37" s="35"/>
      <c r="F37" s="14"/>
      <c r="G37" s="12"/>
      <c r="H37" s="12"/>
      <c r="I37" s="66"/>
      <c r="J37" s="39">
        <f t="shared" si="1"/>
        <v>7603</v>
      </c>
      <c r="K37" s="41">
        <f t="shared" si="0"/>
        <v>152.06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>
        <v>385</v>
      </c>
      <c r="I38" s="66"/>
      <c r="J38" s="39">
        <f t="shared" si="1"/>
        <v>7218</v>
      </c>
      <c r="K38" s="41">
        <f t="shared" si="0"/>
        <v>144.36000000000001</v>
      </c>
    </row>
    <row r="39" spans="1:12" x14ac:dyDescent="0.25">
      <c r="A39" s="15" t="s">
        <v>28</v>
      </c>
      <c r="B39" s="56"/>
      <c r="C39" s="56"/>
      <c r="D39" s="12"/>
      <c r="E39" s="35"/>
      <c r="F39" s="18"/>
      <c r="G39" s="12"/>
      <c r="H39" s="12"/>
      <c r="I39" s="66"/>
      <c r="J39" s="39">
        <f t="shared" si="1"/>
        <v>7218</v>
      </c>
      <c r="K39" s="41">
        <f t="shared" si="0"/>
        <v>144.36000000000001</v>
      </c>
    </row>
    <row r="40" spans="1:12" x14ac:dyDescent="0.25">
      <c r="A40" s="12" t="s">
        <v>29</v>
      </c>
      <c r="B40" s="56"/>
      <c r="C40" s="56" t="s">
        <v>375</v>
      </c>
      <c r="D40" s="12"/>
      <c r="E40" s="12">
        <v>1235</v>
      </c>
      <c r="F40" s="81"/>
      <c r="G40" s="12"/>
      <c r="H40" s="12"/>
      <c r="I40" s="12"/>
      <c r="J40" s="39">
        <f t="shared" si="1"/>
        <v>8453</v>
      </c>
      <c r="K40" s="41">
        <f t="shared" si="0"/>
        <v>169.06</v>
      </c>
    </row>
    <row r="41" spans="1:12" x14ac:dyDescent="0.25">
      <c r="A41" s="12" t="s">
        <v>30</v>
      </c>
      <c r="B41" s="56" t="s">
        <v>376</v>
      </c>
      <c r="C41" s="56" t="s">
        <v>377</v>
      </c>
      <c r="D41" s="12">
        <f>1415+336</f>
        <v>1751</v>
      </c>
      <c r="E41" s="12">
        <v>1934</v>
      </c>
      <c r="F41" s="81"/>
      <c r="G41" s="12"/>
      <c r="H41" s="12"/>
      <c r="I41" s="12"/>
      <c r="J41" s="39">
        <f t="shared" ref="J41" si="2">J40+D41+E41-H41-I41</f>
        <v>12138</v>
      </c>
      <c r="K41" s="41">
        <f t="shared" ref="K41" si="3">0.02*J41</f>
        <v>242.76</v>
      </c>
    </row>
    <row r="42" spans="1:12" ht="15" thickBot="1" x14ac:dyDescent="0.35">
      <c r="A42" s="168"/>
      <c r="B42" s="169"/>
      <c r="C42" s="19" t="s">
        <v>31</v>
      </c>
      <c r="D42" s="20">
        <f>SUM(D11:D41)</f>
        <v>14607</v>
      </c>
      <c r="E42" s="20">
        <f>SUM(E11:E41)</f>
        <v>3527</v>
      </c>
      <c r="F42" s="21">
        <v>0</v>
      </c>
      <c r="G42" s="21"/>
      <c r="H42" s="20">
        <f>SUM(H11:H41)</f>
        <v>3021</v>
      </c>
      <c r="I42" s="20">
        <f>SUM(I11:I41)</f>
        <v>3817</v>
      </c>
      <c r="J42" s="69">
        <f>AVERAGE(J11:J41)</f>
        <v>4361.1612903225805</v>
      </c>
      <c r="K42" s="32">
        <f>SUM(K11:K41)</f>
        <v>2703.92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</f>
        <v>14607</v>
      </c>
      <c r="I45" s="59">
        <v>0.28000000000000003</v>
      </c>
      <c r="J45" s="48">
        <f>H45*I45</f>
        <v>4089.9600000000005</v>
      </c>
      <c r="K45" s="50">
        <f>kurs*J45</f>
        <v>479270.51071200002</v>
      </c>
    </row>
    <row r="46" spans="1:12" x14ac:dyDescent="0.25">
      <c r="E46" s="42" t="s">
        <v>54</v>
      </c>
      <c r="F46" s="43"/>
      <c r="G46" s="43"/>
      <c r="H46" s="44">
        <f>H42</f>
        <v>3021</v>
      </c>
      <c r="I46" s="59">
        <v>0.2</v>
      </c>
      <c r="J46" s="48">
        <f>H46*I46</f>
        <v>604.20000000000005</v>
      </c>
      <c r="K46" s="50">
        <f t="shared" ref="K46" si="4">kurs*J46</f>
        <v>70801.485240000009</v>
      </c>
      <c r="L46" s="61"/>
    </row>
    <row r="47" spans="1:12" x14ac:dyDescent="0.25">
      <c r="E47" s="42" t="s">
        <v>163</v>
      </c>
      <c r="F47" s="43"/>
      <c r="G47" s="43"/>
      <c r="H47" s="44">
        <f>E42</f>
        <v>3527</v>
      </c>
      <c r="I47" s="59">
        <v>0.26600000000000001</v>
      </c>
      <c r="J47" s="48">
        <f t="shared" ref="J47:J49" si="5">H47*I47</f>
        <v>938.18200000000002</v>
      </c>
      <c r="K47" s="50">
        <f t="shared" ref="K47:K48" si="6">kurs*J47</f>
        <v>109938.23076039999</v>
      </c>
    </row>
    <row r="48" spans="1:12" x14ac:dyDescent="0.25">
      <c r="E48" s="45" t="s">
        <v>164</v>
      </c>
      <c r="F48" s="46"/>
      <c r="G48" s="46"/>
      <c r="H48" s="47">
        <f>I42</f>
        <v>3817</v>
      </c>
      <c r="I48" s="60">
        <v>0.19</v>
      </c>
      <c r="J48" s="48">
        <f t="shared" si="5"/>
        <v>725.23</v>
      </c>
      <c r="K48" s="50">
        <f t="shared" si="6"/>
        <v>84984.046906000003</v>
      </c>
    </row>
    <row r="49" spans="3:12" x14ac:dyDescent="0.25">
      <c r="E49" s="45" t="s">
        <v>360</v>
      </c>
      <c r="F49" s="46"/>
      <c r="G49" s="46"/>
      <c r="H49" s="47">
        <v>49448</v>
      </c>
      <c r="I49" s="60">
        <v>0.04</v>
      </c>
      <c r="J49" s="48">
        <f t="shared" si="5"/>
        <v>1977.92</v>
      </c>
      <c r="K49" s="50">
        <f>kurs*J49</f>
        <v>231777.017024</v>
      </c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2703.92</v>
      </c>
      <c r="K52" s="50">
        <f>kurs*J52</f>
        <v>316851.29422400001</v>
      </c>
      <c r="L52" s="61"/>
    </row>
    <row r="53" spans="3:12" x14ac:dyDescent="0.25">
      <c r="E53" s="22"/>
      <c r="I53" t="s">
        <v>56</v>
      </c>
      <c r="J53" s="52">
        <f>SUM(J45:J52)</f>
        <v>11039.412</v>
      </c>
      <c r="K53" s="51">
        <f>SUM(K45:K52)</f>
        <v>1293622.5848664001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5D87-8000-4475-8635-DD57F48819EF}">
  <dimension ref="A1:L58"/>
  <sheetViews>
    <sheetView view="pageBreakPreview" topLeftCell="A13" zoomScaleNormal="100" zoomScaleSheetLayoutView="100" workbookViewId="0">
      <selection activeCell="D31" sqref="D31"/>
    </sheetView>
  </sheetViews>
  <sheetFormatPr defaultRowHeight="13.8" x14ac:dyDescent="0.25"/>
  <cols>
    <col min="1" max="1" width="17.5" customWidth="1"/>
    <col min="2" max="2" width="29.5" bestFit="1" customWidth="1"/>
    <col min="3" max="3" width="32.1992187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45170</v>
      </c>
      <c r="H3" s="4"/>
      <c r="I3" s="4"/>
    </row>
    <row r="4" spans="1:11" x14ac:dyDescent="0.25">
      <c r="B4" s="2"/>
      <c r="C4" s="6"/>
      <c r="F4" s="3">
        <v>45199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117.1835</v>
      </c>
      <c r="F6" t="s">
        <v>42</v>
      </c>
      <c r="G6" s="81">
        <v>2309021914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165</v>
      </c>
      <c r="F9" s="30" t="s">
        <v>49</v>
      </c>
      <c r="G9" s="78" t="s">
        <v>50</v>
      </c>
      <c r="H9" s="29" t="s">
        <v>48</v>
      </c>
      <c r="I9" s="71" t="s">
        <v>165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842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D10+D11+E11-H11-I11</f>
        <v>842</v>
      </c>
      <c r="K11" s="41">
        <f>0.02*J11</f>
        <v>16.84</v>
      </c>
    </row>
    <row r="12" spans="1:11" ht="14.25" customHeight="1" x14ac:dyDescent="0.25">
      <c r="A12" s="15" t="s">
        <v>1</v>
      </c>
      <c r="B12" s="16"/>
      <c r="C12" s="31"/>
      <c r="D12" s="12"/>
      <c r="E12" s="35"/>
      <c r="F12" s="14"/>
      <c r="G12" s="12"/>
      <c r="H12" s="12"/>
      <c r="I12" s="65"/>
      <c r="J12" s="39">
        <f>J11+D12+E12-H12-I12</f>
        <v>842</v>
      </c>
      <c r="K12" s="41">
        <f t="shared" ref="K12:K39" si="0">0.02*J12</f>
        <v>16.84</v>
      </c>
    </row>
    <row r="13" spans="1:11" ht="13.5" customHeight="1" x14ac:dyDescent="0.25">
      <c r="A13" s="15" t="s">
        <v>2</v>
      </c>
      <c r="B13" s="11"/>
      <c r="C13" s="56"/>
      <c r="D13" s="56"/>
      <c r="E13" s="13"/>
      <c r="F13" s="14"/>
      <c r="G13" s="12"/>
      <c r="H13" s="12"/>
      <c r="I13" s="65"/>
      <c r="J13" s="39">
        <f t="shared" ref="J13:J40" si="1">J12+D13+E13-H13-I13</f>
        <v>842</v>
      </c>
      <c r="K13" s="41">
        <f t="shared" si="0"/>
        <v>16.84</v>
      </c>
    </row>
    <row r="14" spans="1:11" x14ac:dyDescent="0.25">
      <c r="A14" s="15" t="s">
        <v>3</v>
      </c>
      <c r="B14" s="16" t="s">
        <v>167</v>
      </c>
      <c r="C14" s="56" t="s">
        <v>166</v>
      </c>
      <c r="D14" s="12">
        <v>1024</v>
      </c>
      <c r="E14" s="35"/>
      <c r="F14" s="63"/>
      <c r="G14" s="12"/>
      <c r="H14" s="12"/>
      <c r="I14" s="65"/>
      <c r="J14" s="39">
        <f t="shared" si="1"/>
        <v>1866</v>
      </c>
      <c r="K14" s="41">
        <f t="shared" si="0"/>
        <v>37.32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/>
      <c r="J15" s="39">
        <f t="shared" si="1"/>
        <v>1866</v>
      </c>
      <c r="K15" s="41">
        <f t="shared" si="0"/>
        <v>37.32</v>
      </c>
    </row>
    <row r="16" spans="1:11" x14ac:dyDescent="0.25">
      <c r="A16" s="15" t="s">
        <v>5</v>
      </c>
      <c r="B16" s="16"/>
      <c r="C16" s="56"/>
      <c r="D16" s="12"/>
      <c r="E16" s="35"/>
      <c r="F16" s="14"/>
      <c r="G16" s="12"/>
      <c r="H16" s="80"/>
      <c r="I16" s="65"/>
      <c r="J16" s="39">
        <f t="shared" si="1"/>
        <v>1866</v>
      </c>
      <c r="K16" s="41">
        <f t="shared" si="0"/>
        <v>37.32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/>
      <c r="H17" s="12">
        <v>837</v>
      </c>
      <c r="I17" s="66"/>
      <c r="J17" s="39">
        <f t="shared" si="1"/>
        <v>1029</v>
      </c>
      <c r="K17" s="41">
        <f t="shared" si="0"/>
        <v>20.580000000000002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/>
      <c r="I18" s="66"/>
      <c r="J18" s="39">
        <f t="shared" si="1"/>
        <v>1029</v>
      </c>
      <c r="K18" s="41">
        <f t="shared" si="0"/>
        <v>20.580000000000002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1"/>
        <v>1029</v>
      </c>
      <c r="K19" s="41">
        <f t="shared" si="0"/>
        <v>20.580000000000002</v>
      </c>
    </row>
    <row r="20" spans="1:11" x14ac:dyDescent="0.25">
      <c r="A20" s="15" t="s">
        <v>9</v>
      </c>
      <c r="B20" s="16"/>
      <c r="C20" s="56"/>
      <c r="D20" s="12"/>
      <c r="E20" s="35"/>
      <c r="F20" s="18"/>
      <c r="G20" s="12"/>
      <c r="H20" s="12"/>
      <c r="I20" s="66"/>
      <c r="J20" s="39">
        <f t="shared" si="1"/>
        <v>1029</v>
      </c>
      <c r="K20" s="41">
        <f t="shared" si="0"/>
        <v>20.580000000000002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/>
      <c r="H21" s="12">
        <v>187</v>
      </c>
      <c r="I21" s="66"/>
      <c r="J21" s="39">
        <f t="shared" si="1"/>
        <v>842</v>
      </c>
      <c r="K21" s="41">
        <f t="shared" si="0"/>
        <v>16.84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/>
      <c r="H22" s="12"/>
      <c r="I22" s="66"/>
      <c r="J22" s="39">
        <f t="shared" si="1"/>
        <v>842</v>
      </c>
      <c r="K22" s="41">
        <f t="shared" si="0"/>
        <v>16.84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H23" s="12"/>
      <c r="I23" s="66"/>
      <c r="J23" s="39">
        <f t="shared" si="1"/>
        <v>842</v>
      </c>
      <c r="K23" s="41">
        <f t="shared" si="0"/>
        <v>16.84</v>
      </c>
    </row>
    <row r="24" spans="1:11" x14ac:dyDescent="0.25">
      <c r="A24" s="15" t="s">
        <v>13</v>
      </c>
      <c r="B24" s="11"/>
      <c r="C24" s="56"/>
      <c r="D24" s="12"/>
      <c r="E24" s="35"/>
      <c r="F24" s="18"/>
      <c r="G24" s="12"/>
      <c r="H24" s="12"/>
      <c r="I24" s="66"/>
      <c r="J24" s="39">
        <f t="shared" si="1"/>
        <v>842</v>
      </c>
      <c r="K24" s="41">
        <f t="shared" si="0"/>
        <v>16.84</v>
      </c>
    </row>
    <row r="25" spans="1:11" x14ac:dyDescent="0.25">
      <c r="A25" s="15" t="s">
        <v>14</v>
      </c>
      <c r="B25" s="16"/>
      <c r="C25" s="56"/>
      <c r="D25" s="12"/>
      <c r="E25" s="35"/>
      <c r="F25" s="18"/>
      <c r="G25" s="12"/>
      <c r="H25" s="12"/>
      <c r="I25" s="66"/>
      <c r="J25" s="39">
        <f t="shared" si="1"/>
        <v>842</v>
      </c>
      <c r="K25" s="41">
        <f t="shared" si="0"/>
        <v>16.84</v>
      </c>
    </row>
    <row r="26" spans="1:11" x14ac:dyDescent="0.25">
      <c r="A26" s="15" t="s">
        <v>15</v>
      </c>
      <c r="B26" s="16"/>
      <c r="C26" s="56"/>
      <c r="D26" s="12"/>
      <c r="E26" s="35"/>
      <c r="F26" s="18"/>
      <c r="G26" s="12"/>
      <c r="H26" s="12"/>
      <c r="I26" s="66"/>
      <c r="J26" s="39">
        <f t="shared" si="1"/>
        <v>842</v>
      </c>
      <c r="K26" s="41">
        <f t="shared" si="0"/>
        <v>16.84</v>
      </c>
    </row>
    <row r="27" spans="1:11" ht="14.4" x14ac:dyDescent="0.3">
      <c r="A27" s="15" t="s">
        <v>16</v>
      </c>
      <c r="B27" s="53"/>
      <c r="C27" s="56"/>
      <c r="D27" s="12"/>
      <c r="E27" s="35"/>
      <c r="F27" s="18"/>
      <c r="G27" s="12"/>
      <c r="H27" s="12"/>
      <c r="I27" s="66"/>
      <c r="J27" s="39">
        <f t="shared" si="1"/>
        <v>842</v>
      </c>
      <c r="K27" s="41">
        <f t="shared" si="0"/>
        <v>16.84</v>
      </c>
    </row>
    <row r="28" spans="1:11" x14ac:dyDescent="0.25">
      <c r="A28" s="15" t="s">
        <v>17</v>
      </c>
      <c r="B28" s="16" t="s">
        <v>180</v>
      </c>
      <c r="C28" s="56" t="s">
        <v>179</v>
      </c>
      <c r="D28" s="12">
        <v>1024</v>
      </c>
      <c r="E28" s="35">
        <f>1917+1256</f>
        <v>3173</v>
      </c>
      <c r="F28" s="18"/>
      <c r="G28" s="12"/>
      <c r="H28" s="12">
        <v>88</v>
      </c>
      <c r="I28" s="66"/>
      <c r="J28" s="39">
        <f t="shared" si="1"/>
        <v>4951</v>
      </c>
      <c r="K28" s="41">
        <f t="shared" si="0"/>
        <v>99.02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/>
      <c r="J29" s="39">
        <f t="shared" si="1"/>
        <v>4951</v>
      </c>
      <c r="K29" s="41">
        <f t="shared" si="0"/>
        <v>99.02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 t="shared" si="1"/>
        <v>4951</v>
      </c>
      <c r="K30" s="41">
        <f t="shared" si="0"/>
        <v>99.02</v>
      </c>
    </row>
    <row r="31" spans="1:11" x14ac:dyDescent="0.25">
      <c r="A31" s="15" t="s">
        <v>20</v>
      </c>
      <c r="B31" s="17" t="s">
        <v>169</v>
      </c>
      <c r="C31" s="11" t="s">
        <v>168</v>
      </c>
      <c r="D31" s="12">
        <v>499</v>
      </c>
      <c r="E31" s="64"/>
      <c r="F31" s="18"/>
      <c r="G31" s="12"/>
      <c r="H31" s="12"/>
      <c r="I31" s="66"/>
      <c r="J31" s="39">
        <f t="shared" si="1"/>
        <v>5450</v>
      </c>
      <c r="K31" s="41">
        <f t="shared" si="0"/>
        <v>109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/>
      <c r="H32" s="12">
        <v>42</v>
      </c>
      <c r="I32" s="66"/>
      <c r="J32" s="39">
        <f t="shared" si="1"/>
        <v>5408</v>
      </c>
      <c r="K32" s="41">
        <f t="shared" si="0"/>
        <v>108.16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1"/>
        <v>5408</v>
      </c>
      <c r="K33" s="41">
        <f t="shared" si="0"/>
        <v>108.16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1"/>
        <v>5408</v>
      </c>
      <c r="K34" s="41">
        <f t="shared" si="0"/>
        <v>108.16</v>
      </c>
    </row>
    <row r="35" spans="1:12" x14ac:dyDescent="0.25">
      <c r="A35" s="15" t="s">
        <v>24</v>
      </c>
      <c r="B35" s="17"/>
      <c r="C35" s="56"/>
      <c r="D35" s="12"/>
      <c r="E35" s="35">
        <v>1200</v>
      </c>
      <c r="F35" s="18"/>
      <c r="G35" s="12"/>
      <c r="H35" s="12"/>
      <c r="I35" s="66"/>
      <c r="J35" s="39">
        <f t="shared" si="1"/>
        <v>6608</v>
      </c>
      <c r="K35" s="41">
        <f t="shared" si="0"/>
        <v>132.16</v>
      </c>
    </row>
    <row r="36" spans="1:12" ht="13.5" customHeight="1" x14ac:dyDescent="0.25">
      <c r="A36" s="15" t="s">
        <v>25</v>
      </c>
      <c r="B36" s="17"/>
      <c r="C36" s="56"/>
      <c r="D36" s="12"/>
      <c r="E36" s="35">
        <v>1227</v>
      </c>
      <c r="F36" s="14"/>
      <c r="G36" s="14"/>
      <c r="H36" s="12"/>
      <c r="I36" s="67"/>
      <c r="J36" s="39">
        <f t="shared" si="1"/>
        <v>7835</v>
      </c>
      <c r="K36" s="41">
        <f t="shared" si="0"/>
        <v>156.70000000000002</v>
      </c>
    </row>
    <row r="37" spans="1:12" x14ac:dyDescent="0.25">
      <c r="A37" s="15" t="s">
        <v>26</v>
      </c>
      <c r="B37" s="17"/>
      <c r="C37" s="56"/>
      <c r="D37" s="12"/>
      <c r="E37" s="35"/>
      <c r="F37" s="14"/>
      <c r="G37" s="12"/>
      <c r="H37" s="12"/>
      <c r="I37" s="66"/>
      <c r="J37" s="39">
        <f t="shared" si="1"/>
        <v>7835</v>
      </c>
      <c r="K37" s="41">
        <f t="shared" si="0"/>
        <v>156.70000000000002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>
        <v>1024</v>
      </c>
      <c r="I38" s="66"/>
      <c r="J38" s="39">
        <f t="shared" si="1"/>
        <v>6811</v>
      </c>
      <c r="K38" s="41">
        <f t="shared" si="0"/>
        <v>136.22</v>
      </c>
    </row>
    <row r="39" spans="1:12" x14ac:dyDescent="0.25">
      <c r="A39" s="15" t="s">
        <v>28</v>
      </c>
      <c r="B39" s="56"/>
      <c r="C39" s="56"/>
      <c r="D39" s="12"/>
      <c r="E39" s="35"/>
      <c r="F39" s="18"/>
      <c r="G39" s="12"/>
      <c r="H39" s="12"/>
      <c r="I39" s="66">
        <v>915</v>
      </c>
      <c r="J39" s="39">
        <f t="shared" si="1"/>
        <v>5896</v>
      </c>
      <c r="K39" s="41">
        <f t="shared" si="0"/>
        <v>117.92</v>
      </c>
    </row>
    <row r="40" spans="1:12" x14ac:dyDescent="0.25">
      <c r="A40" s="12" t="s">
        <v>29</v>
      </c>
      <c r="B40" s="56"/>
      <c r="C40" s="56"/>
      <c r="D40" s="12"/>
      <c r="E40" s="12"/>
      <c r="F40" s="81"/>
      <c r="G40" s="12"/>
      <c r="H40" s="12"/>
      <c r="I40" s="12"/>
      <c r="J40" s="39">
        <f t="shared" si="1"/>
        <v>5896</v>
      </c>
      <c r="K40" s="41">
        <f t="shared" ref="K40" si="2">0.02*J40</f>
        <v>117.92</v>
      </c>
    </row>
    <row r="41" spans="1:12" x14ac:dyDescent="0.25">
      <c r="A41" s="12" t="s">
        <v>30</v>
      </c>
      <c r="B41" s="56"/>
      <c r="C41" s="56"/>
      <c r="D41" s="12"/>
      <c r="E41" s="12"/>
      <c r="F41" s="81"/>
      <c r="G41" s="12"/>
      <c r="H41" s="12"/>
      <c r="I41" s="12"/>
      <c r="J41" s="82"/>
      <c r="K41" s="83"/>
    </row>
    <row r="42" spans="1:12" ht="15" thickBot="1" x14ac:dyDescent="0.35">
      <c r="A42" s="168"/>
      <c r="B42" s="169"/>
      <c r="C42" s="19" t="s">
        <v>31</v>
      </c>
      <c r="D42" s="20">
        <f>SUM(D11:D39)</f>
        <v>2547</v>
      </c>
      <c r="E42" s="20">
        <f>SUM(E11:E39)</f>
        <v>5600</v>
      </c>
      <c r="F42" s="21">
        <v>0</v>
      </c>
      <c r="G42" s="21"/>
      <c r="H42" s="20">
        <f>SUM(H11:H39)</f>
        <v>2178</v>
      </c>
      <c r="I42" s="20">
        <f>SUM(I11:I39)</f>
        <v>915</v>
      </c>
      <c r="J42" s="69">
        <f>AVERAGE(J11:J41)</f>
        <v>3184.7333333333331</v>
      </c>
      <c r="K42" s="32">
        <f>SUM(K11:K41)</f>
        <v>1910.8400000000001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D42</f>
        <v>2547</v>
      </c>
      <c r="I45" s="59">
        <v>0.28000000000000003</v>
      </c>
      <c r="J45" s="48">
        <f>H45*I45</f>
        <v>713.16000000000008</v>
      </c>
      <c r="K45" s="50">
        <f>kurs*J45</f>
        <v>83570.584860000003</v>
      </c>
    </row>
    <row r="46" spans="1:12" x14ac:dyDescent="0.25">
      <c r="E46" s="42" t="s">
        <v>54</v>
      </c>
      <c r="F46" s="43"/>
      <c r="G46" s="43"/>
      <c r="H46" s="44">
        <f>H42</f>
        <v>2178</v>
      </c>
      <c r="I46" s="59">
        <v>0.2</v>
      </c>
      <c r="J46" s="48">
        <f>H46*I46</f>
        <v>435.6</v>
      </c>
      <c r="K46" s="50">
        <f t="shared" ref="K46" si="3">kurs*J46</f>
        <v>51045.132599999997</v>
      </c>
      <c r="L46" s="61"/>
    </row>
    <row r="47" spans="1:12" x14ac:dyDescent="0.25">
      <c r="E47" s="42" t="s">
        <v>163</v>
      </c>
      <c r="F47" s="43"/>
      <c r="G47" s="43"/>
      <c r="H47" s="44">
        <f>E42</f>
        <v>5600</v>
      </c>
      <c r="I47" s="59">
        <v>0.26600000000000001</v>
      </c>
      <c r="J47" s="48">
        <f t="shared" ref="J47:J48" si="4">H47*I47</f>
        <v>1489.6000000000001</v>
      </c>
      <c r="K47" s="50">
        <f t="shared" ref="K47:K48" si="5">kurs*J47</f>
        <v>174556.5416</v>
      </c>
    </row>
    <row r="48" spans="1:12" x14ac:dyDescent="0.25">
      <c r="E48" s="45" t="s">
        <v>164</v>
      </c>
      <c r="F48" s="46"/>
      <c r="G48" s="46"/>
      <c r="H48" s="47">
        <f>I42</f>
        <v>915</v>
      </c>
      <c r="I48" s="60">
        <v>0.19</v>
      </c>
      <c r="J48" s="48">
        <f t="shared" si="4"/>
        <v>173.85</v>
      </c>
      <c r="K48" s="50">
        <f t="shared" si="5"/>
        <v>20372.351474999999</v>
      </c>
    </row>
    <row r="49" spans="3:12" x14ac:dyDescent="0.25">
      <c r="E49" s="45" t="s">
        <v>360</v>
      </c>
      <c r="F49" s="46"/>
      <c r="G49" s="46"/>
      <c r="H49" s="47">
        <v>40045</v>
      </c>
      <c r="I49" s="60">
        <v>0.04</v>
      </c>
      <c r="J49" s="48">
        <f t="shared" ref="J49" si="6">H49*I49</f>
        <v>1601.8</v>
      </c>
      <c r="K49" s="50">
        <f t="shared" ref="K49" si="7">kurs*J49</f>
        <v>187704.53029999998</v>
      </c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1910.8400000000001</v>
      </c>
      <c r="K52" s="50">
        <f>kurs*J52</f>
        <v>223918.91914000001</v>
      </c>
      <c r="L52" s="61"/>
    </row>
    <row r="53" spans="3:12" x14ac:dyDescent="0.25">
      <c r="E53" s="22"/>
      <c r="I53" t="s">
        <v>56</v>
      </c>
      <c r="J53" s="52">
        <f>SUM(J45:J52)</f>
        <v>6324.85</v>
      </c>
      <c r="K53" s="51">
        <f>SUM(K45:K52)</f>
        <v>741168.05997499998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BE2A-0134-4281-82CE-9DCCFE4D498F}">
  <dimension ref="A1:X76"/>
  <sheetViews>
    <sheetView topLeftCell="A40" workbookViewId="0">
      <selection activeCell="F34" sqref="F34:F76"/>
    </sheetView>
  </sheetViews>
  <sheetFormatPr defaultRowHeight="13.8" x14ac:dyDescent="0.25"/>
  <sheetData>
    <row r="1" spans="1:13" x14ac:dyDescent="0.25">
      <c r="A1" t="s">
        <v>170</v>
      </c>
      <c r="B1" t="s">
        <v>171</v>
      </c>
      <c r="C1">
        <v>68</v>
      </c>
      <c r="D1" t="s">
        <v>171</v>
      </c>
      <c r="E1">
        <v>68</v>
      </c>
      <c r="G1" t="s">
        <v>171</v>
      </c>
      <c r="I1" t="b">
        <v>0</v>
      </c>
      <c r="M1" t="s">
        <v>172</v>
      </c>
    </row>
    <row r="2" spans="1:13" x14ac:dyDescent="0.25">
      <c r="A2" t="s">
        <v>173</v>
      </c>
      <c r="B2" t="s">
        <v>171</v>
      </c>
      <c r="C2">
        <v>113</v>
      </c>
      <c r="D2" t="s">
        <v>171</v>
      </c>
      <c r="E2">
        <v>113</v>
      </c>
      <c r="G2" t="s">
        <v>171</v>
      </c>
      <c r="I2" t="b">
        <v>0</v>
      </c>
      <c r="M2" t="s">
        <v>172</v>
      </c>
    </row>
    <row r="3" spans="1:13" x14ac:dyDescent="0.25">
      <c r="A3" t="s">
        <v>174</v>
      </c>
      <c r="B3" t="s">
        <v>171</v>
      </c>
      <c r="C3">
        <v>98</v>
      </c>
      <c r="D3" t="s">
        <v>171</v>
      </c>
      <c r="E3">
        <v>98</v>
      </c>
      <c r="G3" t="s">
        <v>171</v>
      </c>
      <c r="I3" t="b">
        <v>0</v>
      </c>
      <c r="M3" t="s">
        <v>172</v>
      </c>
    </row>
    <row r="4" spans="1:13" x14ac:dyDescent="0.25">
      <c r="A4" t="s">
        <v>175</v>
      </c>
      <c r="B4" t="s">
        <v>171</v>
      </c>
      <c r="C4">
        <v>79</v>
      </c>
      <c r="D4" t="s">
        <v>171</v>
      </c>
      <c r="E4">
        <v>79</v>
      </c>
      <c r="G4" t="s">
        <v>171</v>
      </c>
      <c r="I4" t="b">
        <v>0</v>
      </c>
      <c r="M4" t="s">
        <v>172</v>
      </c>
    </row>
    <row r="5" spans="1:13" x14ac:dyDescent="0.25">
      <c r="A5" t="s">
        <v>176</v>
      </c>
      <c r="B5" t="s">
        <v>171</v>
      </c>
      <c r="C5">
        <v>82</v>
      </c>
      <c r="D5" t="s">
        <v>171</v>
      </c>
      <c r="E5">
        <v>82</v>
      </c>
      <c r="G5" t="s">
        <v>171</v>
      </c>
      <c r="I5" t="b">
        <v>0</v>
      </c>
      <c r="M5" t="s">
        <v>172</v>
      </c>
    </row>
    <row r="6" spans="1:13" x14ac:dyDescent="0.25">
      <c r="A6" t="s">
        <v>177</v>
      </c>
      <c r="B6" t="s">
        <v>178</v>
      </c>
      <c r="C6">
        <v>59</v>
      </c>
      <c r="D6" t="s">
        <v>178</v>
      </c>
      <c r="E6">
        <v>59</v>
      </c>
      <c r="G6" t="s">
        <v>178</v>
      </c>
      <c r="I6" t="b">
        <v>0</v>
      </c>
      <c r="M6" t="s">
        <v>172</v>
      </c>
    </row>
    <row r="12" spans="1:13" x14ac:dyDescent="0.25">
      <c r="A12" t="s">
        <v>179</v>
      </c>
    </row>
    <row r="14" spans="1:13" x14ac:dyDescent="0.25">
      <c r="A14" t="s">
        <v>170</v>
      </c>
      <c r="B14" t="s">
        <v>171</v>
      </c>
      <c r="C14">
        <v>202</v>
      </c>
      <c r="D14" t="s">
        <v>171</v>
      </c>
      <c r="E14">
        <v>202</v>
      </c>
      <c r="G14" t="s">
        <v>171</v>
      </c>
      <c r="I14" t="b">
        <v>0</v>
      </c>
      <c r="M14" t="s">
        <v>172</v>
      </c>
    </row>
    <row r="15" spans="1:13" x14ac:dyDescent="0.25">
      <c r="A15" t="s">
        <v>173</v>
      </c>
      <c r="B15" t="s">
        <v>171</v>
      </c>
      <c r="C15">
        <v>176</v>
      </c>
      <c r="D15" t="s">
        <v>171</v>
      </c>
      <c r="E15">
        <v>176</v>
      </c>
      <c r="G15" t="s">
        <v>171</v>
      </c>
      <c r="I15" t="b">
        <v>0</v>
      </c>
      <c r="M15" t="s">
        <v>172</v>
      </c>
    </row>
    <row r="16" spans="1:13" x14ac:dyDescent="0.25">
      <c r="A16" t="s">
        <v>174</v>
      </c>
      <c r="B16" t="s">
        <v>171</v>
      </c>
      <c r="C16">
        <v>178</v>
      </c>
      <c r="D16" t="s">
        <v>171</v>
      </c>
      <c r="E16">
        <v>178</v>
      </c>
      <c r="G16" t="s">
        <v>171</v>
      </c>
      <c r="I16" t="b">
        <v>0</v>
      </c>
      <c r="M16" t="s">
        <v>172</v>
      </c>
    </row>
    <row r="17" spans="1:13" x14ac:dyDescent="0.25">
      <c r="A17" t="s">
        <v>175</v>
      </c>
      <c r="B17" t="s">
        <v>171</v>
      </c>
      <c r="C17">
        <v>195</v>
      </c>
      <c r="D17" t="s">
        <v>171</v>
      </c>
      <c r="E17">
        <v>195</v>
      </c>
      <c r="G17" t="s">
        <v>171</v>
      </c>
      <c r="I17" t="b">
        <v>0</v>
      </c>
      <c r="M17" t="s">
        <v>172</v>
      </c>
    </row>
    <row r="18" spans="1:13" x14ac:dyDescent="0.25">
      <c r="A18" t="s">
        <v>176</v>
      </c>
      <c r="B18" t="s">
        <v>171</v>
      </c>
      <c r="C18">
        <v>146</v>
      </c>
      <c r="D18" t="s">
        <v>171</v>
      </c>
      <c r="E18">
        <v>146</v>
      </c>
      <c r="G18" t="s">
        <v>171</v>
      </c>
      <c r="I18" t="b">
        <v>0</v>
      </c>
      <c r="M18" t="s">
        <v>172</v>
      </c>
    </row>
    <row r="19" spans="1:13" x14ac:dyDescent="0.25">
      <c r="A19" t="s">
        <v>177</v>
      </c>
      <c r="B19" t="s">
        <v>178</v>
      </c>
      <c r="C19">
        <v>127</v>
      </c>
      <c r="D19" t="s">
        <v>178</v>
      </c>
      <c r="E19">
        <v>127</v>
      </c>
      <c r="G19" t="s">
        <v>178</v>
      </c>
      <c r="I19" t="b">
        <v>0</v>
      </c>
      <c r="M19" t="s">
        <v>172</v>
      </c>
    </row>
    <row r="23" spans="1:13" x14ac:dyDescent="0.25">
      <c r="A23" t="s">
        <v>170</v>
      </c>
      <c r="B23" t="s">
        <v>171</v>
      </c>
      <c r="C23">
        <v>149</v>
      </c>
      <c r="D23" t="s">
        <v>171</v>
      </c>
      <c r="E23">
        <v>149</v>
      </c>
      <c r="G23" t="s">
        <v>171</v>
      </c>
      <c r="I23" t="b">
        <v>0</v>
      </c>
      <c r="M23" t="s">
        <v>182</v>
      </c>
    </row>
    <row r="24" spans="1:13" x14ac:dyDescent="0.25">
      <c r="A24" t="s">
        <v>173</v>
      </c>
      <c r="B24" t="s">
        <v>171</v>
      </c>
      <c r="C24">
        <v>287</v>
      </c>
      <c r="D24" t="s">
        <v>171</v>
      </c>
      <c r="E24">
        <v>287</v>
      </c>
      <c r="G24" t="s">
        <v>171</v>
      </c>
      <c r="I24" t="b">
        <v>0</v>
      </c>
      <c r="M24" t="s">
        <v>182</v>
      </c>
    </row>
    <row r="25" spans="1:13" x14ac:dyDescent="0.25">
      <c r="A25" t="s">
        <v>174</v>
      </c>
      <c r="B25" t="s">
        <v>171</v>
      </c>
      <c r="C25">
        <v>228</v>
      </c>
      <c r="D25" t="s">
        <v>171</v>
      </c>
      <c r="E25">
        <v>228</v>
      </c>
      <c r="G25" t="s">
        <v>171</v>
      </c>
      <c r="I25" t="b">
        <v>0</v>
      </c>
      <c r="M25" t="s">
        <v>182</v>
      </c>
    </row>
    <row r="26" spans="1:13" x14ac:dyDescent="0.25">
      <c r="A26" t="s">
        <v>175</v>
      </c>
      <c r="B26" t="s">
        <v>171</v>
      </c>
      <c r="C26">
        <v>107</v>
      </c>
      <c r="D26" t="s">
        <v>171</v>
      </c>
      <c r="E26">
        <v>107</v>
      </c>
      <c r="G26" t="s">
        <v>171</v>
      </c>
      <c r="I26" t="b">
        <v>0</v>
      </c>
      <c r="M26" t="s">
        <v>182</v>
      </c>
    </row>
    <row r="27" spans="1:13" x14ac:dyDescent="0.25">
      <c r="A27" t="s">
        <v>176</v>
      </c>
      <c r="B27" t="s">
        <v>171</v>
      </c>
      <c r="C27">
        <v>174</v>
      </c>
      <c r="D27" t="s">
        <v>171</v>
      </c>
      <c r="E27">
        <v>174</v>
      </c>
      <c r="G27" t="s">
        <v>171</v>
      </c>
      <c r="I27" t="b">
        <v>0</v>
      </c>
      <c r="M27" t="s">
        <v>182</v>
      </c>
    </row>
    <row r="28" spans="1:13" x14ac:dyDescent="0.25">
      <c r="A28" t="s">
        <v>177</v>
      </c>
      <c r="B28" t="s">
        <v>178</v>
      </c>
      <c r="C28">
        <v>79</v>
      </c>
      <c r="D28" t="s">
        <v>178</v>
      </c>
      <c r="E28">
        <v>79</v>
      </c>
      <c r="G28" t="s">
        <v>178</v>
      </c>
      <c r="I28" t="b">
        <v>0</v>
      </c>
      <c r="M28" t="s">
        <v>182</v>
      </c>
    </row>
    <row r="29" spans="1:13" x14ac:dyDescent="0.25">
      <c r="E29">
        <v>1024</v>
      </c>
    </row>
    <row r="33" spans="1:24" x14ac:dyDescent="0.25">
      <c r="A33" t="s">
        <v>183</v>
      </c>
      <c r="B33" t="s">
        <v>184</v>
      </c>
      <c r="C33" t="s">
        <v>185</v>
      </c>
      <c r="D33" t="s">
        <v>186</v>
      </c>
      <c r="E33" t="s">
        <v>187</v>
      </c>
      <c r="F33" t="s">
        <v>188</v>
      </c>
      <c r="G33" t="s">
        <v>189</v>
      </c>
      <c r="H33" t="s">
        <v>190</v>
      </c>
      <c r="I33" t="s">
        <v>191</v>
      </c>
      <c r="J33" t="s">
        <v>192</v>
      </c>
      <c r="K33" t="s">
        <v>193</v>
      </c>
      <c r="L33" t="s">
        <v>194</v>
      </c>
      <c r="M33" t="s">
        <v>195</v>
      </c>
      <c r="N33" t="s">
        <v>196</v>
      </c>
      <c r="O33" t="s">
        <v>197</v>
      </c>
      <c r="P33" t="s">
        <v>198</v>
      </c>
      <c r="Q33" t="s">
        <v>199</v>
      </c>
      <c r="R33" t="s">
        <v>200</v>
      </c>
      <c r="S33" t="s">
        <v>201</v>
      </c>
      <c r="T33" t="s">
        <v>202</v>
      </c>
      <c r="U33" t="s">
        <v>203</v>
      </c>
      <c r="V33" t="s">
        <v>204</v>
      </c>
      <c r="W33" t="s">
        <v>205</v>
      </c>
      <c r="X33" t="s">
        <v>206</v>
      </c>
    </row>
    <row r="34" spans="1:24" x14ac:dyDescent="0.25">
      <c r="A34" t="s">
        <v>207</v>
      </c>
      <c r="B34" t="s">
        <v>182</v>
      </c>
      <c r="C34" t="s">
        <v>208</v>
      </c>
      <c r="D34" t="s">
        <v>209</v>
      </c>
      <c r="E34">
        <v>3.8606110750077402E+17</v>
      </c>
      <c r="F34">
        <v>25</v>
      </c>
      <c r="G34">
        <v>25</v>
      </c>
      <c r="H34" t="s">
        <v>210</v>
      </c>
      <c r="N34" t="s">
        <v>211</v>
      </c>
      <c r="P34" t="s">
        <v>212</v>
      </c>
    </row>
    <row r="35" spans="1:24" x14ac:dyDescent="0.25">
      <c r="A35" t="s">
        <v>207</v>
      </c>
      <c r="B35" t="s">
        <v>182</v>
      </c>
      <c r="C35" t="s">
        <v>208</v>
      </c>
      <c r="D35" t="s">
        <v>209</v>
      </c>
      <c r="E35">
        <v>3.8606110750077402E+17</v>
      </c>
      <c r="F35">
        <v>27</v>
      </c>
      <c r="G35">
        <v>27</v>
      </c>
      <c r="H35" t="s">
        <v>213</v>
      </c>
      <c r="N35" t="s">
        <v>211</v>
      </c>
      <c r="P35" t="s">
        <v>212</v>
      </c>
    </row>
    <row r="36" spans="1:24" x14ac:dyDescent="0.25">
      <c r="A36" t="s">
        <v>207</v>
      </c>
      <c r="B36" t="s">
        <v>172</v>
      </c>
      <c r="C36" t="s">
        <v>208</v>
      </c>
      <c r="D36" t="s">
        <v>209</v>
      </c>
      <c r="E36">
        <v>3.8606110750085197E+17</v>
      </c>
      <c r="F36">
        <v>30</v>
      </c>
      <c r="G36">
        <v>30</v>
      </c>
      <c r="H36" t="s">
        <v>214</v>
      </c>
      <c r="N36" t="s">
        <v>211</v>
      </c>
      <c r="P36">
        <v>988</v>
      </c>
    </row>
    <row r="37" spans="1:24" x14ac:dyDescent="0.25">
      <c r="A37" t="s">
        <v>215</v>
      </c>
      <c r="B37" t="s">
        <v>172</v>
      </c>
      <c r="C37" t="s">
        <v>208</v>
      </c>
      <c r="D37" t="s">
        <v>209</v>
      </c>
      <c r="E37">
        <v>3.8606110750085197E+17</v>
      </c>
      <c r="F37">
        <v>54</v>
      </c>
      <c r="G37">
        <v>54</v>
      </c>
      <c r="H37" t="s">
        <v>216</v>
      </c>
      <c r="N37" t="s">
        <v>211</v>
      </c>
      <c r="P37">
        <v>989</v>
      </c>
    </row>
    <row r="38" spans="1:24" x14ac:dyDescent="0.25">
      <c r="A38" t="s">
        <v>170</v>
      </c>
      <c r="B38" t="s">
        <v>217</v>
      </c>
      <c r="C38" t="s">
        <v>208</v>
      </c>
      <c r="D38" t="s">
        <v>209</v>
      </c>
      <c r="E38">
        <v>3.8606110750067802E+17</v>
      </c>
      <c r="F38">
        <v>2</v>
      </c>
      <c r="G38">
        <v>2</v>
      </c>
      <c r="H38" t="s">
        <v>218</v>
      </c>
      <c r="N38" t="s">
        <v>211</v>
      </c>
      <c r="P38">
        <v>1</v>
      </c>
    </row>
    <row r="39" spans="1:24" x14ac:dyDescent="0.25">
      <c r="A39" t="s">
        <v>170</v>
      </c>
      <c r="B39" t="s">
        <v>217</v>
      </c>
      <c r="C39" t="s">
        <v>208</v>
      </c>
      <c r="D39" t="s">
        <v>209</v>
      </c>
      <c r="E39">
        <v>3.8606110750067802E+17</v>
      </c>
      <c r="F39">
        <v>19</v>
      </c>
      <c r="G39">
        <v>0</v>
      </c>
      <c r="H39" t="s">
        <v>219</v>
      </c>
      <c r="N39" t="s">
        <v>211</v>
      </c>
      <c r="P39">
        <v>6</v>
      </c>
    </row>
    <row r="40" spans="1:24" x14ac:dyDescent="0.25">
      <c r="A40" t="s">
        <v>170</v>
      </c>
      <c r="B40" t="s">
        <v>217</v>
      </c>
      <c r="C40" t="s">
        <v>208</v>
      </c>
      <c r="D40" t="s">
        <v>209</v>
      </c>
      <c r="E40">
        <v>3.8606110750067898E+17</v>
      </c>
      <c r="F40">
        <v>41</v>
      </c>
      <c r="G40">
        <v>41</v>
      </c>
      <c r="H40" t="s">
        <v>220</v>
      </c>
      <c r="N40" t="s">
        <v>211</v>
      </c>
      <c r="P40">
        <v>5</v>
      </c>
    </row>
    <row r="41" spans="1:24" x14ac:dyDescent="0.25">
      <c r="A41" t="s">
        <v>170</v>
      </c>
      <c r="B41" t="s">
        <v>217</v>
      </c>
      <c r="C41" t="s">
        <v>208</v>
      </c>
      <c r="D41" t="s">
        <v>209</v>
      </c>
      <c r="E41">
        <v>3.8606110750067898E+17</v>
      </c>
      <c r="F41">
        <v>31</v>
      </c>
      <c r="G41">
        <v>0</v>
      </c>
      <c r="H41" t="s">
        <v>221</v>
      </c>
      <c r="N41" t="s">
        <v>211</v>
      </c>
      <c r="P41">
        <v>23</v>
      </c>
    </row>
    <row r="42" spans="1:24" x14ac:dyDescent="0.25">
      <c r="A42" t="s">
        <v>170</v>
      </c>
      <c r="B42" t="s">
        <v>217</v>
      </c>
      <c r="C42" t="s">
        <v>208</v>
      </c>
      <c r="D42" t="s">
        <v>209</v>
      </c>
      <c r="E42">
        <v>3.8606110750067898E+17</v>
      </c>
      <c r="F42">
        <v>28</v>
      </c>
      <c r="G42">
        <v>0</v>
      </c>
      <c r="H42" t="s">
        <v>222</v>
      </c>
      <c r="N42" t="s">
        <v>211</v>
      </c>
      <c r="P42">
        <v>24</v>
      </c>
    </row>
    <row r="43" spans="1:24" x14ac:dyDescent="0.25">
      <c r="A43" t="s">
        <v>170</v>
      </c>
      <c r="B43" t="s">
        <v>217</v>
      </c>
      <c r="C43" t="s">
        <v>208</v>
      </c>
      <c r="D43" t="s">
        <v>209</v>
      </c>
      <c r="E43">
        <v>3.8606110750067898E+17</v>
      </c>
      <c r="F43">
        <v>35</v>
      </c>
      <c r="G43">
        <v>0</v>
      </c>
      <c r="H43" t="s">
        <v>223</v>
      </c>
      <c r="N43" t="s">
        <v>211</v>
      </c>
      <c r="P43">
        <v>16</v>
      </c>
    </row>
    <row r="44" spans="1:24" x14ac:dyDescent="0.25">
      <c r="A44" t="s">
        <v>170</v>
      </c>
      <c r="B44" t="s">
        <v>217</v>
      </c>
      <c r="C44" t="s">
        <v>208</v>
      </c>
      <c r="D44" t="s">
        <v>209</v>
      </c>
      <c r="E44">
        <v>3.8606110750067898E+17</v>
      </c>
      <c r="F44">
        <v>26</v>
      </c>
      <c r="G44">
        <v>26</v>
      </c>
      <c r="H44" t="s">
        <v>224</v>
      </c>
      <c r="N44" t="s">
        <v>211</v>
      </c>
      <c r="P44">
        <v>15</v>
      </c>
    </row>
    <row r="45" spans="1:24" x14ac:dyDescent="0.25">
      <c r="A45" t="s">
        <v>170</v>
      </c>
      <c r="B45" t="s">
        <v>217</v>
      </c>
      <c r="C45" t="s">
        <v>208</v>
      </c>
      <c r="D45" t="s">
        <v>209</v>
      </c>
      <c r="E45">
        <v>3.8606110750067898E+17</v>
      </c>
      <c r="F45">
        <v>18</v>
      </c>
      <c r="G45">
        <v>18</v>
      </c>
      <c r="H45" t="s">
        <v>225</v>
      </c>
      <c r="N45" t="s">
        <v>211</v>
      </c>
      <c r="P45">
        <v>14</v>
      </c>
    </row>
    <row r="46" spans="1:24" x14ac:dyDescent="0.25">
      <c r="A46" t="s">
        <v>170</v>
      </c>
      <c r="B46" t="s">
        <v>217</v>
      </c>
      <c r="C46" t="s">
        <v>208</v>
      </c>
      <c r="D46" t="s">
        <v>209</v>
      </c>
      <c r="E46">
        <v>3.8606110750067898E+17</v>
      </c>
      <c r="F46">
        <v>40</v>
      </c>
      <c r="G46">
        <v>40</v>
      </c>
      <c r="H46" t="s">
        <v>226</v>
      </c>
      <c r="N46" t="s">
        <v>211</v>
      </c>
      <c r="P46">
        <v>12</v>
      </c>
    </row>
    <row r="47" spans="1:24" x14ac:dyDescent="0.25">
      <c r="A47" t="s">
        <v>170</v>
      </c>
      <c r="B47" t="s">
        <v>227</v>
      </c>
      <c r="C47" t="s">
        <v>208</v>
      </c>
      <c r="D47" t="s">
        <v>209</v>
      </c>
      <c r="E47">
        <v>3.8606110750067802E+17</v>
      </c>
      <c r="F47">
        <v>10</v>
      </c>
      <c r="G47">
        <v>10</v>
      </c>
      <c r="H47" t="s">
        <v>228</v>
      </c>
      <c r="N47" t="s">
        <v>211</v>
      </c>
      <c r="P47">
        <v>1</v>
      </c>
    </row>
    <row r="48" spans="1:24" x14ac:dyDescent="0.25">
      <c r="A48" t="s">
        <v>170</v>
      </c>
      <c r="B48" t="s">
        <v>227</v>
      </c>
      <c r="C48" t="s">
        <v>208</v>
      </c>
      <c r="D48" t="s">
        <v>209</v>
      </c>
      <c r="E48">
        <v>3.8606110750067802E+17</v>
      </c>
      <c r="F48">
        <v>7</v>
      </c>
      <c r="G48">
        <v>7</v>
      </c>
      <c r="H48" t="s">
        <v>229</v>
      </c>
      <c r="N48" t="s">
        <v>211</v>
      </c>
      <c r="P48">
        <v>2</v>
      </c>
    </row>
    <row r="49" spans="1:16" x14ac:dyDescent="0.25">
      <c r="A49" t="s">
        <v>170</v>
      </c>
      <c r="B49" t="s">
        <v>227</v>
      </c>
      <c r="C49" t="s">
        <v>208</v>
      </c>
      <c r="D49" t="s">
        <v>209</v>
      </c>
      <c r="E49">
        <v>3.8606110750067802E+17</v>
      </c>
      <c r="F49">
        <v>3</v>
      </c>
      <c r="G49">
        <v>3</v>
      </c>
      <c r="H49" t="s">
        <v>230</v>
      </c>
      <c r="N49" t="s">
        <v>211</v>
      </c>
      <c r="P49">
        <v>3</v>
      </c>
    </row>
    <row r="50" spans="1:16" x14ac:dyDescent="0.25">
      <c r="A50" t="s">
        <v>170</v>
      </c>
      <c r="B50" t="s">
        <v>227</v>
      </c>
      <c r="C50" t="s">
        <v>208</v>
      </c>
      <c r="D50" t="s">
        <v>209</v>
      </c>
      <c r="E50">
        <v>3.8606110750067802E+17</v>
      </c>
      <c r="F50">
        <v>4</v>
      </c>
      <c r="G50">
        <v>4</v>
      </c>
      <c r="H50" t="s">
        <v>231</v>
      </c>
      <c r="N50" t="s">
        <v>211</v>
      </c>
      <c r="P50" t="s">
        <v>232</v>
      </c>
    </row>
    <row r="51" spans="1:16" x14ac:dyDescent="0.25">
      <c r="A51" t="s">
        <v>170</v>
      </c>
      <c r="B51" t="s">
        <v>233</v>
      </c>
      <c r="C51" t="s">
        <v>208</v>
      </c>
      <c r="D51" t="s">
        <v>209</v>
      </c>
      <c r="E51">
        <v>3.8606110750069101E+17</v>
      </c>
      <c r="F51">
        <v>26</v>
      </c>
      <c r="G51">
        <v>26</v>
      </c>
      <c r="H51" t="s">
        <v>234</v>
      </c>
      <c r="N51" t="s">
        <v>211</v>
      </c>
      <c r="P51">
        <v>4</v>
      </c>
    </row>
    <row r="52" spans="1:16" x14ac:dyDescent="0.25">
      <c r="A52" t="s">
        <v>170</v>
      </c>
      <c r="B52" t="s">
        <v>233</v>
      </c>
      <c r="C52" t="s">
        <v>208</v>
      </c>
      <c r="D52" t="s">
        <v>209</v>
      </c>
      <c r="E52">
        <v>3.8606110750069101E+17</v>
      </c>
      <c r="F52">
        <v>17</v>
      </c>
      <c r="G52">
        <v>17</v>
      </c>
      <c r="H52" t="s">
        <v>235</v>
      </c>
      <c r="N52" t="s">
        <v>211</v>
      </c>
      <c r="P52">
        <v>5</v>
      </c>
    </row>
    <row r="53" spans="1:16" x14ac:dyDescent="0.25">
      <c r="A53" t="s">
        <v>170</v>
      </c>
      <c r="B53" t="s">
        <v>233</v>
      </c>
      <c r="C53" t="s">
        <v>208</v>
      </c>
      <c r="D53" t="s">
        <v>209</v>
      </c>
      <c r="E53">
        <v>3.8606110750069101E+17</v>
      </c>
      <c r="F53">
        <v>15</v>
      </c>
      <c r="G53">
        <v>15</v>
      </c>
      <c r="H53" t="s">
        <v>236</v>
      </c>
      <c r="N53" t="s">
        <v>211</v>
      </c>
      <c r="P53" t="s">
        <v>237</v>
      </c>
    </row>
    <row r="54" spans="1:16" x14ac:dyDescent="0.25">
      <c r="A54" t="s">
        <v>173</v>
      </c>
      <c r="B54" t="s">
        <v>227</v>
      </c>
      <c r="C54" t="s">
        <v>208</v>
      </c>
      <c r="D54" t="s">
        <v>209</v>
      </c>
      <c r="E54">
        <v>3.8606110750067802E+17</v>
      </c>
      <c r="F54">
        <v>13</v>
      </c>
      <c r="G54">
        <v>0</v>
      </c>
      <c r="H54" t="s">
        <v>238</v>
      </c>
      <c r="N54" t="s">
        <v>211</v>
      </c>
      <c r="P54">
        <v>4</v>
      </c>
    </row>
    <row r="55" spans="1:16" x14ac:dyDescent="0.25">
      <c r="A55" t="s">
        <v>173</v>
      </c>
      <c r="B55" t="s">
        <v>227</v>
      </c>
      <c r="C55" t="s">
        <v>208</v>
      </c>
      <c r="D55" t="s">
        <v>209</v>
      </c>
      <c r="E55">
        <v>3.8606110750067802E+17</v>
      </c>
      <c r="F55">
        <v>6</v>
      </c>
      <c r="G55">
        <v>0</v>
      </c>
      <c r="H55" t="s">
        <v>239</v>
      </c>
      <c r="N55" t="s">
        <v>211</v>
      </c>
      <c r="P55">
        <v>3</v>
      </c>
    </row>
    <row r="56" spans="1:16" x14ac:dyDescent="0.25">
      <c r="A56" t="s">
        <v>173</v>
      </c>
      <c r="B56" t="s">
        <v>227</v>
      </c>
      <c r="C56" t="s">
        <v>208</v>
      </c>
      <c r="D56" t="s">
        <v>209</v>
      </c>
      <c r="E56">
        <v>3.8606110750067802E+17</v>
      </c>
      <c r="F56">
        <v>13</v>
      </c>
      <c r="G56">
        <v>0</v>
      </c>
      <c r="H56" t="s">
        <v>240</v>
      </c>
      <c r="N56" t="s">
        <v>211</v>
      </c>
      <c r="P56">
        <v>2</v>
      </c>
    </row>
    <row r="57" spans="1:16" x14ac:dyDescent="0.25">
      <c r="A57" t="s">
        <v>173</v>
      </c>
      <c r="B57" t="s">
        <v>227</v>
      </c>
      <c r="C57" t="s">
        <v>208</v>
      </c>
      <c r="D57" t="s">
        <v>209</v>
      </c>
      <c r="E57">
        <v>3.8606110750067802E+17</v>
      </c>
      <c r="F57">
        <v>5</v>
      </c>
      <c r="G57">
        <v>0</v>
      </c>
      <c r="H57" t="s">
        <v>241</v>
      </c>
      <c r="N57" t="s">
        <v>211</v>
      </c>
      <c r="P57">
        <v>1</v>
      </c>
    </row>
    <row r="58" spans="1:16" x14ac:dyDescent="0.25">
      <c r="A58" t="s">
        <v>173</v>
      </c>
      <c r="B58" t="s">
        <v>233</v>
      </c>
      <c r="C58" t="s">
        <v>208</v>
      </c>
      <c r="D58" t="s">
        <v>209</v>
      </c>
      <c r="E58">
        <v>3.8606110750069101E+17</v>
      </c>
      <c r="F58">
        <v>7</v>
      </c>
      <c r="G58">
        <v>7</v>
      </c>
      <c r="H58" t="s">
        <v>242</v>
      </c>
      <c r="N58" t="s">
        <v>211</v>
      </c>
      <c r="P58">
        <v>8</v>
      </c>
    </row>
    <row r="59" spans="1:16" x14ac:dyDescent="0.25">
      <c r="A59" t="s">
        <v>173</v>
      </c>
      <c r="B59" t="s">
        <v>233</v>
      </c>
      <c r="C59" t="s">
        <v>208</v>
      </c>
      <c r="D59" t="s">
        <v>209</v>
      </c>
      <c r="E59">
        <v>3.8606110750069101E+17</v>
      </c>
      <c r="F59">
        <v>8</v>
      </c>
      <c r="G59">
        <v>8</v>
      </c>
      <c r="H59" t="s">
        <v>243</v>
      </c>
      <c r="N59" t="s">
        <v>211</v>
      </c>
      <c r="P59">
        <v>5</v>
      </c>
    </row>
    <row r="60" spans="1:16" x14ac:dyDescent="0.25">
      <c r="A60" t="s">
        <v>173</v>
      </c>
      <c r="B60" t="s">
        <v>233</v>
      </c>
      <c r="C60" t="s">
        <v>208</v>
      </c>
      <c r="D60" t="s">
        <v>209</v>
      </c>
      <c r="E60">
        <v>3.8606110750069101E+17</v>
      </c>
      <c r="F60">
        <v>15</v>
      </c>
      <c r="G60">
        <v>15</v>
      </c>
      <c r="H60" t="s">
        <v>244</v>
      </c>
      <c r="N60" t="s">
        <v>211</v>
      </c>
      <c r="P60">
        <v>6</v>
      </c>
    </row>
    <row r="61" spans="1:16" x14ac:dyDescent="0.25">
      <c r="A61" t="s">
        <v>173</v>
      </c>
      <c r="B61" t="s">
        <v>233</v>
      </c>
      <c r="C61" t="s">
        <v>208</v>
      </c>
      <c r="D61" t="s">
        <v>209</v>
      </c>
      <c r="E61">
        <v>3.8606110750069101E+17</v>
      </c>
      <c r="F61">
        <v>16</v>
      </c>
      <c r="G61">
        <v>16</v>
      </c>
      <c r="H61" t="s">
        <v>245</v>
      </c>
      <c r="N61" t="s">
        <v>211</v>
      </c>
      <c r="P61">
        <v>7</v>
      </c>
    </row>
    <row r="62" spans="1:16" x14ac:dyDescent="0.25">
      <c r="A62" t="s">
        <v>174</v>
      </c>
      <c r="B62" t="s">
        <v>182</v>
      </c>
      <c r="C62" t="s">
        <v>208</v>
      </c>
      <c r="D62" t="s">
        <v>209</v>
      </c>
      <c r="E62">
        <v>3.8606110750067802E+17</v>
      </c>
      <c r="F62">
        <v>22</v>
      </c>
      <c r="G62">
        <v>22</v>
      </c>
      <c r="H62" t="s">
        <v>246</v>
      </c>
      <c r="N62" t="s">
        <v>211</v>
      </c>
      <c r="P62">
        <v>1</v>
      </c>
    </row>
    <row r="63" spans="1:16" x14ac:dyDescent="0.25">
      <c r="A63" t="s">
        <v>174</v>
      </c>
      <c r="B63" t="s">
        <v>233</v>
      </c>
      <c r="C63" t="s">
        <v>208</v>
      </c>
      <c r="D63" t="s">
        <v>209</v>
      </c>
      <c r="E63">
        <v>3.8606110750069101E+17</v>
      </c>
      <c r="F63">
        <v>13</v>
      </c>
      <c r="G63">
        <v>13</v>
      </c>
      <c r="H63" t="s">
        <v>247</v>
      </c>
      <c r="N63" t="s">
        <v>211</v>
      </c>
      <c r="P63">
        <v>8</v>
      </c>
    </row>
    <row r="64" spans="1:16" x14ac:dyDescent="0.25">
      <c r="A64" t="s">
        <v>174</v>
      </c>
      <c r="B64" t="s">
        <v>233</v>
      </c>
      <c r="C64" t="s">
        <v>208</v>
      </c>
      <c r="D64" t="s">
        <v>209</v>
      </c>
      <c r="E64">
        <v>3.8606110750069101E+17</v>
      </c>
      <c r="F64">
        <v>23</v>
      </c>
      <c r="G64">
        <v>23</v>
      </c>
      <c r="H64" t="s">
        <v>248</v>
      </c>
      <c r="N64" t="s">
        <v>211</v>
      </c>
      <c r="P64">
        <v>5</v>
      </c>
    </row>
    <row r="65" spans="1:16" x14ac:dyDescent="0.25">
      <c r="A65" t="s">
        <v>174</v>
      </c>
      <c r="B65" t="s">
        <v>233</v>
      </c>
      <c r="C65" t="s">
        <v>208</v>
      </c>
      <c r="D65" t="s">
        <v>209</v>
      </c>
      <c r="E65">
        <v>3.8606110750069101E+17</v>
      </c>
      <c r="F65">
        <v>8</v>
      </c>
      <c r="G65">
        <v>8</v>
      </c>
      <c r="H65" t="s">
        <v>249</v>
      </c>
      <c r="N65" t="s">
        <v>211</v>
      </c>
      <c r="P65">
        <v>7</v>
      </c>
    </row>
    <row r="66" spans="1:16" x14ac:dyDescent="0.25">
      <c r="A66" t="s">
        <v>174</v>
      </c>
      <c r="B66" t="s">
        <v>233</v>
      </c>
      <c r="C66" t="s">
        <v>208</v>
      </c>
      <c r="D66" t="s">
        <v>209</v>
      </c>
      <c r="E66">
        <v>3.8606110750069101E+17</v>
      </c>
      <c r="F66">
        <v>18</v>
      </c>
      <c r="G66">
        <v>18</v>
      </c>
      <c r="H66" t="s">
        <v>250</v>
      </c>
      <c r="N66" t="s">
        <v>211</v>
      </c>
      <c r="P66">
        <v>6</v>
      </c>
    </row>
    <row r="67" spans="1:16" x14ac:dyDescent="0.25">
      <c r="A67" t="s">
        <v>175</v>
      </c>
      <c r="B67" t="s">
        <v>182</v>
      </c>
      <c r="C67" t="s">
        <v>208</v>
      </c>
      <c r="D67" t="s">
        <v>209</v>
      </c>
      <c r="E67">
        <v>3.8606110750067802E+17</v>
      </c>
      <c r="F67">
        <v>8</v>
      </c>
      <c r="G67">
        <v>8</v>
      </c>
      <c r="H67" t="s">
        <v>251</v>
      </c>
      <c r="N67" t="s">
        <v>211</v>
      </c>
      <c r="P67" t="s">
        <v>252</v>
      </c>
    </row>
    <row r="68" spans="1:16" x14ac:dyDescent="0.25">
      <c r="A68" t="s">
        <v>175</v>
      </c>
      <c r="B68" t="s">
        <v>182</v>
      </c>
      <c r="C68" t="s">
        <v>208</v>
      </c>
      <c r="D68" t="s">
        <v>209</v>
      </c>
      <c r="E68">
        <v>3.8606110750067802E+17</v>
      </c>
      <c r="F68">
        <v>8</v>
      </c>
      <c r="G68">
        <v>8</v>
      </c>
      <c r="H68" t="s">
        <v>253</v>
      </c>
      <c r="N68" t="s">
        <v>211</v>
      </c>
      <c r="P68" t="s">
        <v>252</v>
      </c>
    </row>
    <row r="69" spans="1:16" x14ac:dyDescent="0.25">
      <c r="A69" t="s">
        <v>175</v>
      </c>
      <c r="B69" t="s">
        <v>233</v>
      </c>
      <c r="C69" t="s">
        <v>208</v>
      </c>
      <c r="D69" t="s">
        <v>209</v>
      </c>
      <c r="E69">
        <v>3.8606110750069101E+17</v>
      </c>
      <c r="F69">
        <v>15</v>
      </c>
      <c r="G69">
        <v>0</v>
      </c>
      <c r="H69" t="s">
        <v>254</v>
      </c>
      <c r="N69" t="s">
        <v>211</v>
      </c>
      <c r="P69">
        <v>2</v>
      </c>
    </row>
    <row r="70" spans="1:16" x14ac:dyDescent="0.25">
      <c r="A70" t="s">
        <v>175</v>
      </c>
      <c r="B70" t="s">
        <v>233</v>
      </c>
      <c r="C70" t="s">
        <v>208</v>
      </c>
      <c r="D70" t="s">
        <v>209</v>
      </c>
      <c r="E70">
        <v>3.8606110750069101E+17</v>
      </c>
      <c r="F70">
        <v>19</v>
      </c>
      <c r="G70">
        <v>19</v>
      </c>
      <c r="H70" t="s">
        <v>255</v>
      </c>
      <c r="N70" t="s">
        <v>211</v>
      </c>
      <c r="P70">
        <v>3</v>
      </c>
    </row>
    <row r="71" spans="1:16" x14ac:dyDescent="0.25">
      <c r="A71" t="s">
        <v>175</v>
      </c>
      <c r="B71" t="s">
        <v>256</v>
      </c>
      <c r="C71" t="s">
        <v>208</v>
      </c>
      <c r="D71" t="s">
        <v>209</v>
      </c>
      <c r="E71">
        <v>3.86061107500704E+17</v>
      </c>
      <c r="F71">
        <v>11</v>
      </c>
      <c r="G71">
        <v>11</v>
      </c>
      <c r="H71" t="s">
        <v>257</v>
      </c>
      <c r="N71" t="s">
        <v>211</v>
      </c>
      <c r="P71">
        <v>4</v>
      </c>
    </row>
    <row r="72" spans="1:16" x14ac:dyDescent="0.25">
      <c r="A72" t="s">
        <v>175</v>
      </c>
      <c r="B72" t="s">
        <v>233</v>
      </c>
      <c r="C72" t="s">
        <v>208</v>
      </c>
      <c r="D72" t="s">
        <v>209</v>
      </c>
      <c r="E72">
        <v>3.86061107500704E+17</v>
      </c>
      <c r="F72">
        <v>12</v>
      </c>
      <c r="G72">
        <v>12</v>
      </c>
      <c r="H72" t="s">
        <v>258</v>
      </c>
      <c r="N72" t="s">
        <v>211</v>
      </c>
      <c r="P72">
        <v>13</v>
      </c>
    </row>
    <row r="73" spans="1:16" x14ac:dyDescent="0.25">
      <c r="A73" t="s">
        <v>175</v>
      </c>
      <c r="B73" t="s">
        <v>233</v>
      </c>
      <c r="C73" t="s">
        <v>208</v>
      </c>
      <c r="D73" t="s">
        <v>209</v>
      </c>
      <c r="E73">
        <v>3.86061107500704E+17</v>
      </c>
      <c r="F73">
        <v>14</v>
      </c>
      <c r="G73">
        <v>14</v>
      </c>
      <c r="H73" t="s">
        <v>259</v>
      </c>
      <c r="N73" t="s">
        <v>211</v>
      </c>
      <c r="P73">
        <v>11</v>
      </c>
    </row>
    <row r="74" spans="1:16" x14ac:dyDescent="0.25">
      <c r="A74" t="s">
        <v>175</v>
      </c>
      <c r="B74" t="s">
        <v>233</v>
      </c>
      <c r="C74" t="s">
        <v>208</v>
      </c>
      <c r="D74" t="s">
        <v>209</v>
      </c>
      <c r="E74">
        <v>3.86061107500704E+17</v>
      </c>
      <c r="F74">
        <v>11</v>
      </c>
      <c r="G74">
        <v>11</v>
      </c>
      <c r="H74" t="s">
        <v>260</v>
      </c>
      <c r="N74" t="s">
        <v>211</v>
      </c>
      <c r="P74">
        <v>9</v>
      </c>
    </row>
    <row r="75" spans="1:16" x14ac:dyDescent="0.25">
      <c r="A75" t="s">
        <v>175</v>
      </c>
      <c r="B75" t="s">
        <v>261</v>
      </c>
      <c r="C75" t="s">
        <v>208</v>
      </c>
      <c r="D75" t="s">
        <v>209</v>
      </c>
      <c r="E75">
        <v>3.8606110750074701E+17</v>
      </c>
      <c r="F75">
        <v>13</v>
      </c>
      <c r="G75">
        <v>13</v>
      </c>
      <c r="H75" t="s">
        <v>262</v>
      </c>
      <c r="N75" t="s">
        <v>211</v>
      </c>
      <c r="P75">
        <v>16</v>
      </c>
    </row>
    <row r="76" spans="1:16" x14ac:dyDescent="0.25">
      <c r="A76" t="s">
        <v>175</v>
      </c>
      <c r="B76" t="s">
        <v>261</v>
      </c>
      <c r="C76" t="s">
        <v>208</v>
      </c>
      <c r="D76" t="s">
        <v>209</v>
      </c>
      <c r="E76">
        <v>3.8606110750074701E+17</v>
      </c>
      <c r="F76">
        <v>18</v>
      </c>
      <c r="G76">
        <v>0</v>
      </c>
      <c r="H76" t="s">
        <v>263</v>
      </c>
      <c r="N76" t="s">
        <v>211</v>
      </c>
      <c r="P76">
        <v>15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CA11-17C9-4FC1-A448-B44EC05C9584}">
  <dimension ref="A1:S73"/>
  <sheetViews>
    <sheetView topLeftCell="A37" workbookViewId="0">
      <selection activeCell="F39" sqref="F39:F73"/>
    </sheetView>
  </sheetViews>
  <sheetFormatPr defaultRowHeight="13.8" x14ac:dyDescent="0.25"/>
  <sheetData>
    <row r="1" spans="1:11" x14ac:dyDescent="0.25">
      <c r="A1" t="s">
        <v>170</v>
      </c>
      <c r="B1" t="s">
        <v>171</v>
      </c>
      <c r="C1" s="84">
        <v>16</v>
      </c>
      <c r="D1" t="s">
        <v>171</v>
      </c>
      <c r="E1">
        <v>16</v>
      </c>
      <c r="F1">
        <v>16</v>
      </c>
      <c r="G1">
        <v>16</v>
      </c>
      <c r="K1" t="s">
        <v>181</v>
      </c>
    </row>
    <row r="2" spans="1:11" x14ac:dyDescent="0.25">
      <c r="A2" t="s">
        <v>170</v>
      </c>
      <c r="B2" t="s">
        <v>171</v>
      </c>
      <c r="C2" s="84">
        <v>33</v>
      </c>
      <c r="D2" t="s">
        <v>171</v>
      </c>
      <c r="E2">
        <v>33</v>
      </c>
      <c r="F2">
        <v>33</v>
      </c>
      <c r="G2">
        <v>33</v>
      </c>
      <c r="K2" t="s">
        <v>181</v>
      </c>
    </row>
    <row r="3" spans="1:11" x14ac:dyDescent="0.25">
      <c r="A3" t="s">
        <v>170</v>
      </c>
      <c r="B3" t="s">
        <v>171</v>
      </c>
      <c r="C3" s="84">
        <v>53</v>
      </c>
      <c r="D3" t="s">
        <v>171</v>
      </c>
      <c r="E3">
        <v>53</v>
      </c>
      <c r="F3">
        <v>53</v>
      </c>
      <c r="G3">
        <v>53</v>
      </c>
      <c r="K3" t="s">
        <v>181</v>
      </c>
    </row>
    <row r="4" spans="1:11" x14ac:dyDescent="0.25">
      <c r="A4" t="s">
        <v>170</v>
      </c>
      <c r="B4" t="s">
        <v>171</v>
      </c>
      <c r="C4" s="84">
        <v>14</v>
      </c>
      <c r="D4" t="s">
        <v>171</v>
      </c>
      <c r="E4">
        <v>14</v>
      </c>
      <c r="F4">
        <v>14</v>
      </c>
      <c r="G4">
        <v>14</v>
      </c>
      <c r="K4" t="s">
        <v>181</v>
      </c>
    </row>
    <row r="5" spans="1:11" x14ac:dyDescent="0.25">
      <c r="A5" t="s">
        <v>170</v>
      </c>
      <c r="B5" t="s">
        <v>171</v>
      </c>
      <c r="C5" s="84">
        <v>33</v>
      </c>
      <c r="D5" t="s">
        <v>171</v>
      </c>
      <c r="E5">
        <v>33</v>
      </c>
      <c r="F5">
        <v>33</v>
      </c>
      <c r="G5">
        <v>33</v>
      </c>
      <c r="K5" t="s">
        <v>181</v>
      </c>
    </row>
    <row r="6" spans="1:11" x14ac:dyDescent="0.25">
      <c r="A6" t="s">
        <v>173</v>
      </c>
      <c r="B6" t="s">
        <v>171</v>
      </c>
      <c r="C6">
        <v>30</v>
      </c>
      <c r="D6" t="s">
        <v>171</v>
      </c>
      <c r="E6">
        <v>30</v>
      </c>
      <c r="F6">
        <v>30</v>
      </c>
      <c r="G6">
        <v>30</v>
      </c>
      <c r="K6" t="s">
        <v>181</v>
      </c>
    </row>
    <row r="7" spans="1:11" x14ac:dyDescent="0.25">
      <c r="A7" t="s">
        <v>173</v>
      </c>
      <c r="B7" t="s">
        <v>171</v>
      </c>
      <c r="C7">
        <v>36</v>
      </c>
      <c r="D7" t="s">
        <v>171</v>
      </c>
      <c r="E7">
        <v>36</v>
      </c>
      <c r="F7">
        <v>36</v>
      </c>
      <c r="G7">
        <v>36</v>
      </c>
      <c r="K7" t="s">
        <v>181</v>
      </c>
    </row>
    <row r="8" spans="1:11" x14ac:dyDescent="0.25">
      <c r="A8" t="s">
        <v>173</v>
      </c>
      <c r="B8" t="s">
        <v>171</v>
      </c>
      <c r="C8">
        <v>48</v>
      </c>
      <c r="D8" t="s">
        <v>171</v>
      </c>
      <c r="E8">
        <v>48</v>
      </c>
      <c r="F8">
        <v>48</v>
      </c>
      <c r="G8">
        <v>48</v>
      </c>
      <c r="K8" t="s">
        <v>181</v>
      </c>
    </row>
    <row r="9" spans="1:11" x14ac:dyDescent="0.25">
      <c r="A9" t="s">
        <v>173</v>
      </c>
      <c r="B9" t="s">
        <v>171</v>
      </c>
      <c r="C9">
        <v>37</v>
      </c>
      <c r="D9" t="s">
        <v>171</v>
      </c>
      <c r="E9">
        <v>37</v>
      </c>
      <c r="F9">
        <v>37</v>
      </c>
      <c r="G9">
        <v>37</v>
      </c>
      <c r="K9" t="s">
        <v>181</v>
      </c>
    </row>
    <row r="10" spans="1:11" x14ac:dyDescent="0.25">
      <c r="A10" t="s">
        <v>173</v>
      </c>
      <c r="B10" t="s">
        <v>171</v>
      </c>
      <c r="C10">
        <v>35</v>
      </c>
      <c r="D10" t="s">
        <v>171</v>
      </c>
      <c r="E10">
        <v>35</v>
      </c>
      <c r="F10">
        <v>35</v>
      </c>
      <c r="G10">
        <v>35</v>
      </c>
      <c r="K10" t="s">
        <v>181</v>
      </c>
    </row>
    <row r="11" spans="1:11" x14ac:dyDescent="0.25">
      <c r="A11" t="s">
        <v>174</v>
      </c>
      <c r="B11" t="s">
        <v>171</v>
      </c>
      <c r="C11">
        <v>39</v>
      </c>
      <c r="D11" t="s">
        <v>171</v>
      </c>
      <c r="E11">
        <v>39</v>
      </c>
      <c r="F11">
        <v>39</v>
      </c>
      <c r="G11">
        <v>39</v>
      </c>
      <c r="K11" t="s">
        <v>181</v>
      </c>
    </row>
    <row r="12" spans="1:11" x14ac:dyDescent="0.25">
      <c r="A12" t="s">
        <v>174</v>
      </c>
      <c r="B12" t="s">
        <v>171</v>
      </c>
      <c r="C12">
        <v>44</v>
      </c>
      <c r="D12" t="s">
        <v>171</v>
      </c>
      <c r="E12">
        <v>44</v>
      </c>
      <c r="F12">
        <v>44</v>
      </c>
      <c r="G12">
        <v>44</v>
      </c>
      <c r="K12" t="s">
        <v>181</v>
      </c>
    </row>
    <row r="13" spans="1:11" x14ac:dyDescent="0.25">
      <c r="A13" t="s">
        <v>174</v>
      </c>
      <c r="B13" t="s">
        <v>171</v>
      </c>
      <c r="C13">
        <v>28</v>
      </c>
      <c r="D13" t="s">
        <v>171</v>
      </c>
      <c r="E13">
        <v>28</v>
      </c>
      <c r="F13">
        <v>28</v>
      </c>
      <c r="G13">
        <v>28</v>
      </c>
      <c r="K13" t="s">
        <v>181</v>
      </c>
    </row>
    <row r="14" spans="1:11" x14ac:dyDescent="0.25">
      <c r="A14" t="s">
        <v>174</v>
      </c>
      <c r="B14" t="s">
        <v>171</v>
      </c>
      <c r="C14">
        <v>31</v>
      </c>
      <c r="D14" t="s">
        <v>171</v>
      </c>
      <c r="E14">
        <v>31</v>
      </c>
      <c r="F14">
        <v>31</v>
      </c>
      <c r="G14">
        <v>31</v>
      </c>
      <c r="K14" t="s">
        <v>181</v>
      </c>
    </row>
    <row r="15" spans="1:11" x14ac:dyDescent="0.25">
      <c r="A15" t="s">
        <v>175</v>
      </c>
      <c r="B15" t="s">
        <v>171</v>
      </c>
      <c r="C15">
        <v>23</v>
      </c>
      <c r="D15" t="s">
        <v>171</v>
      </c>
      <c r="E15">
        <v>23</v>
      </c>
      <c r="F15">
        <v>23</v>
      </c>
      <c r="G15">
        <v>23</v>
      </c>
      <c r="K15" t="s">
        <v>181</v>
      </c>
    </row>
    <row r="16" spans="1:11" x14ac:dyDescent="0.25">
      <c r="A16" t="s">
        <v>175</v>
      </c>
      <c r="B16" t="s">
        <v>171</v>
      </c>
      <c r="C16">
        <v>34</v>
      </c>
      <c r="D16" t="s">
        <v>171</v>
      </c>
      <c r="E16">
        <v>34</v>
      </c>
      <c r="F16">
        <v>34</v>
      </c>
      <c r="G16">
        <v>34</v>
      </c>
      <c r="K16" t="s">
        <v>181</v>
      </c>
    </row>
    <row r="17" spans="1:11" x14ac:dyDescent="0.25">
      <c r="A17" t="s">
        <v>175</v>
      </c>
      <c r="B17" t="s">
        <v>171</v>
      </c>
      <c r="C17">
        <v>17</v>
      </c>
      <c r="D17" t="s">
        <v>171</v>
      </c>
      <c r="E17">
        <v>17</v>
      </c>
      <c r="F17">
        <v>17</v>
      </c>
      <c r="G17">
        <v>17</v>
      </c>
      <c r="K17" t="s">
        <v>181</v>
      </c>
    </row>
    <row r="18" spans="1:11" x14ac:dyDescent="0.25">
      <c r="A18" t="s">
        <v>175</v>
      </c>
      <c r="B18" t="s">
        <v>171</v>
      </c>
      <c r="C18">
        <v>33</v>
      </c>
      <c r="D18" t="s">
        <v>171</v>
      </c>
      <c r="E18">
        <v>33</v>
      </c>
      <c r="F18">
        <v>33</v>
      </c>
      <c r="G18">
        <v>33</v>
      </c>
      <c r="K18" t="s">
        <v>181</v>
      </c>
    </row>
    <row r="19" spans="1:11" x14ac:dyDescent="0.25">
      <c r="A19" t="s">
        <v>176</v>
      </c>
      <c r="B19" t="s">
        <v>171</v>
      </c>
      <c r="C19">
        <v>15</v>
      </c>
      <c r="D19" t="s">
        <v>171</v>
      </c>
      <c r="E19">
        <v>15</v>
      </c>
      <c r="F19">
        <v>15</v>
      </c>
      <c r="G19">
        <v>15</v>
      </c>
      <c r="K19" t="s">
        <v>181</v>
      </c>
    </row>
    <row r="20" spans="1:11" x14ac:dyDescent="0.25">
      <c r="A20" t="s">
        <v>176</v>
      </c>
      <c r="B20" t="s">
        <v>171</v>
      </c>
      <c r="C20">
        <v>62</v>
      </c>
      <c r="D20" t="s">
        <v>171</v>
      </c>
      <c r="E20">
        <v>62</v>
      </c>
      <c r="F20">
        <v>62</v>
      </c>
      <c r="G20">
        <v>62</v>
      </c>
      <c r="K20" t="s">
        <v>181</v>
      </c>
    </row>
    <row r="21" spans="1:11" x14ac:dyDescent="0.25">
      <c r="A21" t="s">
        <v>176</v>
      </c>
      <c r="B21" t="s">
        <v>171</v>
      </c>
      <c r="C21">
        <v>39</v>
      </c>
      <c r="D21" t="s">
        <v>171</v>
      </c>
      <c r="E21">
        <v>39</v>
      </c>
      <c r="F21">
        <v>39</v>
      </c>
      <c r="G21">
        <v>39</v>
      </c>
      <c r="K21" t="s">
        <v>181</v>
      </c>
    </row>
    <row r="22" spans="1:11" x14ac:dyDescent="0.25">
      <c r="A22" t="s">
        <v>176</v>
      </c>
      <c r="B22" t="s">
        <v>171</v>
      </c>
      <c r="C22">
        <v>58</v>
      </c>
      <c r="D22" t="s">
        <v>171</v>
      </c>
      <c r="E22">
        <v>58</v>
      </c>
      <c r="F22">
        <v>58</v>
      </c>
      <c r="G22">
        <v>58</v>
      </c>
      <c r="K22" t="s">
        <v>181</v>
      </c>
    </row>
    <row r="23" spans="1:11" x14ac:dyDescent="0.25">
      <c r="A23" t="s">
        <v>177</v>
      </c>
      <c r="B23" t="s">
        <v>178</v>
      </c>
      <c r="C23">
        <v>26</v>
      </c>
      <c r="D23" t="s">
        <v>178</v>
      </c>
      <c r="E23">
        <v>26</v>
      </c>
      <c r="F23">
        <v>26</v>
      </c>
      <c r="G23">
        <v>26</v>
      </c>
      <c r="K23" t="s">
        <v>181</v>
      </c>
    </row>
    <row r="24" spans="1:11" x14ac:dyDescent="0.25">
      <c r="A24" t="s">
        <v>177</v>
      </c>
      <c r="B24" t="s">
        <v>178</v>
      </c>
      <c r="C24">
        <v>39</v>
      </c>
      <c r="D24" t="s">
        <v>178</v>
      </c>
      <c r="E24">
        <v>39</v>
      </c>
      <c r="F24">
        <v>39</v>
      </c>
      <c r="G24">
        <v>39</v>
      </c>
      <c r="K24" t="s">
        <v>181</v>
      </c>
    </row>
    <row r="25" spans="1:11" x14ac:dyDescent="0.25">
      <c r="A25" t="s">
        <v>177</v>
      </c>
      <c r="B25" t="s">
        <v>178</v>
      </c>
      <c r="C25">
        <v>14</v>
      </c>
      <c r="D25" t="s">
        <v>178</v>
      </c>
      <c r="E25">
        <v>14</v>
      </c>
      <c r="F25">
        <v>14</v>
      </c>
      <c r="G25">
        <v>14</v>
      </c>
      <c r="K25" t="s">
        <v>181</v>
      </c>
    </row>
    <row r="28" spans="1:11" x14ac:dyDescent="0.25">
      <c r="A28" t="s">
        <v>174</v>
      </c>
      <c r="B28" t="s">
        <v>171</v>
      </c>
      <c r="C28">
        <v>43</v>
      </c>
      <c r="D28" t="s">
        <v>171</v>
      </c>
      <c r="E28">
        <v>43</v>
      </c>
      <c r="F28">
        <v>43</v>
      </c>
      <c r="G28">
        <v>43</v>
      </c>
      <c r="K28" t="s">
        <v>181</v>
      </c>
    </row>
    <row r="29" spans="1:11" x14ac:dyDescent="0.25">
      <c r="A29" t="s">
        <v>174</v>
      </c>
      <c r="B29" t="s">
        <v>171</v>
      </c>
      <c r="C29">
        <v>20</v>
      </c>
      <c r="D29" t="s">
        <v>171</v>
      </c>
      <c r="E29">
        <v>20</v>
      </c>
      <c r="F29">
        <v>20</v>
      </c>
      <c r="G29">
        <v>20</v>
      </c>
      <c r="K29" t="s">
        <v>181</v>
      </c>
    </row>
    <row r="30" spans="1:11" x14ac:dyDescent="0.25">
      <c r="A30" t="s">
        <v>174</v>
      </c>
      <c r="B30" t="s">
        <v>171</v>
      </c>
      <c r="C30">
        <v>8</v>
      </c>
      <c r="D30" t="s">
        <v>171</v>
      </c>
      <c r="E30">
        <v>8</v>
      </c>
      <c r="F30">
        <v>8</v>
      </c>
      <c r="G30">
        <v>8</v>
      </c>
      <c r="K30" t="s">
        <v>181</v>
      </c>
    </row>
    <row r="31" spans="1:11" x14ac:dyDescent="0.25">
      <c r="A31" t="s">
        <v>174</v>
      </c>
      <c r="B31" t="s">
        <v>171</v>
      </c>
      <c r="C31">
        <v>15</v>
      </c>
      <c r="D31" t="s">
        <v>171</v>
      </c>
      <c r="E31">
        <v>15</v>
      </c>
      <c r="F31">
        <v>15</v>
      </c>
      <c r="G31">
        <v>15</v>
      </c>
      <c r="K31" t="s">
        <v>181</v>
      </c>
    </row>
    <row r="32" spans="1:11" x14ac:dyDescent="0.25">
      <c r="A32" t="s">
        <v>173</v>
      </c>
      <c r="B32" t="s">
        <v>171</v>
      </c>
      <c r="C32">
        <v>43</v>
      </c>
      <c r="D32" t="s">
        <v>171</v>
      </c>
      <c r="E32">
        <v>43</v>
      </c>
      <c r="F32">
        <v>43</v>
      </c>
      <c r="G32">
        <v>43</v>
      </c>
      <c r="K32" t="s">
        <v>181</v>
      </c>
    </row>
    <row r="33" spans="1:19" x14ac:dyDescent="0.25">
      <c r="A33" t="s">
        <v>173</v>
      </c>
      <c r="B33" t="s">
        <v>171</v>
      </c>
      <c r="C33">
        <v>42</v>
      </c>
      <c r="D33" t="s">
        <v>171</v>
      </c>
      <c r="E33">
        <v>42</v>
      </c>
      <c r="F33">
        <v>42</v>
      </c>
      <c r="G33">
        <v>42</v>
      </c>
      <c r="K33" t="s">
        <v>181</v>
      </c>
    </row>
    <row r="34" spans="1:19" x14ac:dyDescent="0.25">
      <c r="A34" t="s">
        <v>173</v>
      </c>
      <c r="B34" t="s">
        <v>171</v>
      </c>
      <c r="C34">
        <v>16</v>
      </c>
      <c r="D34" t="s">
        <v>171</v>
      </c>
      <c r="E34">
        <v>16</v>
      </c>
      <c r="F34">
        <v>16</v>
      </c>
      <c r="G34">
        <v>16</v>
      </c>
      <c r="K34" t="s">
        <v>181</v>
      </c>
    </row>
    <row r="38" spans="1:19" x14ac:dyDescent="0.25">
      <c r="A38" t="s">
        <v>264</v>
      </c>
      <c r="B38" t="s">
        <v>184</v>
      </c>
      <c r="C38" t="s">
        <v>265</v>
      </c>
      <c r="D38" t="s">
        <v>183</v>
      </c>
      <c r="E38" t="s">
        <v>186</v>
      </c>
      <c r="F38" t="s">
        <v>188</v>
      </c>
      <c r="G38" t="s">
        <v>189</v>
      </c>
      <c r="H38" t="s">
        <v>266</v>
      </c>
      <c r="I38" t="s">
        <v>187</v>
      </c>
      <c r="J38" t="s">
        <v>267</v>
      </c>
      <c r="K38" t="s">
        <v>268</v>
      </c>
      <c r="L38" t="s">
        <v>269</v>
      </c>
      <c r="M38" t="s">
        <v>270</v>
      </c>
      <c r="N38" t="s">
        <v>271</v>
      </c>
      <c r="O38" t="s">
        <v>197</v>
      </c>
      <c r="P38" t="s">
        <v>204</v>
      </c>
      <c r="Q38" t="s">
        <v>205</v>
      </c>
      <c r="R38" t="s">
        <v>206</v>
      </c>
      <c r="S38" t="s">
        <v>198</v>
      </c>
    </row>
    <row r="39" spans="1:19" x14ac:dyDescent="0.25">
      <c r="A39" t="s">
        <v>272</v>
      </c>
      <c r="B39" t="s">
        <v>273</v>
      </c>
      <c r="C39" t="s">
        <v>274</v>
      </c>
      <c r="D39" t="s">
        <v>175</v>
      </c>
      <c r="E39" t="s">
        <v>171</v>
      </c>
      <c r="F39">
        <v>50</v>
      </c>
      <c r="G39">
        <v>0</v>
      </c>
      <c r="H39" t="s">
        <v>275</v>
      </c>
      <c r="I39">
        <v>3.8606110750110298E+17</v>
      </c>
      <c r="J39" t="s">
        <v>276</v>
      </c>
      <c r="K39" t="s">
        <v>277</v>
      </c>
      <c r="L39" t="s">
        <v>278</v>
      </c>
      <c r="M39" t="s">
        <v>279</v>
      </c>
      <c r="N39" t="s">
        <v>280</v>
      </c>
      <c r="S39" t="s">
        <v>281</v>
      </c>
    </row>
    <row r="40" spans="1:19" x14ac:dyDescent="0.25">
      <c r="A40" t="s">
        <v>282</v>
      </c>
      <c r="B40" t="s">
        <v>273</v>
      </c>
      <c r="C40" t="s">
        <v>274</v>
      </c>
      <c r="D40" t="s">
        <v>175</v>
      </c>
      <c r="E40" t="s">
        <v>171</v>
      </c>
      <c r="F40">
        <v>31</v>
      </c>
      <c r="G40">
        <v>0</v>
      </c>
      <c r="H40" t="s">
        <v>275</v>
      </c>
      <c r="I40">
        <v>3.8606110750110298E+17</v>
      </c>
      <c r="J40" t="s">
        <v>283</v>
      </c>
      <c r="K40" t="s">
        <v>277</v>
      </c>
      <c r="L40" t="s">
        <v>278</v>
      </c>
      <c r="M40" t="s">
        <v>279</v>
      </c>
      <c r="N40" t="s">
        <v>280</v>
      </c>
      <c r="S40" t="s">
        <v>281</v>
      </c>
    </row>
    <row r="41" spans="1:19" x14ac:dyDescent="0.25">
      <c r="A41" t="s">
        <v>284</v>
      </c>
      <c r="B41" t="s">
        <v>273</v>
      </c>
      <c r="C41" t="s">
        <v>274</v>
      </c>
      <c r="D41" t="s">
        <v>175</v>
      </c>
      <c r="E41" t="s">
        <v>171</v>
      </c>
      <c r="F41">
        <v>32</v>
      </c>
      <c r="G41">
        <v>0</v>
      </c>
      <c r="H41" t="s">
        <v>275</v>
      </c>
      <c r="I41">
        <v>3.8606110750110298E+17</v>
      </c>
      <c r="J41" t="s">
        <v>285</v>
      </c>
      <c r="K41" t="s">
        <v>277</v>
      </c>
      <c r="L41" t="s">
        <v>278</v>
      </c>
      <c r="M41" t="s">
        <v>279</v>
      </c>
      <c r="N41" t="s">
        <v>280</v>
      </c>
      <c r="S41" t="s">
        <v>281</v>
      </c>
    </row>
    <row r="42" spans="1:19" x14ac:dyDescent="0.25">
      <c r="A42" t="s">
        <v>286</v>
      </c>
      <c r="B42" t="s">
        <v>273</v>
      </c>
      <c r="C42" t="s">
        <v>274</v>
      </c>
      <c r="D42" t="s">
        <v>175</v>
      </c>
      <c r="E42" t="s">
        <v>171</v>
      </c>
      <c r="F42">
        <v>25</v>
      </c>
      <c r="G42">
        <v>0</v>
      </c>
      <c r="H42" t="s">
        <v>275</v>
      </c>
      <c r="I42">
        <v>3.8606110750110298E+17</v>
      </c>
      <c r="J42" t="s">
        <v>287</v>
      </c>
      <c r="K42" t="s">
        <v>277</v>
      </c>
      <c r="L42" t="s">
        <v>278</v>
      </c>
      <c r="M42" t="s">
        <v>279</v>
      </c>
      <c r="N42" t="s">
        <v>280</v>
      </c>
      <c r="S42" t="s">
        <v>281</v>
      </c>
    </row>
    <row r="43" spans="1:19" x14ac:dyDescent="0.25">
      <c r="A43" t="s">
        <v>288</v>
      </c>
      <c r="B43" t="s">
        <v>273</v>
      </c>
      <c r="C43" t="s">
        <v>274</v>
      </c>
      <c r="D43" t="s">
        <v>175</v>
      </c>
      <c r="E43" t="s">
        <v>171</v>
      </c>
      <c r="F43">
        <v>45</v>
      </c>
      <c r="G43">
        <v>0</v>
      </c>
      <c r="H43" t="s">
        <v>275</v>
      </c>
      <c r="I43">
        <v>3.8606110750110298E+17</v>
      </c>
      <c r="J43" t="s">
        <v>289</v>
      </c>
      <c r="K43" t="s">
        <v>277</v>
      </c>
      <c r="L43" t="s">
        <v>278</v>
      </c>
      <c r="M43" t="s">
        <v>279</v>
      </c>
      <c r="N43" t="s">
        <v>280</v>
      </c>
      <c r="S43" t="s">
        <v>281</v>
      </c>
    </row>
    <row r="44" spans="1:19" x14ac:dyDescent="0.25">
      <c r="A44" t="s">
        <v>290</v>
      </c>
      <c r="B44" t="s">
        <v>273</v>
      </c>
      <c r="C44" t="s">
        <v>274</v>
      </c>
      <c r="D44" t="s">
        <v>175</v>
      </c>
      <c r="E44" t="s">
        <v>171</v>
      </c>
      <c r="F44">
        <v>12</v>
      </c>
      <c r="G44">
        <v>0</v>
      </c>
      <c r="H44" t="s">
        <v>275</v>
      </c>
      <c r="I44">
        <v>3.8606110750110298E+17</v>
      </c>
      <c r="J44" t="s">
        <v>291</v>
      </c>
      <c r="K44" t="s">
        <v>277</v>
      </c>
      <c r="L44" t="s">
        <v>278</v>
      </c>
      <c r="M44" t="s">
        <v>279</v>
      </c>
      <c r="N44" t="s">
        <v>280</v>
      </c>
      <c r="S44" t="s">
        <v>281</v>
      </c>
    </row>
    <row r="45" spans="1:19" x14ac:dyDescent="0.25">
      <c r="A45" t="s">
        <v>292</v>
      </c>
      <c r="B45" t="s">
        <v>273</v>
      </c>
      <c r="C45" t="s">
        <v>274</v>
      </c>
      <c r="D45" t="s">
        <v>174</v>
      </c>
      <c r="E45" t="s">
        <v>171</v>
      </c>
      <c r="F45">
        <v>42</v>
      </c>
      <c r="G45">
        <v>0</v>
      </c>
      <c r="H45" t="s">
        <v>275</v>
      </c>
      <c r="I45">
        <v>3.8606110750110298E+17</v>
      </c>
      <c r="J45" t="s">
        <v>293</v>
      </c>
      <c r="K45" t="s">
        <v>294</v>
      </c>
      <c r="L45" t="s">
        <v>278</v>
      </c>
      <c r="M45" t="s">
        <v>279</v>
      </c>
      <c r="N45" t="s">
        <v>295</v>
      </c>
      <c r="S45" t="s">
        <v>281</v>
      </c>
    </row>
    <row r="46" spans="1:19" x14ac:dyDescent="0.25">
      <c r="A46" t="s">
        <v>296</v>
      </c>
      <c r="B46" t="s">
        <v>273</v>
      </c>
      <c r="C46" t="s">
        <v>274</v>
      </c>
      <c r="D46" t="s">
        <v>174</v>
      </c>
      <c r="E46" t="s">
        <v>171</v>
      </c>
      <c r="F46">
        <v>42</v>
      </c>
      <c r="G46">
        <v>0</v>
      </c>
      <c r="H46" t="s">
        <v>275</v>
      </c>
      <c r="I46">
        <v>3.8606110750110298E+17</v>
      </c>
      <c r="J46" t="s">
        <v>297</v>
      </c>
      <c r="K46" t="s">
        <v>294</v>
      </c>
      <c r="L46" t="s">
        <v>278</v>
      </c>
      <c r="M46" t="s">
        <v>279</v>
      </c>
      <c r="N46" t="s">
        <v>295</v>
      </c>
      <c r="S46" t="s">
        <v>281</v>
      </c>
    </row>
    <row r="47" spans="1:19" x14ac:dyDescent="0.25">
      <c r="A47" t="s">
        <v>298</v>
      </c>
      <c r="B47" t="s">
        <v>273</v>
      </c>
      <c r="C47" t="s">
        <v>274</v>
      </c>
      <c r="D47" t="s">
        <v>174</v>
      </c>
      <c r="E47" t="s">
        <v>171</v>
      </c>
      <c r="F47">
        <v>42</v>
      </c>
      <c r="G47">
        <v>0</v>
      </c>
      <c r="H47" t="s">
        <v>275</v>
      </c>
      <c r="I47">
        <v>3.8606110750110298E+17</v>
      </c>
      <c r="J47" t="s">
        <v>299</v>
      </c>
      <c r="K47" t="s">
        <v>294</v>
      </c>
      <c r="L47" t="s">
        <v>278</v>
      </c>
      <c r="M47" t="s">
        <v>279</v>
      </c>
      <c r="N47" t="s">
        <v>295</v>
      </c>
      <c r="S47" t="s">
        <v>281</v>
      </c>
    </row>
    <row r="48" spans="1:19" x14ac:dyDescent="0.25">
      <c r="A48" t="s">
        <v>300</v>
      </c>
      <c r="B48" t="s">
        <v>273</v>
      </c>
      <c r="C48" t="s">
        <v>274</v>
      </c>
      <c r="D48" t="s">
        <v>174</v>
      </c>
      <c r="E48" t="s">
        <v>171</v>
      </c>
      <c r="F48">
        <v>36</v>
      </c>
      <c r="G48">
        <v>0</v>
      </c>
      <c r="H48" t="s">
        <v>275</v>
      </c>
      <c r="I48">
        <v>3.8606110750110298E+17</v>
      </c>
      <c r="J48" t="s">
        <v>301</v>
      </c>
      <c r="K48" t="s">
        <v>294</v>
      </c>
      <c r="L48" t="s">
        <v>278</v>
      </c>
      <c r="M48" t="s">
        <v>279</v>
      </c>
      <c r="N48" t="s">
        <v>295</v>
      </c>
      <c r="S48" t="s">
        <v>281</v>
      </c>
    </row>
    <row r="49" spans="1:19" x14ac:dyDescent="0.25">
      <c r="A49" t="s">
        <v>302</v>
      </c>
      <c r="B49" t="s">
        <v>273</v>
      </c>
      <c r="C49" t="s">
        <v>274</v>
      </c>
      <c r="D49" t="s">
        <v>174</v>
      </c>
      <c r="E49" t="s">
        <v>171</v>
      </c>
      <c r="F49">
        <v>10</v>
      </c>
      <c r="G49">
        <v>0</v>
      </c>
      <c r="H49" t="s">
        <v>275</v>
      </c>
      <c r="I49">
        <v>3.8606110750110298E+17</v>
      </c>
      <c r="J49" t="s">
        <v>303</v>
      </c>
      <c r="K49" t="s">
        <v>294</v>
      </c>
      <c r="L49" t="s">
        <v>278</v>
      </c>
      <c r="M49" t="s">
        <v>279</v>
      </c>
      <c r="N49" t="s">
        <v>295</v>
      </c>
      <c r="S49" t="s">
        <v>281</v>
      </c>
    </row>
    <row r="50" spans="1:19" x14ac:dyDescent="0.25">
      <c r="A50" t="s">
        <v>304</v>
      </c>
      <c r="B50" t="s">
        <v>273</v>
      </c>
      <c r="C50" t="s">
        <v>274</v>
      </c>
      <c r="D50" t="s">
        <v>174</v>
      </c>
      <c r="E50" t="s">
        <v>171</v>
      </c>
      <c r="F50">
        <v>6</v>
      </c>
      <c r="G50">
        <v>0</v>
      </c>
      <c r="H50" t="s">
        <v>275</v>
      </c>
      <c r="I50">
        <v>3.8606110750110298E+17</v>
      </c>
      <c r="J50" t="s">
        <v>305</v>
      </c>
      <c r="K50" t="s">
        <v>294</v>
      </c>
      <c r="L50" t="s">
        <v>278</v>
      </c>
      <c r="M50" t="s">
        <v>279</v>
      </c>
      <c r="N50" t="s">
        <v>295</v>
      </c>
      <c r="S50" t="s">
        <v>281</v>
      </c>
    </row>
    <row r="51" spans="1:19" x14ac:dyDescent="0.25">
      <c r="A51" t="s">
        <v>306</v>
      </c>
      <c r="B51" t="s">
        <v>273</v>
      </c>
      <c r="C51" t="s">
        <v>274</v>
      </c>
      <c r="D51" t="s">
        <v>177</v>
      </c>
      <c r="E51" t="s">
        <v>178</v>
      </c>
      <c r="F51">
        <v>37</v>
      </c>
      <c r="G51">
        <v>0</v>
      </c>
      <c r="H51" t="s">
        <v>275</v>
      </c>
      <c r="I51">
        <v>3.8606110750110298E+17</v>
      </c>
      <c r="J51" t="s">
        <v>307</v>
      </c>
      <c r="K51" t="s">
        <v>308</v>
      </c>
      <c r="L51" t="s">
        <v>278</v>
      </c>
      <c r="M51" t="s">
        <v>279</v>
      </c>
      <c r="N51" t="s">
        <v>309</v>
      </c>
      <c r="S51" t="s">
        <v>281</v>
      </c>
    </row>
    <row r="52" spans="1:19" x14ac:dyDescent="0.25">
      <c r="A52" t="s">
        <v>310</v>
      </c>
      <c r="B52" t="s">
        <v>273</v>
      </c>
      <c r="C52" t="s">
        <v>274</v>
      </c>
      <c r="D52" t="s">
        <v>177</v>
      </c>
      <c r="E52" t="s">
        <v>178</v>
      </c>
      <c r="F52">
        <v>21</v>
      </c>
      <c r="G52">
        <v>0</v>
      </c>
      <c r="H52" t="s">
        <v>275</v>
      </c>
      <c r="I52">
        <v>3.8606110750110298E+17</v>
      </c>
      <c r="J52" t="s">
        <v>311</v>
      </c>
      <c r="K52" t="s">
        <v>308</v>
      </c>
      <c r="L52" t="s">
        <v>278</v>
      </c>
      <c r="M52" t="s">
        <v>279</v>
      </c>
      <c r="N52" t="s">
        <v>309</v>
      </c>
      <c r="S52" t="s">
        <v>281</v>
      </c>
    </row>
    <row r="53" spans="1:19" x14ac:dyDescent="0.25">
      <c r="A53" t="s">
        <v>312</v>
      </c>
      <c r="B53" t="s">
        <v>273</v>
      </c>
      <c r="C53" t="s">
        <v>274</v>
      </c>
      <c r="D53" t="s">
        <v>177</v>
      </c>
      <c r="E53" t="s">
        <v>178</v>
      </c>
      <c r="F53">
        <v>20</v>
      </c>
      <c r="G53">
        <v>0</v>
      </c>
      <c r="H53" t="s">
        <v>275</v>
      </c>
      <c r="I53">
        <v>3.8606110750110298E+17</v>
      </c>
      <c r="J53" t="s">
        <v>313</v>
      </c>
      <c r="K53" t="s">
        <v>308</v>
      </c>
      <c r="L53" t="s">
        <v>278</v>
      </c>
      <c r="M53" t="s">
        <v>279</v>
      </c>
      <c r="N53" t="s">
        <v>309</v>
      </c>
      <c r="S53" t="s">
        <v>281</v>
      </c>
    </row>
    <row r="54" spans="1:19" x14ac:dyDescent="0.25">
      <c r="A54" t="s">
        <v>314</v>
      </c>
      <c r="B54" t="s">
        <v>273</v>
      </c>
      <c r="C54" t="s">
        <v>274</v>
      </c>
      <c r="D54" t="s">
        <v>177</v>
      </c>
      <c r="E54" t="s">
        <v>178</v>
      </c>
      <c r="F54">
        <v>46</v>
      </c>
      <c r="G54">
        <v>0</v>
      </c>
      <c r="H54" t="s">
        <v>275</v>
      </c>
      <c r="I54">
        <v>3.8606110750110298E+17</v>
      </c>
      <c r="J54" t="s">
        <v>315</v>
      </c>
      <c r="K54" t="s">
        <v>308</v>
      </c>
      <c r="L54" t="s">
        <v>278</v>
      </c>
      <c r="M54" t="s">
        <v>279</v>
      </c>
      <c r="N54" t="s">
        <v>309</v>
      </c>
      <c r="S54" t="s">
        <v>281</v>
      </c>
    </row>
    <row r="55" spans="1:19" x14ac:dyDescent="0.25">
      <c r="A55" t="s">
        <v>316</v>
      </c>
      <c r="B55" t="s">
        <v>273</v>
      </c>
      <c r="C55" t="s">
        <v>274</v>
      </c>
      <c r="D55" t="s">
        <v>177</v>
      </c>
      <c r="E55" t="s">
        <v>178</v>
      </c>
      <c r="F55">
        <v>3</v>
      </c>
      <c r="G55">
        <v>0</v>
      </c>
      <c r="H55" t="s">
        <v>275</v>
      </c>
      <c r="I55">
        <v>3.8606110750110298E+17</v>
      </c>
      <c r="J55" t="s">
        <v>317</v>
      </c>
      <c r="K55" t="s">
        <v>308</v>
      </c>
      <c r="L55" t="s">
        <v>278</v>
      </c>
      <c r="M55" t="s">
        <v>279</v>
      </c>
      <c r="N55" t="s">
        <v>309</v>
      </c>
      <c r="S55" t="s">
        <v>281</v>
      </c>
    </row>
    <row r="56" spans="1:19" x14ac:dyDescent="0.25">
      <c r="A56" t="s">
        <v>318</v>
      </c>
      <c r="B56" t="s">
        <v>273</v>
      </c>
      <c r="C56" t="s">
        <v>274</v>
      </c>
      <c r="D56" t="s">
        <v>170</v>
      </c>
      <c r="E56" t="s">
        <v>171</v>
      </c>
      <c r="F56">
        <v>34</v>
      </c>
      <c r="G56">
        <v>0</v>
      </c>
      <c r="H56" t="s">
        <v>275</v>
      </c>
      <c r="I56">
        <v>3.8606110750110298E+17</v>
      </c>
      <c r="J56" t="s">
        <v>319</v>
      </c>
      <c r="K56" t="s">
        <v>320</v>
      </c>
      <c r="L56" t="s">
        <v>278</v>
      </c>
      <c r="M56" t="s">
        <v>279</v>
      </c>
      <c r="N56" t="s">
        <v>321</v>
      </c>
      <c r="S56" t="s">
        <v>281</v>
      </c>
    </row>
    <row r="57" spans="1:19" x14ac:dyDescent="0.25">
      <c r="A57" t="s">
        <v>322</v>
      </c>
      <c r="B57" t="s">
        <v>273</v>
      </c>
      <c r="C57" t="s">
        <v>274</v>
      </c>
      <c r="D57" t="s">
        <v>170</v>
      </c>
      <c r="E57" t="s">
        <v>171</v>
      </c>
      <c r="F57">
        <v>52</v>
      </c>
      <c r="G57">
        <v>0</v>
      </c>
      <c r="H57" t="s">
        <v>275</v>
      </c>
      <c r="I57">
        <v>3.8606110750110298E+17</v>
      </c>
      <c r="J57" t="s">
        <v>323</v>
      </c>
      <c r="K57" t="s">
        <v>320</v>
      </c>
      <c r="L57" t="s">
        <v>278</v>
      </c>
      <c r="M57" t="s">
        <v>279</v>
      </c>
      <c r="N57" t="s">
        <v>321</v>
      </c>
      <c r="S57" t="s">
        <v>281</v>
      </c>
    </row>
    <row r="58" spans="1:19" x14ac:dyDescent="0.25">
      <c r="A58" t="s">
        <v>324</v>
      </c>
      <c r="B58" t="s">
        <v>273</v>
      </c>
      <c r="C58" t="s">
        <v>274</v>
      </c>
      <c r="D58" t="s">
        <v>170</v>
      </c>
      <c r="E58" t="s">
        <v>171</v>
      </c>
      <c r="F58">
        <v>25</v>
      </c>
      <c r="G58">
        <v>0</v>
      </c>
      <c r="H58" t="s">
        <v>275</v>
      </c>
      <c r="I58">
        <v>3.8606110750110298E+17</v>
      </c>
      <c r="J58" t="s">
        <v>325</v>
      </c>
      <c r="K58" t="s">
        <v>320</v>
      </c>
      <c r="L58" t="s">
        <v>278</v>
      </c>
      <c r="M58" t="s">
        <v>279</v>
      </c>
      <c r="N58" t="s">
        <v>321</v>
      </c>
      <c r="S58" t="s">
        <v>281</v>
      </c>
    </row>
    <row r="59" spans="1:19" x14ac:dyDescent="0.25">
      <c r="A59" t="s">
        <v>326</v>
      </c>
      <c r="B59" t="s">
        <v>273</v>
      </c>
      <c r="C59" t="s">
        <v>274</v>
      </c>
      <c r="D59" t="s">
        <v>170</v>
      </c>
      <c r="E59" t="s">
        <v>171</v>
      </c>
      <c r="F59">
        <v>45</v>
      </c>
      <c r="G59">
        <v>0</v>
      </c>
      <c r="H59" t="s">
        <v>275</v>
      </c>
      <c r="I59">
        <v>3.8606110750110298E+17</v>
      </c>
      <c r="J59" t="s">
        <v>327</v>
      </c>
      <c r="K59" t="s">
        <v>320</v>
      </c>
      <c r="L59" t="s">
        <v>278</v>
      </c>
      <c r="M59" t="s">
        <v>279</v>
      </c>
      <c r="N59" t="s">
        <v>321</v>
      </c>
      <c r="S59" t="s">
        <v>281</v>
      </c>
    </row>
    <row r="60" spans="1:19" x14ac:dyDescent="0.25">
      <c r="A60" t="s">
        <v>328</v>
      </c>
      <c r="B60" t="s">
        <v>273</v>
      </c>
      <c r="C60" t="s">
        <v>274</v>
      </c>
      <c r="D60" t="s">
        <v>170</v>
      </c>
      <c r="E60" t="s">
        <v>171</v>
      </c>
      <c r="F60">
        <v>38</v>
      </c>
      <c r="G60">
        <v>0</v>
      </c>
      <c r="H60" t="s">
        <v>275</v>
      </c>
      <c r="I60">
        <v>3.8606110750110298E+17</v>
      </c>
      <c r="J60" t="s">
        <v>329</v>
      </c>
      <c r="K60" t="s">
        <v>320</v>
      </c>
      <c r="L60" t="s">
        <v>278</v>
      </c>
      <c r="M60" t="s">
        <v>279</v>
      </c>
      <c r="N60" t="s">
        <v>321</v>
      </c>
      <c r="S60" t="s">
        <v>281</v>
      </c>
    </row>
    <row r="61" spans="1:19" x14ac:dyDescent="0.25">
      <c r="A61" t="s">
        <v>330</v>
      </c>
      <c r="B61" t="s">
        <v>273</v>
      </c>
      <c r="C61" t="s">
        <v>274</v>
      </c>
      <c r="D61" t="s">
        <v>170</v>
      </c>
      <c r="E61" t="s">
        <v>171</v>
      </c>
      <c r="F61">
        <v>8</v>
      </c>
      <c r="G61">
        <v>0</v>
      </c>
      <c r="H61" t="s">
        <v>275</v>
      </c>
      <c r="I61">
        <v>3.8606110750110298E+17</v>
      </c>
      <c r="J61" t="s">
        <v>331</v>
      </c>
      <c r="K61" t="s">
        <v>320</v>
      </c>
      <c r="L61" t="s">
        <v>278</v>
      </c>
      <c r="M61" t="s">
        <v>279</v>
      </c>
      <c r="N61" t="s">
        <v>321</v>
      </c>
      <c r="S61" t="s">
        <v>281</v>
      </c>
    </row>
    <row r="62" spans="1:19" x14ac:dyDescent="0.25">
      <c r="A62" t="s">
        <v>332</v>
      </c>
      <c r="B62" t="s">
        <v>273</v>
      </c>
      <c r="C62" t="s">
        <v>274</v>
      </c>
      <c r="D62" t="s">
        <v>176</v>
      </c>
      <c r="E62" t="s">
        <v>171</v>
      </c>
      <c r="F62">
        <v>29</v>
      </c>
      <c r="G62">
        <v>0</v>
      </c>
      <c r="H62" t="s">
        <v>275</v>
      </c>
      <c r="I62">
        <v>3.8606110750110298E+17</v>
      </c>
      <c r="J62" t="s">
        <v>333</v>
      </c>
      <c r="K62" t="s">
        <v>334</v>
      </c>
      <c r="L62" t="s">
        <v>278</v>
      </c>
      <c r="M62" t="s">
        <v>279</v>
      </c>
      <c r="N62" t="s">
        <v>335</v>
      </c>
      <c r="S62" t="s">
        <v>281</v>
      </c>
    </row>
    <row r="63" spans="1:19" x14ac:dyDescent="0.25">
      <c r="A63" t="s">
        <v>336</v>
      </c>
      <c r="B63" t="s">
        <v>273</v>
      </c>
      <c r="C63" t="s">
        <v>274</v>
      </c>
      <c r="D63" t="s">
        <v>176</v>
      </c>
      <c r="E63" t="s">
        <v>171</v>
      </c>
      <c r="F63">
        <v>36</v>
      </c>
      <c r="G63">
        <v>0</v>
      </c>
      <c r="H63" t="s">
        <v>275</v>
      </c>
      <c r="I63">
        <v>3.8606110750110298E+17</v>
      </c>
      <c r="J63" t="s">
        <v>337</v>
      </c>
      <c r="K63" t="s">
        <v>334</v>
      </c>
      <c r="L63" t="s">
        <v>278</v>
      </c>
      <c r="M63" t="s">
        <v>279</v>
      </c>
      <c r="N63" t="s">
        <v>335</v>
      </c>
      <c r="S63" t="s">
        <v>281</v>
      </c>
    </row>
    <row r="64" spans="1:19" x14ac:dyDescent="0.25">
      <c r="A64" t="s">
        <v>338</v>
      </c>
      <c r="B64" t="s">
        <v>273</v>
      </c>
      <c r="C64" t="s">
        <v>274</v>
      </c>
      <c r="D64" t="s">
        <v>176</v>
      </c>
      <c r="E64" t="s">
        <v>171</v>
      </c>
      <c r="F64">
        <v>34</v>
      </c>
      <c r="G64">
        <v>0</v>
      </c>
      <c r="H64" t="s">
        <v>275</v>
      </c>
      <c r="I64">
        <v>3.8606110750110298E+17</v>
      </c>
      <c r="J64" t="s">
        <v>339</v>
      </c>
      <c r="K64" t="s">
        <v>334</v>
      </c>
      <c r="L64" t="s">
        <v>278</v>
      </c>
      <c r="M64" t="s">
        <v>279</v>
      </c>
      <c r="N64" t="s">
        <v>335</v>
      </c>
      <c r="S64" t="s">
        <v>281</v>
      </c>
    </row>
    <row r="65" spans="1:19" x14ac:dyDescent="0.25">
      <c r="A65" t="s">
        <v>340</v>
      </c>
      <c r="B65" t="s">
        <v>273</v>
      </c>
      <c r="C65" t="s">
        <v>274</v>
      </c>
      <c r="D65" t="s">
        <v>176</v>
      </c>
      <c r="E65" t="s">
        <v>171</v>
      </c>
      <c r="F65">
        <v>37</v>
      </c>
      <c r="G65">
        <v>0</v>
      </c>
      <c r="H65" t="s">
        <v>275</v>
      </c>
      <c r="I65">
        <v>3.8606110750110298E+17</v>
      </c>
      <c r="J65" t="s">
        <v>341</v>
      </c>
      <c r="K65" t="s">
        <v>334</v>
      </c>
      <c r="L65" t="s">
        <v>278</v>
      </c>
      <c r="M65" t="s">
        <v>279</v>
      </c>
      <c r="N65" t="s">
        <v>335</v>
      </c>
      <c r="S65" t="s">
        <v>281</v>
      </c>
    </row>
    <row r="66" spans="1:19" x14ac:dyDescent="0.25">
      <c r="A66" t="s">
        <v>342</v>
      </c>
      <c r="B66" t="s">
        <v>273</v>
      </c>
      <c r="C66" t="s">
        <v>274</v>
      </c>
      <c r="D66" t="s">
        <v>176</v>
      </c>
      <c r="E66" t="s">
        <v>171</v>
      </c>
      <c r="F66">
        <v>10</v>
      </c>
      <c r="G66">
        <v>0</v>
      </c>
      <c r="H66" t="s">
        <v>275</v>
      </c>
      <c r="I66">
        <v>3.8606110750110298E+17</v>
      </c>
      <c r="J66" t="s">
        <v>343</v>
      </c>
      <c r="K66" t="s">
        <v>334</v>
      </c>
      <c r="L66" t="s">
        <v>278</v>
      </c>
      <c r="M66" t="s">
        <v>279</v>
      </c>
      <c r="N66" t="s">
        <v>335</v>
      </c>
      <c r="S66" t="s">
        <v>281</v>
      </c>
    </row>
    <row r="67" spans="1:19" x14ac:dyDescent="0.25">
      <c r="A67" t="s">
        <v>344</v>
      </c>
      <c r="B67" t="s">
        <v>273</v>
      </c>
      <c r="C67" t="s">
        <v>274</v>
      </c>
      <c r="D67" t="s">
        <v>173</v>
      </c>
      <c r="E67" t="s">
        <v>171</v>
      </c>
      <c r="F67">
        <v>45</v>
      </c>
      <c r="G67">
        <v>0</v>
      </c>
      <c r="H67" t="s">
        <v>275</v>
      </c>
      <c r="I67">
        <v>3.8606110750110298E+17</v>
      </c>
      <c r="J67" t="s">
        <v>345</v>
      </c>
      <c r="K67" t="s">
        <v>346</v>
      </c>
      <c r="L67" t="s">
        <v>278</v>
      </c>
      <c r="M67" t="s">
        <v>279</v>
      </c>
      <c r="N67" t="s">
        <v>347</v>
      </c>
      <c r="S67" t="s">
        <v>281</v>
      </c>
    </row>
    <row r="68" spans="1:19" x14ac:dyDescent="0.25">
      <c r="A68" t="s">
        <v>348</v>
      </c>
      <c r="B68" t="s">
        <v>273</v>
      </c>
      <c r="C68" t="s">
        <v>274</v>
      </c>
      <c r="D68" t="s">
        <v>173</v>
      </c>
      <c r="E68" t="s">
        <v>171</v>
      </c>
      <c r="F68">
        <v>5</v>
      </c>
      <c r="G68">
        <v>0</v>
      </c>
      <c r="H68" t="s">
        <v>275</v>
      </c>
      <c r="I68">
        <v>3.8606110750110298E+17</v>
      </c>
      <c r="J68" t="s">
        <v>349</v>
      </c>
      <c r="K68" t="s">
        <v>346</v>
      </c>
      <c r="L68" t="s">
        <v>278</v>
      </c>
      <c r="M68" t="s">
        <v>279</v>
      </c>
      <c r="N68" t="s">
        <v>347</v>
      </c>
      <c r="S68" t="s">
        <v>281</v>
      </c>
    </row>
    <row r="69" spans="1:19" x14ac:dyDescent="0.25">
      <c r="A69" t="s">
        <v>350</v>
      </c>
      <c r="B69" t="s">
        <v>273</v>
      </c>
      <c r="C69" t="s">
        <v>274</v>
      </c>
      <c r="D69" t="s">
        <v>173</v>
      </c>
      <c r="E69" t="s">
        <v>171</v>
      </c>
      <c r="F69">
        <v>33</v>
      </c>
      <c r="G69">
        <v>0</v>
      </c>
      <c r="H69" t="s">
        <v>275</v>
      </c>
      <c r="I69">
        <v>3.8606110750110298E+17</v>
      </c>
      <c r="J69" t="s">
        <v>351</v>
      </c>
      <c r="K69" t="s">
        <v>346</v>
      </c>
      <c r="L69" t="s">
        <v>278</v>
      </c>
      <c r="M69" t="s">
        <v>279</v>
      </c>
      <c r="N69" t="s">
        <v>347</v>
      </c>
      <c r="S69" t="s">
        <v>281</v>
      </c>
    </row>
    <row r="70" spans="1:19" x14ac:dyDescent="0.25">
      <c r="A70" t="s">
        <v>352</v>
      </c>
      <c r="B70" t="s">
        <v>273</v>
      </c>
      <c r="C70" t="s">
        <v>274</v>
      </c>
      <c r="D70" t="s">
        <v>173</v>
      </c>
      <c r="E70" t="s">
        <v>171</v>
      </c>
      <c r="F70">
        <v>17</v>
      </c>
      <c r="G70">
        <v>0</v>
      </c>
      <c r="H70" t="s">
        <v>275</v>
      </c>
      <c r="I70">
        <v>3.8606110750110298E+17</v>
      </c>
      <c r="J70" t="s">
        <v>353</v>
      </c>
      <c r="K70" t="s">
        <v>346</v>
      </c>
      <c r="L70" t="s">
        <v>278</v>
      </c>
      <c r="M70" t="s">
        <v>279</v>
      </c>
      <c r="N70" t="s">
        <v>347</v>
      </c>
      <c r="S70" t="s">
        <v>281</v>
      </c>
    </row>
    <row r="71" spans="1:19" x14ac:dyDescent="0.25">
      <c r="A71" t="s">
        <v>354</v>
      </c>
      <c r="B71" t="s">
        <v>273</v>
      </c>
      <c r="C71" t="s">
        <v>274</v>
      </c>
      <c r="D71" t="s">
        <v>173</v>
      </c>
      <c r="E71" t="s">
        <v>171</v>
      </c>
      <c r="F71">
        <v>25</v>
      </c>
      <c r="G71">
        <v>0</v>
      </c>
      <c r="H71" t="s">
        <v>275</v>
      </c>
      <c r="I71">
        <v>3.8606110750110298E+17</v>
      </c>
      <c r="J71" t="s">
        <v>355</v>
      </c>
      <c r="K71" t="s">
        <v>346</v>
      </c>
      <c r="L71" t="s">
        <v>278</v>
      </c>
      <c r="M71" t="s">
        <v>279</v>
      </c>
      <c r="N71" t="s">
        <v>347</v>
      </c>
      <c r="S71" t="s">
        <v>281</v>
      </c>
    </row>
    <row r="72" spans="1:19" x14ac:dyDescent="0.25">
      <c r="A72" t="s">
        <v>356</v>
      </c>
      <c r="B72" t="s">
        <v>273</v>
      </c>
      <c r="C72" t="s">
        <v>274</v>
      </c>
      <c r="D72" t="s">
        <v>173</v>
      </c>
      <c r="E72" t="s">
        <v>171</v>
      </c>
      <c r="F72">
        <v>41</v>
      </c>
      <c r="G72">
        <v>0</v>
      </c>
      <c r="H72" t="s">
        <v>275</v>
      </c>
      <c r="I72">
        <v>3.8606110750110298E+17</v>
      </c>
      <c r="J72" t="s">
        <v>357</v>
      </c>
      <c r="K72" t="s">
        <v>346</v>
      </c>
      <c r="L72" t="s">
        <v>278</v>
      </c>
      <c r="M72" t="s">
        <v>279</v>
      </c>
      <c r="N72" t="s">
        <v>347</v>
      </c>
      <c r="S72" t="s">
        <v>281</v>
      </c>
    </row>
    <row r="73" spans="1:19" x14ac:dyDescent="0.25">
      <c r="A73" t="s">
        <v>358</v>
      </c>
      <c r="B73" t="s">
        <v>273</v>
      </c>
      <c r="C73" t="s">
        <v>274</v>
      </c>
      <c r="D73" t="s">
        <v>173</v>
      </c>
      <c r="E73" t="s">
        <v>171</v>
      </c>
      <c r="F73">
        <v>10</v>
      </c>
      <c r="G73">
        <v>0</v>
      </c>
      <c r="H73" t="s">
        <v>275</v>
      </c>
      <c r="I73">
        <v>3.8606110750110298E+17</v>
      </c>
      <c r="J73" t="s">
        <v>359</v>
      </c>
      <c r="K73" t="s">
        <v>346</v>
      </c>
      <c r="L73" t="s">
        <v>278</v>
      </c>
      <c r="M73" t="s">
        <v>279</v>
      </c>
      <c r="N73" t="s">
        <v>347</v>
      </c>
      <c r="S73" t="s">
        <v>281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7027-5C9F-482A-8D41-95DA6F280C35}">
  <dimension ref="A1:L58"/>
  <sheetViews>
    <sheetView view="pageBreakPreview" topLeftCell="A7" zoomScaleNormal="100" zoomScaleSheetLayoutView="100" workbookViewId="0">
      <selection activeCell="B57" sqref="B57"/>
    </sheetView>
  </sheetViews>
  <sheetFormatPr defaultRowHeight="13.8" x14ac:dyDescent="0.25"/>
  <cols>
    <col min="1" max="1" width="17.5" customWidth="1"/>
    <col min="2" max="2" width="29.5" bestFit="1" customWidth="1"/>
    <col min="3" max="3" width="32.1992187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45139</v>
      </c>
      <c r="H3" s="4"/>
      <c r="I3" s="4"/>
    </row>
    <row r="4" spans="1:11" x14ac:dyDescent="0.25">
      <c r="B4" s="2"/>
      <c r="C4" s="6"/>
      <c r="F4" s="3">
        <v>45169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117.20610000000001</v>
      </c>
      <c r="F6" t="s">
        <v>42</v>
      </c>
      <c r="G6" s="77" t="s">
        <v>162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48</v>
      </c>
      <c r="F9" s="30" t="s">
        <v>49</v>
      </c>
      <c r="G9" s="78" t="s">
        <v>50</v>
      </c>
      <c r="H9" s="29" t="s">
        <v>47</v>
      </c>
      <c r="I9" s="71" t="s">
        <v>48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1825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 t="s">
        <v>158</v>
      </c>
      <c r="H11" s="12">
        <v>1006</v>
      </c>
      <c r="I11" s="65">
        <v>1006</v>
      </c>
      <c r="J11" s="39">
        <f>D10+E11-I11</f>
        <v>819</v>
      </c>
      <c r="K11" s="41">
        <f>0.02*J11</f>
        <v>16.38</v>
      </c>
    </row>
    <row r="12" spans="1:11" ht="14.25" customHeight="1" x14ac:dyDescent="0.25">
      <c r="A12" s="15" t="s">
        <v>1</v>
      </c>
      <c r="B12" s="16"/>
      <c r="C12" s="31"/>
      <c r="D12" s="12"/>
      <c r="E12" s="35"/>
      <c r="F12" s="14"/>
      <c r="G12" s="12"/>
      <c r="H12" s="12"/>
      <c r="I12" s="65"/>
      <c r="J12" s="39">
        <f t="shared" ref="J12:J39" si="0">J11+E12-I12</f>
        <v>819</v>
      </c>
      <c r="K12" s="41">
        <f t="shared" ref="K12:K41" si="1">0.02*J12</f>
        <v>16.38</v>
      </c>
    </row>
    <row r="13" spans="1:11" ht="13.5" customHeight="1" x14ac:dyDescent="0.25">
      <c r="A13" s="15" t="s">
        <v>2</v>
      </c>
      <c r="B13" s="11" t="s">
        <v>156</v>
      </c>
      <c r="C13" s="56"/>
      <c r="D13" s="56">
        <v>135</v>
      </c>
      <c r="E13" s="13">
        <v>135</v>
      </c>
      <c r="F13" s="14"/>
      <c r="G13" s="12"/>
      <c r="H13" s="12"/>
      <c r="I13" s="65"/>
      <c r="J13" s="39">
        <f>J12+E13-I13</f>
        <v>954</v>
      </c>
      <c r="K13" s="41">
        <f t="shared" si="1"/>
        <v>19.080000000000002</v>
      </c>
    </row>
    <row r="14" spans="1:11" x14ac:dyDescent="0.25">
      <c r="A14" s="15" t="s">
        <v>3</v>
      </c>
      <c r="B14" s="16"/>
      <c r="C14" s="56"/>
      <c r="D14" s="12"/>
      <c r="E14" s="35"/>
      <c r="F14" s="63"/>
      <c r="G14" s="12"/>
      <c r="H14" s="12"/>
      <c r="I14" s="65"/>
      <c r="J14" s="39">
        <f t="shared" si="0"/>
        <v>954</v>
      </c>
      <c r="K14" s="41">
        <f t="shared" si="1"/>
        <v>19.080000000000002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/>
      <c r="J15" s="39">
        <f t="shared" si="0"/>
        <v>954</v>
      </c>
      <c r="K15" s="41">
        <f t="shared" si="1"/>
        <v>19.080000000000002</v>
      </c>
    </row>
    <row r="16" spans="1:11" x14ac:dyDescent="0.25">
      <c r="A16" s="15" t="s">
        <v>5</v>
      </c>
      <c r="B16" s="16"/>
      <c r="C16" s="56"/>
      <c r="D16" s="12"/>
      <c r="E16" s="35"/>
      <c r="F16" s="14"/>
      <c r="G16" s="12"/>
      <c r="H16" s="80"/>
      <c r="I16" s="65"/>
      <c r="J16" s="39">
        <f t="shared" si="0"/>
        <v>954</v>
      </c>
      <c r="K16" s="41">
        <f t="shared" si="1"/>
        <v>19.080000000000002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/>
      <c r="H17" s="12"/>
      <c r="I17" s="66"/>
      <c r="J17" s="39">
        <f t="shared" si="0"/>
        <v>954</v>
      </c>
      <c r="K17" s="41">
        <f t="shared" si="1"/>
        <v>19.080000000000002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/>
      <c r="I18" s="66"/>
      <c r="J18" s="39">
        <f t="shared" si="0"/>
        <v>954</v>
      </c>
      <c r="K18" s="41">
        <f t="shared" si="1"/>
        <v>19.080000000000002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0"/>
        <v>954</v>
      </c>
      <c r="K19" s="41">
        <f t="shared" si="1"/>
        <v>19.080000000000002</v>
      </c>
    </row>
    <row r="20" spans="1:11" x14ac:dyDescent="0.25">
      <c r="A20" s="15" t="s">
        <v>9</v>
      </c>
      <c r="B20" s="16"/>
      <c r="C20" s="56"/>
      <c r="D20" s="12"/>
      <c r="E20" s="35"/>
      <c r="F20" s="18"/>
      <c r="G20" s="12" t="s">
        <v>159</v>
      </c>
      <c r="H20" s="12">
        <v>83</v>
      </c>
      <c r="I20" s="66">
        <v>83</v>
      </c>
      <c r="J20" s="39">
        <f t="shared" si="0"/>
        <v>871</v>
      </c>
      <c r="K20" s="41">
        <f t="shared" si="1"/>
        <v>17.420000000000002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/>
      <c r="H21" s="12"/>
      <c r="I21" s="66"/>
      <c r="J21" s="39">
        <f t="shared" si="0"/>
        <v>871</v>
      </c>
      <c r="K21" s="41">
        <f t="shared" si="1"/>
        <v>17.420000000000002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/>
      <c r="H22" s="12"/>
      <c r="I22" s="66"/>
      <c r="J22" s="39">
        <f t="shared" si="0"/>
        <v>871</v>
      </c>
      <c r="K22" s="41">
        <f t="shared" si="1"/>
        <v>17.420000000000002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H23" s="12"/>
      <c r="I23" s="66"/>
      <c r="J23" s="39">
        <f t="shared" si="0"/>
        <v>871</v>
      </c>
      <c r="K23" s="41">
        <f t="shared" si="1"/>
        <v>17.420000000000002</v>
      </c>
    </row>
    <row r="24" spans="1:11" x14ac:dyDescent="0.25">
      <c r="A24" s="15" t="s">
        <v>13</v>
      </c>
      <c r="B24" s="11"/>
      <c r="C24" s="56"/>
      <c r="D24" s="12"/>
      <c r="E24" s="35"/>
      <c r="F24" s="18"/>
      <c r="G24" s="12"/>
      <c r="H24" s="12"/>
      <c r="I24" s="66"/>
      <c r="J24" s="39">
        <f t="shared" si="0"/>
        <v>871</v>
      </c>
      <c r="K24" s="41">
        <f t="shared" si="1"/>
        <v>17.420000000000002</v>
      </c>
    </row>
    <row r="25" spans="1:11" x14ac:dyDescent="0.25">
      <c r="A25" s="15" t="s">
        <v>14</v>
      </c>
      <c r="B25" s="16" t="s">
        <v>157</v>
      </c>
      <c r="C25" s="56"/>
      <c r="D25" s="12">
        <v>1121</v>
      </c>
      <c r="E25" s="35">
        <v>1121</v>
      </c>
      <c r="F25" s="18"/>
      <c r="G25" s="12"/>
      <c r="H25" s="12"/>
      <c r="I25" s="66"/>
      <c r="J25" s="39">
        <f t="shared" si="0"/>
        <v>1992</v>
      </c>
      <c r="K25" s="41">
        <f t="shared" si="1"/>
        <v>39.840000000000003</v>
      </c>
    </row>
    <row r="26" spans="1:11" x14ac:dyDescent="0.25">
      <c r="A26" s="15" t="s">
        <v>15</v>
      </c>
      <c r="B26" s="16"/>
      <c r="C26" s="56"/>
      <c r="D26" s="12"/>
      <c r="E26" s="35"/>
      <c r="F26" s="18"/>
      <c r="G26" s="12"/>
      <c r="H26" s="12"/>
      <c r="I26" s="66"/>
      <c r="J26" s="39">
        <f t="shared" si="0"/>
        <v>1992</v>
      </c>
      <c r="K26" s="41">
        <f t="shared" si="1"/>
        <v>39.840000000000003</v>
      </c>
    </row>
    <row r="27" spans="1:11" ht="14.4" x14ac:dyDescent="0.3">
      <c r="A27" s="15" t="s">
        <v>16</v>
      </c>
      <c r="B27" s="53"/>
      <c r="C27" s="56"/>
      <c r="D27" s="12"/>
      <c r="E27" s="35"/>
      <c r="F27" s="18"/>
      <c r="G27" s="12"/>
      <c r="H27" s="12"/>
      <c r="I27" s="66"/>
      <c r="J27" s="39">
        <f t="shared" si="0"/>
        <v>1992</v>
      </c>
      <c r="K27" s="41">
        <f t="shared" si="1"/>
        <v>39.840000000000003</v>
      </c>
    </row>
    <row r="28" spans="1:11" x14ac:dyDescent="0.25">
      <c r="A28" s="15" t="s">
        <v>17</v>
      </c>
      <c r="B28" s="16"/>
      <c r="C28" s="56"/>
      <c r="D28" s="12"/>
      <c r="E28" s="35"/>
      <c r="F28" s="18"/>
      <c r="G28" s="12"/>
      <c r="H28" s="12"/>
      <c r="I28" s="66"/>
      <c r="J28" s="39">
        <f t="shared" si="0"/>
        <v>1992</v>
      </c>
      <c r="K28" s="41">
        <f t="shared" si="1"/>
        <v>39.840000000000003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/>
      <c r="J29" s="39">
        <f t="shared" si="0"/>
        <v>1992</v>
      </c>
      <c r="K29" s="41">
        <f t="shared" si="1"/>
        <v>39.840000000000003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 t="shared" si="0"/>
        <v>1992</v>
      </c>
      <c r="K30" s="41">
        <f t="shared" si="1"/>
        <v>39.840000000000003</v>
      </c>
    </row>
    <row r="31" spans="1:11" x14ac:dyDescent="0.25">
      <c r="A31" s="15" t="s">
        <v>20</v>
      </c>
      <c r="B31" s="17"/>
      <c r="C31" s="56"/>
      <c r="D31" s="12"/>
      <c r="E31" s="64"/>
      <c r="F31" s="18"/>
      <c r="G31" s="12"/>
      <c r="H31" s="12"/>
      <c r="I31" s="66"/>
      <c r="J31" s="39">
        <f t="shared" si="0"/>
        <v>1992</v>
      </c>
      <c r="K31" s="41">
        <f t="shared" si="1"/>
        <v>39.840000000000003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/>
      <c r="H32" s="12"/>
      <c r="I32" s="66"/>
      <c r="J32" s="39">
        <f t="shared" si="0"/>
        <v>1992</v>
      </c>
      <c r="K32" s="41">
        <f t="shared" si="1"/>
        <v>39.840000000000003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 t="s">
        <v>160</v>
      </c>
      <c r="H33" s="12">
        <v>1037</v>
      </c>
      <c r="I33" s="66">
        <v>1037</v>
      </c>
      <c r="J33" s="39">
        <f t="shared" si="0"/>
        <v>955</v>
      </c>
      <c r="K33" s="41">
        <f t="shared" si="1"/>
        <v>19.100000000000001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0"/>
        <v>955</v>
      </c>
      <c r="K34" s="41">
        <f t="shared" si="1"/>
        <v>19.100000000000001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 t="s">
        <v>161</v>
      </c>
      <c r="H35" s="12">
        <v>113</v>
      </c>
      <c r="I35" s="66">
        <v>113</v>
      </c>
      <c r="J35" s="39">
        <f t="shared" si="0"/>
        <v>842</v>
      </c>
      <c r="K35" s="41">
        <f t="shared" si="1"/>
        <v>16.84</v>
      </c>
    </row>
    <row r="36" spans="1:12" ht="13.5" customHeight="1" x14ac:dyDescent="0.25">
      <c r="A36" s="15" t="s">
        <v>25</v>
      </c>
      <c r="B36" s="17"/>
      <c r="C36" s="56"/>
      <c r="D36" s="12"/>
      <c r="E36" s="35"/>
      <c r="F36" s="14"/>
      <c r="G36" s="14"/>
      <c r="H36" s="12"/>
      <c r="I36" s="67"/>
      <c r="J36" s="39">
        <f t="shared" si="0"/>
        <v>842</v>
      </c>
      <c r="K36" s="41">
        <f t="shared" si="1"/>
        <v>16.84</v>
      </c>
    </row>
    <row r="37" spans="1:12" x14ac:dyDescent="0.25">
      <c r="A37" s="15" t="s">
        <v>26</v>
      </c>
      <c r="B37" s="17"/>
      <c r="C37" s="56"/>
      <c r="D37" s="12"/>
      <c r="E37" s="35"/>
      <c r="F37" s="14"/>
      <c r="G37" s="12"/>
      <c r="H37" s="12"/>
      <c r="I37" s="66"/>
      <c r="J37" s="39">
        <f t="shared" si="0"/>
        <v>842</v>
      </c>
      <c r="K37" s="41">
        <f t="shared" si="1"/>
        <v>16.84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/>
      <c r="I38" s="66"/>
      <c r="J38" s="39">
        <f t="shared" si="0"/>
        <v>842</v>
      </c>
      <c r="K38" s="41">
        <f t="shared" si="1"/>
        <v>16.84</v>
      </c>
    </row>
    <row r="39" spans="1:12" x14ac:dyDescent="0.25">
      <c r="A39" s="15" t="s">
        <v>28</v>
      </c>
      <c r="B39" s="56"/>
      <c r="C39" s="56"/>
      <c r="D39" s="12"/>
      <c r="E39" s="35"/>
      <c r="F39" s="18"/>
      <c r="G39" s="12"/>
      <c r="H39" s="12"/>
      <c r="I39" s="66"/>
      <c r="J39" s="39">
        <f t="shared" si="0"/>
        <v>842</v>
      </c>
      <c r="K39" s="41">
        <f t="shared" si="1"/>
        <v>16.84</v>
      </c>
    </row>
    <row r="40" spans="1:12" x14ac:dyDescent="0.25">
      <c r="A40" s="15" t="s">
        <v>29</v>
      </c>
      <c r="B40" s="17"/>
      <c r="C40" s="56"/>
      <c r="D40" s="12"/>
      <c r="E40" s="35"/>
      <c r="F40" s="18"/>
      <c r="G40" s="12"/>
      <c r="H40" s="12"/>
      <c r="I40" s="66"/>
      <c r="J40" s="39">
        <f>J39+E40-I40</f>
        <v>842</v>
      </c>
      <c r="K40" s="41">
        <f t="shared" si="1"/>
        <v>16.84</v>
      </c>
    </row>
    <row r="41" spans="1:12" ht="14.4" thickBot="1" x14ac:dyDescent="0.3">
      <c r="A41" s="34" t="s">
        <v>30</v>
      </c>
      <c r="B41" s="36"/>
      <c r="C41" s="57"/>
      <c r="D41" s="33"/>
      <c r="E41" s="35"/>
      <c r="F41" s="37"/>
      <c r="G41" s="33"/>
      <c r="H41" s="33"/>
      <c r="I41" s="68"/>
      <c r="J41" s="39">
        <f>J40+E41-I41</f>
        <v>842</v>
      </c>
      <c r="K41" s="41">
        <f t="shared" si="1"/>
        <v>16.84</v>
      </c>
    </row>
    <row r="42" spans="1:12" ht="15" thickBot="1" x14ac:dyDescent="0.35">
      <c r="A42" s="168"/>
      <c r="B42" s="169"/>
      <c r="C42" s="19" t="s">
        <v>31</v>
      </c>
      <c r="D42" s="20">
        <f>SUM(D11:D41)</f>
        <v>1256</v>
      </c>
      <c r="E42" s="20">
        <f>SUM(E11:E41)</f>
        <v>1256</v>
      </c>
      <c r="F42" s="21">
        <v>0</v>
      </c>
      <c r="G42" s="21"/>
      <c r="H42" s="20">
        <f>SUM(H11:H41)</f>
        <v>2239</v>
      </c>
      <c r="I42" s="20">
        <f>SUM(I11:I41)</f>
        <v>2239</v>
      </c>
      <c r="J42" s="69">
        <f>AVERAGE(J11:J41)</f>
        <v>1174.5483870967741</v>
      </c>
      <c r="K42" s="32">
        <f>SUM(K11:K41)</f>
        <v>728.2200000000006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E42</f>
        <v>1256</v>
      </c>
      <c r="I45" s="59">
        <v>0.28000000000000003</v>
      </c>
      <c r="J45" s="48">
        <f>H45*I45</f>
        <v>351.68</v>
      </c>
      <c r="K45" s="50">
        <f>kurs*J45</f>
        <v>41219.041248000001</v>
      </c>
    </row>
    <row r="46" spans="1:12" x14ac:dyDescent="0.25">
      <c r="E46" s="42" t="s">
        <v>54</v>
      </c>
      <c r="F46" s="43"/>
      <c r="G46" s="43"/>
      <c r="H46" s="44">
        <f>I42</f>
        <v>2239</v>
      </c>
      <c r="I46" s="59">
        <v>0.2</v>
      </c>
      <c r="J46" s="48">
        <f>H46*I46</f>
        <v>447.8</v>
      </c>
      <c r="K46" s="50">
        <f t="shared" ref="K46" si="2">kurs*J46</f>
        <v>52484.891580000003</v>
      </c>
      <c r="L46" s="61"/>
    </row>
    <row r="47" spans="1:12" x14ac:dyDescent="0.25">
      <c r="F47" s="43"/>
      <c r="G47" s="43"/>
      <c r="H47" s="44"/>
      <c r="I47" s="59"/>
      <c r="J47" s="48"/>
      <c r="K47" s="50"/>
    </row>
    <row r="48" spans="1:12" x14ac:dyDescent="0.25">
      <c r="F48" s="46"/>
      <c r="G48" s="46"/>
      <c r="H48" s="47"/>
      <c r="I48" s="60"/>
      <c r="J48" s="48"/>
      <c r="K48" s="50"/>
    </row>
    <row r="49" spans="3:12" x14ac:dyDescent="0.25">
      <c r="E49" s="45"/>
      <c r="F49" s="46"/>
      <c r="G49" s="46"/>
      <c r="H49" s="47"/>
      <c r="I49" s="60"/>
      <c r="J49" s="48"/>
      <c r="K49" s="50"/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728.2200000000006</v>
      </c>
      <c r="K52" s="50">
        <f>kurs*J52</f>
        <v>85351.826142000078</v>
      </c>
      <c r="L52" s="61"/>
    </row>
    <row r="53" spans="3:12" x14ac:dyDescent="0.25">
      <c r="E53" s="22"/>
      <c r="I53" t="s">
        <v>56</v>
      </c>
      <c r="J53" s="52">
        <f>SUM(J45:J52)</f>
        <v>1527.7000000000007</v>
      </c>
      <c r="K53" s="51">
        <f>SUM(K45:K52)</f>
        <v>179055.75897000008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2E3A-F7F5-4258-9E80-DB848D51C665}">
  <dimension ref="A1:L58"/>
  <sheetViews>
    <sheetView view="pageBreakPreview" topLeftCell="A7" zoomScaleNormal="100" zoomScaleSheetLayoutView="100" workbookViewId="0">
      <selection activeCell="G6" sqref="G6"/>
    </sheetView>
  </sheetViews>
  <sheetFormatPr defaultRowHeight="13.8" x14ac:dyDescent="0.25"/>
  <cols>
    <col min="1" max="1" width="17.5" customWidth="1"/>
    <col min="2" max="2" width="29.5" bestFit="1" customWidth="1"/>
    <col min="3" max="3" width="32.1992187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45108</v>
      </c>
      <c r="H3" s="4"/>
      <c r="I3" s="4"/>
    </row>
    <row r="4" spans="1:11" x14ac:dyDescent="0.25">
      <c r="B4" s="2"/>
      <c r="C4" s="6"/>
      <c r="F4" s="3">
        <v>45138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117.21469999999999</v>
      </c>
      <c r="F6" t="s">
        <v>42</v>
      </c>
      <c r="G6" s="77" t="s">
        <v>155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48</v>
      </c>
      <c r="F9" s="30" t="s">
        <v>49</v>
      </c>
      <c r="G9" s="78" t="s">
        <v>50</v>
      </c>
      <c r="H9" s="29" t="s">
        <v>47</v>
      </c>
      <c r="I9" s="71" t="s">
        <v>48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3014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D10+E11-I11</f>
        <v>3014</v>
      </c>
      <c r="K11" s="41">
        <f>0.02*J11</f>
        <v>60.28</v>
      </c>
    </row>
    <row r="12" spans="1:11" ht="14.25" customHeight="1" x14ac:dyDescent="0.25">
      <c r="A12" s="15" t="s">
        <v>1</v>
      </c>
      <c r="B12" s="16"/>
      <c r="C12" s="31"/>
      <c r="D12" s="12"/>
      <c r="E12" s="35"/>
      <c r="F12" s="14"/>
      <c r="G12" s="12"/>
      <c r="H12" s="12"/>
      <c r="I12" s="65"/>
      <c r="J12" s="39">
        <f t="shared" ref="J12:J39" si="0">J11+E12-I12</f>
        <v>3014</v>
      </c>
      <c r="K12" s="41">
        <f t="shared" ref="K12:K40" si="1">0.02*J12</f>
        <v>60.28</v>
      </c>
    </row>
    <row r="13" spans="1:11" ht="13.5" customHeight="1" x14ac:dyDescent="0.25">
      <c r="A13" s="15" t="s">
        <v>2</v>
      </c>
      <c r="B13" s="11"/>
      <c r="C13" s="56"/>
      <c r="D13" s="56"/>
      <c r="E13" s="13"/>
      <c r="F13" s="14"/>
      <c r="G13" s="12"/>
      <c r="H13" s="12"/>
      <c r="I13" s="65"/>
      <c r="J13" s="39">
        <f t="shared" si="0"/>
        <v>3014</v>
      </c>
      <c r="K13" s="41">
        <f t="shared" si="1"/>
        <v>60.28</v>
      </c>
    </row>
    <row r="14" spans="1:11" x14ac:dyDescent="0.25">
      <c r="A14" s="15" t="s">
        <v>3</v>
      </c>
      <c r="B14" s="16"/>
      <c r="C14" s="56"/>
      <c r="D14" s="12"/>
      <c r="E14" s="35"/>
      <c r="F14" s="63"/>
      <c r="G14" s="12"/>
      <c r="H14" s="12"/>
      <c r="I14" s="65"/>
      <c r="J14" s="39">
        <f t="shared" si="0"/>
        <v>3014</v>
      </c>
      <c r="K14" s="41">
        <f t="shared" si="1"/>
        <v>60.28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/>
      <c r="J15" s="39">
        <f t="shared" si="0"/>
        <v>3014</v>
      </c>
      <c r="K15" s="41">
        <f t="shared" si="1"/>
        <v>60.28</v>
      </c>
    </row>
    <row r="16" spans="1:11" x14ac:dyDescent="0.25">
      <c r="A16" s="15" t="s">
        <v>5</v>
      </c>
      <c r="B16" s="16"/>
      <c r="C16" s="56"/>
      <c r="D16" s="12"/>
      <c r="E16" s="35"/>
      <c r="F16" s="14"/>
      <c r="G16" s="12" t="s">
        <v>150</v>
      </c>
      <c r="H16" s="80">
        <v>1279</v>
      </c>
      <c r="I16" s="65">
        <v>1279</v>
      </c>
      <c r="J16" s="39">
        <f t="shared" si="0"/>
        <v>1735</v>
      </c>
      <c r="K16" s="41">
        <f t="shared" si="1"/>
        <v>34.700000000000003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/>
      <c r="H17" s="12"/>
      <c r="I17" s="66"/>
      <c r="J17" s="39">
        <f t="shared" si="0"/>
        <v>1735</v>
      </c>
      <c r="K17" s="41">
        <f t="shared" si="1"/>
        <v>34.700000000000003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/>
      <c r="I18" s="66"/>
      <c r="J18" s="39">
        <f t="shared" si="0"/>
        <v>1735</v>
      </c>
      <c r="K18" s="41">
        <f t="shared" si="1"/>
        <v>34.700000000000003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0"/>
        <v>1735</v>
      </c>
      <c r="K19" s="41">
        <f t="shared" si="1"/>
        <v>34.700000000000003</v>
      </c>
    </row>
    <row r="20" spans="1:11" x14ac:dyDescent="0.25">
      <c r="A20" s="15" t="s">
        <v>9</v>
      </c>
      <c r="B20" s="16"/>
      <c r="C20" s="56"/>
      <c r="D20" s="12"/>
      <c r="E20" s="35"/>
      <c r="F20" s="18"/>
      <c r="G20" t="s">
        <v>151</v>
      </c>
      <c r="H20" s="12">
        <v>519</v>
      </c>
      <c r="I20" s="66">
        <v>519</v>
      </c>
      <c r="J20" s="39">
        <f t="shared" si="0"/>
        <v>1216</v>
      </c>
      <c r="K20" s="41">
        <f t="shared" si="1"/>
        <v>24.32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/>
      <c r="H21" s="12"/>
      <c r="I21" s="66"/>
      <c r="J21" s="39">
        <f t="shared" si="0"/>
        <v>1216</v>
      </c>
      <c r="K21" s="41">
        <f t="shared" si="1"/>
        <v>24.32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/>
      <c r="H22" s="12"/>
      <c r="I22" s="66"/>
      <c r="J22" s="39">
        <f t="shared" si="0"/>
        <v>1216</v>
      </c>
      <c r="K22" s="41">
        <f t="shared" si="1"/>
        <v>24.32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G23" t="s">
        <v>152</v>
      </c>
      <c r="H23" s="12">
        <v>254</v>
      </c>
      <c r="I23" s="66">
        <v>254</v>
      </c>
      <c r="J23" s="39">
        <f t="shared" si="0"/>
        <v>962</v>
      </c>
      <c r="K23" s="41">
        <f t="shared" si="1"/>
        <v>19.240000000000002</v>
      </c>
    </row>
    <row r="24" spans="1:11" x14ac:dyDescent="0.25">
      <c r="A24" s="15" t="s">
        <v>13</v>
      </c>
      <c r="B24" s="11" t="s">
        <v>144</v>
      </c>
      <c r="C24" s="56" t="s">
        <v>145</v>
      </c>
      <c r="D24" s="12">
        <v>84</v>
      </c>
      <c r="E24" s="35">
        <v>84</v>
      </c>
      <c r="F24" s="18"/>
      <c r="G24" s="12" t="s">
        <v>153</v>
      </c>
      <c r="H24" s="12">
        <v>227</v>
      </c>
      <c r="I24" s="66">
        <v>227</v>
      </c>
      <c r="J24" s="39">
        <f t="shared" si="0"/>
        <v>819</v>
      </c>
      <c r="K24" s="41">
        <f t="shared" si="1"/>
        <v>16.38</v>
      </c>
    </row>
    <row r="25" spans="1:11" x14ac:dyDescent="0.25">
      <c r="A25" s="15" t="s">
        <v>14</v>
      </c>
      <c r="B25" s="16"/>
      <c r="C25" s="56"/>
      <c r="D25" s="12"/>
      <c r="E25" s="35"/>
      <c r="F25" s="18"/>
      <c r="G25" s="12"/>
      <c r="H25" s="12"/>
      <c r="I25" s="66"/>
      <c r="J25" s="39">
        <f t="shared" si="0"/>
        <v>819</v>
      </c>
      <c r="K25" s="41">
        <f t="shared" si="1"/>
        <v>16.38</v>
      </c>
    </row>
    <row r="26" spans="1:11" x14ac:dyDescent="0.25">
      <c r="A26" s="15" t="s">
        <v>15</v>
      </c>
      <c r="B26" s="16"/>
      <c r="C26" s="56"/>
      <c r="D26" s="12"/>
      <c r="E26" s="35"/>
      <c r="F26" s="18"/>
      <c r="G26" s="12"/>
      <c r="H26" s="12"/>
      <c r="I26" s="66"/>
      <c r="J26" s="39">
        <f t="shared" si="0"/>
        <v>819</v>
      </c>
      <c r="K26" s="41">
        <f t="shared" si="1"/>
        <v>16.38</v>
      </c>
    </row>
    <row r="27" spans="1:11" ht="14.4" x14ac:dyDescent="0.3">
      <c r="A27" s="15" t="s">
        <v>16</v>
      </c>
      <c r="B27" s="53"/>
      <c r="C27" s="56"/>
      <c r="D27" s="12"/>
      <c r="E27" s="35"/>
      <c r="F27" s="18"/>
      <c r="G27" s="12"/>
      <c r="H27" s="12"/>
      <c r="I27" s="66"/>
      <c r="J27" s="39">
        <f t="shared" si="0"/>
        <v>819</v>
      </c>
      <c r="K27" s="41">
        <f t="shared" si="1"/>
        <v>16.38</v>
      </c>
    </row>
    <row r="28" spans="1:11" x14ac:dyDescent="0.25">
      <c r="A28" s="15" t="s">
        <v>17</v>
      </c>
      <c r="B28" s="16" t="s">
        <v>146</v>
      </c>
      <c r="C28" s="56" t="s">
        <v>147</v>
      </c>
      <c r="D28" s="12">
        <v>164</v>
      </c>
      <c r="E28" s="35">
        <v>164</v>
      </c>
      <c r="F28" s="18"/>
      <c r="G28" s="12"/>
      <c r="H28" s="12"/>
      <c r="I28" s="66"/>
      <c r="J28" s="39">
        <f t="shared" si="0"/>
        <v>983</v>
      </c>
      <c r="K28" s="41">
        <f t="shared" si="1"/>
        <v>19.66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/>
      <c r="J29" s="39">
        <f t="shared" si="0"/>
        <v>983</v>
      </c>
      <c r="K29" s="41">
        <f t="shared" si="1"/>
        <v>19.66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 t="shared" si="0"/>
        <v>983</v>
      </c>
      <c r="K30" s="41">
        <f t="shared" si="1"/>
        <v>19.66</v>
      </c>
    </row>
    <row r="31" spans="1:11" x14ac:dyDescent="0.25">
      <c r="A31" s="15" t="s">
        <v>20</v>
      </c>
      <c r="B31" s="17"/>
      <c r="C31" s="56"/>
      <c r="D31" s="12"/>
      <c r="E31" s="64"/>
      <c r="F31" s="18"/>
      <c r="G31" s="12"/>
      <c r="H31" s="12"/>
      <c r="I31" s="66"/>
      <c r="J31" s="39">
        <f t="shared" si="0"/>
        <v>983</v>
      </c>
      <c r="K31" s="41">
        <f t="shared" si="1"/>
        <v>19.66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/>
      <c r="H32" s="12"/>
      <c r="I32" s="66"/>
      <c r="J32" s="39">
        <f t="shared" si="0"/>
        <v>983</v>
      </c>
      <c r="K32" s="41">
        <f t="shared" si="1"/>
        <v>19.66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0"/>
        <v>983</v>
      </c>
      <c r="K33" s="41">
        <f t="shared" si="1"/>
        <v>19.66</v>
      </c>
    </row>
    <row r="34" spans="1:12" x14ac:dyDescent="0.25">
      <c r="A34" s="15" t="s">
        <v>23</v>
      </c>
      <c r="B34" s="17" t="s">
        <v>148</v>
      </c>
      <c r="C34" s="56" t="s">
        <v>149</v>
      </c>
      <c r="D34" s="12">
        <v>1006</v>
      </c>
      <c r="E34" s="35">
        <v>1006</v>
      </c>
      <c r="F34" s="18"/>
      <c r="G34" s="12"/>
      <c r="H34" s="12"/>
      <c r="I34" s="66"/>
      <c r="J34" s="39">
        <f t="shared" si="0"/>
        <v>1989</v>
      </c>
      <c r="K34" s="41">
        <f t="shared" si="1"/>
        <v>39.78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/>
      <c r="I35" s="66"/>
      <c r="J35" s="39">
        <f t="shared" si="0"/>
        <v>1989</v>
      </c>
      <c r="K35" s="41">
        <f t="shared" si="1"/>
        <v>39.78</v>
      </c>
    </row>
    <row r="36" spans="1:12" ht="13.5" customHeight="1" x14ac:dyDescent="0.25">
      <c r="A36" s="15" t="s">
        <v>25</v>
      </c>
      <c r="B36" s="17"/>
      <c r="C36" s="56"/>
      <c r="D36" s="12"/>
      <c r="E36" s="35"/>
      <c r="F36" s="14"/>
      <c r="G36" s="14"/>
      <c r="H36" s="12"/>
      <c r="I36" s="67"/>
      <c r="J36" s="39">
        <f t="shared" si="0"/>
        <v>1989</v>
      </c>
      <c r="K36" s="41">
        <f t="shared" si="1"/>
        <v>39.78</v>
      </c>
    </row>
    <row r="37" spans="1:12" x14ac:dyDescent="0.25">
      <c r="A37" s="15" t="s">
        <v>26</v>
      </c>
      <c r="B37" s="17"/>
      <c r="C37" s="56"/>
      <c r="D37" s="12"/>
      <c r="E37" s="35"/>
      <c r="F37" s="14"/>
      <c r="G37" s="12"/>
      <c r="H37" s="12"/>
      <c r="I37" s="66"/>
      <c r="J37" s="39">
        <f t="shared" si="0"/>
        <v>1989</v>
      </c>
      <c r="K37" s="41">
        <f t="shared" si="1"/>
        <v>39.78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 t="s">
        <v>154</v>
      </c>
      <c r="H38" s="12">
        <v>164</v>
      </c>
      <c r="I38" s="66">
        <v>164</v>
      </c>
      <c r="J38" s="39">
        <f t="shared" si="0"/>
        <v>1825</v>
      </c>
      <c r="K38" s="41">
        <f t="shared" si="1"/>
        <v>36.5</v>
      </c>
    </row>
    <row r="39" spans="1:12" x14ac:dyDescent="0.25">
      <c r="A39" s="15" t="s">
        <v>28</v>
      </c>
      <c r="B39" s="56"/>
      <c r="C39" s="56"/>
      <c r="D39" s="12"/>
      <c r="E39" s="35"/>
      <c r="F39" s="18"/>
      <c r="G39" s="12"/>
      <c r="H39" s="12"/>
      <c r="I39" s="66"/>
      <c r="J39" s="39">
        <f t="shared" si="0"/>
        <v>1825</v>
      </c>
      <c r="K39" s="41">
        <f t="shared" si="1"/>
        <v>36.5</v>
      </c>
    </row>
    <row r="40" spans="1:12" x14ac:dyDescent="0.25">
      <c r="A40" s="15" t="s">
        <v>29</v>
      </c>
      <c r="B40" s="17"/>
      <c r="C40" s="56"/>
      <c r="D40" s="12"/>
      <c r="E40" s="35"/>
      <c r="F40" s="18"/>
      <c r="G40" s="12"/>
      <c r="H40" s="12"/>
      <c r="I40" s="66"/>
      <c r="J40" s="39">
        <f>J39+E40-I40</f>
        <v>1825</v>
      </c>
      <c r="K40" s="41">
        <f t="shared" si="1"/>
        <v>36.5</v>
      </c>
    </row>
    <row r="41" spans="1:12" ht="14.4" thickBot="1" x14ac:dyDescent="0.3">
      <c r="A41" s="34" t="s">
        <v>30</v>
      </c>
      <c r="B41" s="36"/>
      <c r="C41" s="57"/>
      <c r="D41" s="33"/>
      <c r="E41" s="35"/>
      <c r="F41" s="37"/>
      <c r="G41" s="33"/>
      <c r="H41" s="33"/>
      <c r="I41" s="68"/>
      <c r="J41" s="39">
        <f>J40+E41-I41</f>
        <v>1825</v>
      </c>
      <c r="K41" s="41">
        <f t="shared" ref="K41" si="2">0.02*J41</f>
        <v>36.5</v>
      </c>
    </row>
    <row r="42" spans="1:12" ht="15" thickBot="1" x14ac:dyDescent="0.35">
      <c r="A42" s="168"/>
      <c r="B42" s="169"/>
      <c r="C42" s="19" t="s">
        <v>31</v>
      </c>
      <c r="D42" s="20">
        <f>SUM(D11:D41)</f>
        <v>1254</v>
      </c>
      <c r="E42" s="20">
        <f>SUM(E11:E41)</f>
        <v>1254</v>
      </c>
      <c r="F42" s="21">
        <v>0</v>
      </c>
      <c r="G42" s="21"/>
      <c r="H42" s="20">
        <f>SUM(H11:H41)</f>
        <v>2443</v>
      </c>
      <c r="I42" s="20">
        <f>SUM(I11:I41)</f>
        <v>2443</v>
      </c>
      <c r="J42" s="69">
        <f>AVERAGE(J11:J41)</f>
        <v>1646.7741935483871</v>
      </c>
      <c r="K42" s="32">
        <f>SUM(K11:K41)</f>
        <v>1020.9999999999997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E42</f>
        <v>1254</v>
      </c>
      <c r="I45" s="59">
        <v>0.28000000000000003</v>
      </c>
      <c r="J45" s="48">
        <f>H45*I45</f>
        <v>351.12000000000006</v>
      </c>
      <c r="K45" s="50">
        <f>kurs*J45</f>
        <v>41156.425464000007</v>
      </c>
    </row>
    <row r="46" spans="1:12" x14ac:dyDescent="0.25">
      <c r="E46" s="42" t="s">
        <v>54</v>
      </c>
      <c r="F46" s="43"/>
      <c r="G46" s="43"/>
      <c r="H46" s="44">
        <f>I42</f>
        <v>2443</v>
      </c>
      <c r="I46" s="59">
        <v>0.2</v>
      </c>
      <c r="J46" s="48">
        <f>H46*I46</f>
        <v>488.6</v>
      </c>
      <c r="K46" s="50">
        <f t="shared" ref="K46" si="3">kurs*J46</f>
        <v>57271.102420000003</v>
      </c>
      <c r="L46" s="61"/>
    </row>
    <row r="47" spans="1:12" x14ac:dyDescent="0.25">
      <c r="E47" s="42"/>
      <c r="F47" s="43"/>
      <c r="G47" s="43"/>
      <c r="H47" s="44"/>
      <c r="I47" s="59"/>
      <c r="J47" s="48"/>
      <c r="K47" s="50"/>
    </row>
    <row r="48" spans="1:12" x14ac:dyDescent="0.25">
      <c r="E48" s="45"/>
      <c r="F48" s="46"/>
      <c r="G48" s="46"/>
      <c r="H48" s="47"/>
      <c r="I48" s="60"/>
      <c r="J48" s="48"/>
      <c r="K48" s="50"/>
    </row>
    <row r="49" spans="3:12" x14ac:dyDescent="0.25">
      <c r="E49" s="45"/>
      <c r="F49" s="46"/>
      <c r="G49" s="46"/>
      <c r="H49" s="47"/>
      <c r="I49" s="60"/>
      <c r="J49" s="48"/>
      <c r="K49" s="50"/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1020.9999999999997</v>
      </c>
      <c r="K52" s="50">
        <f>kurs*J52</f>
        <v>119676.20869999996</v>
      </c>
      <c r="L52" s="61"/>
    </row>
    <row r="53" spans="3:12" x14ac:dyDescent="0.25">
      <c r="E53" s="22"/>
      <c r="I53" t="s">
        <v>56</v>
      </c>
      <c r="J53" s="52">
        <f>SUM(J45:J52)</f>
        <v>1860.7199999999998</v>
      </c>
      <c r="K53" s="51">
        <f>SUM(K45:K52)</f>
        <v>218103.73658399997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40EB-536D-44CB-8180-7610525D920A}">
  <dimension ref="A1:L58"/>
  <sheetViews>
    <sheetView view="pageBreakPreview" topLeftCell="A13" zoomScaleNormal="100" zoomScaleSheetLayoutView="100" workbookViewId="0">
      <selection activeCell="C37" sqref="C37"/>
    </sheetView>
  </sheetViews>
  <sheetFormatPr defaultRowHeight="13.8" x14ac:dyDescent="0.25"/>
  <cols>
    <col min="1" max="1" width="17.5" customWidth="1"/>
    <col min="2" max="2" width="29.5" bestFit="1" customWidth="1"/>
    <col min="3" max="3" width="32.1992187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>
        <v>45078</v>
      </c>
      <c r="H3" s="4"/>
      <c r="I3" s="4"/>
    </row>
    <row r="4" spans="1:11" x14ac:dyDescent="0.25">
      <c r="B4" s="2"/>
      <c r="C4" s="6"/>
      <c r="F4" s="3">
        <v>45107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41</v>
      </c>
      <c r="B6" s="6"/>
      <c r="C6" s="79">
        <v>117.23480000000001</v>
      </c>
      <c r="F6" t="s">
        <v>42</v>
      </c>
      <c r="G6" s="77" t="s">
        <v>143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123</v>
      </c>
      <c r="E9" s="29" t="s">
        <v>48</v>
      </c>
      <c r="F9" s="30" t="s">
        <v>49</v>
      </c>
      <c r="G9" s="78" t="s">
        <v>50</v>
      </c>
      <c r="H9" s="29" t="s">
        <v>47</v>
      </c>
      <c r="I9" s="71" t="s">
        <v>48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3029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D10+E11-I11</f>
        <v>3029</v>
      </c>
      <c r="K11" s="41">
        <f>0.02*J11</f>
        <v>60.58</v>
      </c>
    </row>
    <row r="12" spans="1:11" ht="14.25" customHeight="1" x14ac:dyDescent="0.25">
      <c r="A12" s="15" t="s">
        <v>1</v>
      </c>
      <c r="B12" s="16" t="s">
        <v>121</v>
      </c>
      <c r="C12" s="31" t="s">
        <v>122</v>
      </c>
      <c r="D12" s="12">
        <f>730+306</f>
        <v>1036</v>
      </c>
      <c r="E12" s="35">
        <v>1036</v>
      </c>
      <c r="F12" s="14"/>
      <c r="G12" s="12"/>
      <c r="H12" s="12"/>
      <c r="I12" s="65"/>
      <c r="J12" s="39">
        <f t="shared" ref="J12:J39" si="0">J11+E12-I12</f>
        <v>4065</v>
      </c>
      <c r="K12" s="41">
        <f t="shared" ref="K12:K40" si="1">0.02*J12</f>
        <v>81.3</v>
      </c>
    </row>
    <row r="13" spans="1:11" ht="13.5" customHeight="1" x14ac:dyDescent="0.25">
      <c r="A13" s="15" t="s">
        <v>2</v>
      </c>
      <c r="B13" s="11"/>
      <c r="C13" s="56"/>
      <c r="D13" s="56"/>
      <c r="E13" s="13"/>
      <c r="F13" s="14"/>
      <c r="G13" s="12"/>
      <c r="H13" s="12"/>
      <c r="I13" s="65"/>
      <c r="J13" s="39">
        <f t="shared" si="0"/>
        <v>4065</v>
      </c>
      <c r="K13" s="41">
        <f t="shared" si="1"/>
        <v>81.3</v>
      </c>
    </row>
    <row r="14" spans="1:11" x14ac:dyDescent="0.25">
      <c r="A14" s="15" t="s">
        <v>3</v>
      </c>
      <c r="B14" s="16"/>
      <c r="C14" s="56"/>
      <c r="D14" s="12"/>
      <c r="E14" s="35"/>
      <c r="F14" s="63"/>
      <c r="G14" s="12"/>
      <c r="H14" s="12"/>
      <c r="I14" s="65"/>
      <c r="J14" s="39">
        <f t="shared" si="0"/>
        <v>4065</v>
      </c>
      <c r="K14" s="41">
        <f t="shared" si="1"/>
        <v>81.3</v>
      </c>
    </row>
    <row r="15" spans="1:11" x14ac:dyDescent="0.25">
      <c r="A15" s="15" t="s">
        <v>4</v>
      </c>
      <c r="B15" s="16" t="s">
        <v>124</v>
      </c>
      <c r="C15" s="56" t="s">
        <v>125</v>
      </c>
      <c r="D15" s="12">
        <f>1273</f>
        <v>1273</v>
      </c>
      <c r="E15" s="35">
        <f>1273</f>
        <v>1273</v>
      </c>
      <c r="F15" s="14"/>
      <c r="G15" s="12"/>
      <c r="H15" s="12"/>
      <c r="I15" s="65"/>
      <c r="J15" s="39">
        <f t="shared" si="0"/>
        <v>5338</v>
      </c>
      <c r="K15" s="41">
        <f t="shared" si="1"/>
        <v>106.76</v>
      </c>
    </row>
    <row r="16" spans="1:11" x14ac:dyDescent="0.25">
      <c r="A16" s="15" t="s">
        <v>5</v>
      </c>
      <c r="B16" s="16" t="s">
        <v>126</v>
      </c>
      <c r="C16" s="56" t="s">
        <v>129</v>
      </c>
      <c r="D16" s="12">
        <f>1183</f>
        <v>1183</v>
      </c>
      <c r="E16" s="35">
        <v>1183</v>
      </c>
      <c r="F16" s="14"/>
      <c r="G16" s="12"/>
      <c r="H16" s="72"/>
      <c r="I16" s="65"/>
      <c r="J16" s="39">
        <f t="shared" si="0"/>
        <v>6521</v>
      </c>
      <c r="K16" s="41">
        <f t="shared" si="1"/>
        <v>130.42000000000002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 t="s">
        <v>134</v>
      </c>
      <c r="H17" s="12">
        <v>1313</v>
      </c>
      <c r="I17" s="66">
        <v>1313</v>
      </c>
      <c r="J17" s="39">
        <f t="shared" si="0"/>
        <v>5208</v>
      </c>
      <c r="K17" s="41">
        <f t="shared" si="1"/>
        <v>104.16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/>
      <c r="I18" s="66"/>
      <c r="J18" s="39">
        <f t="shared" si="0"/>
        <v>5208</v>
      </c>
      <c r="K18" s="41">
        <f t="shared" si="1"/>
        <v>104.16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 t="s">
        <v>135</v>
      </c>
      <c r="H19" s="12">
        <v>581</v>
      </c>
      <c r="I19" s="66">
        <v>581</v>
      </c>
      <c r="J19" s="39">
        <f t="shared" si="0"/>
        <v>4627</v>
      </c>
      <c r="K19" s="41">
        <f t="shared" si="1"/>
        <v>92.54</v>
      </c>
    </row>
    <row r="20" spans="1:11" x14ac:dyDescent="0.25">
      <c r="A20" s="15" t="s">
        <v>9</v>
      </c>
      <c r="B20" s="16"/>
      <c r="C20" s="56"/>
      <c r="D20" s="12"/>
      <c r="E20" s="35"/>
      <c r="F20" s="18"/>
      <c r="H20" s="12"/>
      <c r="I20" s="66"/>
      <c r="J20" s="39">
        <f t="shared" si="0"/>
        <v>4627</v>
      </c>
      <c r="K20" s="41">
        <f t="shared" si="1"/>
        <v>92.54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/>
      <c r="H21" s="12"/>
      <c r="I21" s="66"/>
      <c r="J21" s="39">
        <f t="shared" si="0"/>
        <v>4627</v>
      </c>
      <c r="K21" s="41">
        <f t="shared" si="1"/>
        <v>92.54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 t="s">
        <v>136</v>
      </c>
      <c r="H22" s="12">
        <v>59</v>
      </c>
      <c r="I22" s="66">
        <v>59</v>
      </c>
      <c r="J22" s="39">
        <f t="shared" si="0"/>
        <v>4568</v>
      </c>
      <c r="K22" s="41">
        <f t="shared" si="1"/>
        <v>91.36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H23" s="12"/>
      <c r="I23" s="66"/>
      <c r="J23" s="39">
        <f t="shared" si="0"/>
        <v>4568</v>
      </c>
      <c r="K23" s="41">
        <f t="shared" si="1"/>
        <v>91.36</v>
      </c>
    </row>
    <row r="24" spans="1:11" x14ac:dyDescent="0.25">
      <c r="A24" s="15" t="s">
        <v>13</v>
      </c>
      <c r="B24" s="11"/>
      <c r="C24" s="56"/>
      <c r="D24" s="12"/>
      <c r="E24" s="35"/>
      <c r="F24" s="18"/>
      <c r="G24" s="12" t="s">
        <v>137</v>
      </c>
      <c r="H24" s="12">
        <v>6</v>
      </c>
      <c r="I24" s="66">
        <v>6</v>
      </c>
      <c r="J24" s="39">
        <f t="shared" si="0"/>
        <v>4562</v>
      </c>
      <c r="K24" s="41">
        <f t="shared" si="1"/>
        <v>91.24</v>
      </c>
    </row>
    <row r="25" spans="1:11" x14ac:dyDescent="0.25">
      <c r="A25" s="15" t="s">
        <v>14</v>
      </c>
      <c r="B25" s="16"/>
      <c r="C25" s="56"/>
      <c r="D25" s="12"/>
      <c r="E25" s="35"/>
      <c r="F25" s="18"/>
      <c r="G25" s="12"/>
      <c r="H25" s="12"/>
      <c r="I25" s="66"/>
      <c r="J25" s="39">
        <f t="shared" si="0"/>
        <v>4562</v>
      </c>
      <c r="K25" s="41">
        <f t="shared" si="1"/>
        <v>91.24</v>
      </c>
    </row>
    <row r="26" spans="1:11" x14ac:dyDescent="0.25">
      <c r="A26" s="15" t="s">
        <v>15</v>
      </c>
      <c r="B26" s="16"/>
      <c r="C26" s="56"/>
      <c r="D26" s="12"/>
      <c r="E26" s="35"/>
      <c r="F26" s="18"/>
      <c r="G26" s="12" t="s">
        <v>138</v>
      </c>
      <c r="H26" s="12">
        <v>117</v>
      </c>
      <c r="I26" s="66">
        <v>117</v>
      </c>
      <c r="J26" s="39">
        <f t="shared" si="0"/>
        <v>4445</v>
      </c>
      <c r="K26" s="41">
        <f t="shared" si="1"/>
        <v>88.9</v>
      </c>
    </row>
    <row r="27" spans="1:11" ht="14.4" x14ac:dyDescent="0.3">
      <c r="A27" s="15" t="s">
        <v>16</v>
      </c>
      <c r="B27" s="53"/>
      <c r="C27" s="56"/>
      <c r="D27" s="12"/>
      <c r="E27" s="35"/>
      <c r="F27" s="18"/>
      <c r="G27" s="12"/>
      <c r="H27" s="12"/>
      <c r="I27" s="66"/>
      <c r="J27" s="39">
        <f t="shared" si="0"/>
        <v>4445</v>
      </c>
      <c r="K27" s="41">
        <f t="shared" si="1"/>
        <v>88.9</v>
      </c>
    </row>
    <row r="28" spans="1:11" x14ac:dyDescent="0.25">
      <c r="A28" s="15" t="s">
        <v>17</v>
      </c>
      <c r="B28" s="16"/>
      <c r="C28" s="56"/>
      <c r="D28" s="12"/>
      <c r="E28" s="35"/>
      <c r="F28" s="18"/>
      <c r="G28" s="12"/>
      <c r="H28" s="12"/>
      <c r="I28" s="66"/>
      <c r="J28" s="39">
        <f t="shared" si="0"/>
        <v>4445</v>
      </c>
      <c r="K28" s="41">
        <f t="shared" si="1"/>
        <v>88.9</v>
      </c>
    </row>
    <row r="29" spans="1:11" x14ac:dyDescent="0.25">
      <c r="A29" s="15" t="s">
        <v>18</v>
      </c>
      <c r="B29" s="16" t="s">
        <v>127</v>
      </c>
      <c r="C29" s="56" t="s">
        <v>128</v>
      </c>
      <c r="D29" s="12">
        <v>1140</v>
      </c>
      <c r="E29" s="35">
        <v>1140</v>
      </c>
      <c r="F29" s="18"/>
      <c r="G29" s="12" t="s">
        <v>142</v>
      </c>
      <c r="H29" s="12">
        <v>1732</v>
      </c>
      <c r="I29" s="66">
        <v>1732</v>
      </c>
      <c r="J29" s="39">
        <f t="shared" si="0"/>
        <v>3853</v>
      </c>
      <c r="K29" s="41">
        <f t="shared" si="1"/>
        <v>77.06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 t="shared" si="0"/>
        <v>3853</v>
      </c>
      <c r="K30" s="41">
        <f t="shared" si="1"/>
        <v>77.06</v>
      </c>
    </row>
    <row r="31" spans="1:11" x14ac:dyDescent="0.25">
      <c r="A31" s="15" t="s">
        <v>20</v>
      </c>
      <c r="B31" s="17"/>
      <c r="C31" s="56"/>
      <c r="D31" s="12"/>
      <c r="E31" s="64"/>
      <c r="F31" s="18"/>
      <c r="G31" s="12"/>
      <c r="H31" s="12"/>
      <c r="I31" s="66"/>
      <c r="J31" s="39">
        <f t="shared" si="0"/>
        <v>3853</v>
      </c>
      <c r="K31" s="41">
        <f t="shared" si="1"/>
        <v>77.06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 t="s">
        <v>139</v>
      </c>
      <c r="H32" s="12">
        <v>1022</v>
      </c>
      <c r="I32" s="66">
        <v>1022</v>
      </c>
      <c r="J32" s="39">
        <f t="shared" si="0"/>
        <v>2831</v>
      </c>
      <c r="K32" s="41">
        <f t="shared" si="1"/>
        <v>56.620000000000005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 t="s">
        <v>140</v>
      </c>
      <c r="H33" s="12">
        <v>923</v>
      </c>
      <c r="I33" s="66">
        <v>923</v>
      </c>
      <c r="J33" s="39">
        <f t="shared" si="0"/>
        <v>1908</v>
      </c>
      <c r="K33" s="41">
        <f t="shared" si="1"/>
        <v>38.160000000000004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 t="s">
        <v>141</v>
      </c>
      <c r="H34" s="12">
        <v>769</v>
      </c>
      <c r="I34" s="66">
        <v>769</v>
      </c>
      <c r="J34" s="39">
        <f t="shared" si="0"/>
        <v>1139</v>
      </c>
      <c r="K34" s="41">
        <f t="shared" si="1"/>
        <v>22.78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/>
      <c r="I35" s="66"/>
      <c r="J35" s="39">
        <f t="shared" si="0"/>
        <v>1139</v>
      </c>
      <c r="K35" s="41">
        <f t="shared" si="1"/>
        <v>22.78</v>
      </c>
    </row>
    <row r="36" spans="1:12" ht="13.5" customHeight="1" x14ac:dyDescent="0.25">
      <c r="A36" s="15" t="s">
        <v>25</v>
      </c>
      <c r="B36" s="17" t="s">
        <v>130</v>
      </c>
      <c r="C36" s="56" t="s">
        <v>131</v>
      </c>
      <c r="D36" s="12">
        <v>953</v>
      </c>
      <c r="E36" s="35">
        <v>953</v>
      </c>
      <c r="F36" s="14"/>
      <c r="G36" s="14"/>
      <c r="H36" s="12"/>
      <c r="I36" s="67"/>
      <c r="J36" s="39">
        <f t="shared" si="0"/>
        <v>2092</v>
      </c>
      <c r="K36" s="41">
        <f t="shared" si="1"/>
        <v>41.84</v>
      </c>
    </row>
    <row r="37" spans="1:12" x14ac:dyDescent="0.25">
      <c r="A37" s="15" t="s">
        <v>26</v>
      </c>
      <c r="B37" s="17" t="s">
        <v>132</v>
      </c>
      <c r="C37" s="56" t="s">
        <v>133</v>
      </c>
      <c r="D37" s="12">
        <v>922</v>
      </c>
      <c r="E37" s="35">
        <v>922</v>
      </c>
      <c r="F37" s="14"/>
      <c r="G37" s="12"/>
      <c r="H37" s="12"/>
      <c r="I37" s="66"/>
      <c r="J37" s="39">
        <f t="shared" si="0"/>
        <v>3014</v>
      </c>
      <c r="K37" s="41">
        <f t="shared" si="1"/>
        <v>60.28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/>
      <c r="I38" s="66"/>
      <c r="J38" s="39">
        <f t="shared" si="0"/>
        <v>3014</v>
      </c>
      <c r="K38" s="41">
        <f t="shared" si="1"/>
        <v>60.28</v>
      </c>
    </row>
    <row r="39" spans="1:12" x14ac:dyDescent="0.25">
      <c r="A39" s="15" t="s">
        <v>28</v>
      </c>
      <c r="B39" s="56"/>
      <c r="C39" s="56"/>
      <c r="D39" s="12"/>
      <c r="E39" s="35"/>
      <c r="F39" s="18"/>
      <c r="G39" s="12"/>
      <c r="H39" s="12"/>
      <c r="I39" s="66"/>
      <c r="J39" s="39">
        <f t="shared" si="0"/>
        <v>3014</v>
      </c>
      <c r="K39" s="41">
        <f t="shared" si="1"/>
        <v>60.28</v>
      </c>
    </row>
    <row r="40" spans="1:12" x14ac:dyDescent="0.25">
      <c r="A40" s="15" t="s">
        <v>29</v>
      </c>
      <c r="B40" s="17"/>
      <c r="C40" s="56"/>
      <c r="D40" s="12"/>
      <c r="E40" s="35"/>
      <c r="F40" s="18"/>
      <c r="G40" s="12"/>
      <c r="H40" s="12"/>
      <c r="I40" s="66"/>
      <c r="J40" s="39">
        <f>J39+E40-I40</f>
        <v>3014</v>
      </c>
      <c r="K40" s="41">
        <f t="shared" si="1"/>
        <v>60.28</v>
      </c>
    </row>
    <row r="41" spans="1:12" ht="14.4" thickBot="1" x14ac:dyDescent="0.3">
      <c r="A41" s="34" t="s">
        <v>30</v>
      </c>
      <c r="B41" s="36"/>
      <c r="C41" s="57"/>
      <c r="D41" s="33"/>
      <c r="E41" s="35"/>
      <c r="F41" s="37"/>
      <c r="G41" s="33"/>
      <c r="H41" s="33"/>
      <c r="I41" s="68"/>
      <c r="J41" s="39"/>
      <c r="K41" s="41"/>
    </row>
    <row r="42" spans="1:12" ht="15" thickBot="1" x14ac:dyDescent="0.35">
      <c r="A42" s="168"/>
      <c r="B42" s="169"/>
      <c r="C42" s="19" t="s">
        <v>31</v>
      </c>
      <c r="D42" s="20">
        <f>SUM(D11:D41)</f>
        <v>6507</v>
      </c>
      <c r="E42" s="20">
        <f>SUM(E11:E41)</f>
        <v>6507</v>
      </c>
      <c r="F42" s="21">
        <v>0</v>
      </c>
      <c r="G42" s="21"/>
      <c r="H42" s="20">
        <f>SUM(H11:H41)</f>
        <v>6522</v>
      </c>
      <c r="I42" s="20">
        <f>SUM(I11:I41)</f>
        <v>6522</v>
      </c>
      <c r="J42" s="69">
        <f>AVERAGE(J11:J41)</f>
        <v>3856.6333333333332</v>
      </c>
      <c r="K42" s="32">
        <f>SUM(K11:K41)</f>
        <v>2313.9800000000005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E42</f>
        <v>6507</v>
      </c>
      <c r="I45" s="59">
        <v>0.28000000000000003</v>
      </c>
      <c r="J45" s="48">
        <f>H45*I45</f>
        <v>1821.9600000000003</v>
      </c>
      <c r="K45" s="50">
        <f>kurs*J45</f>
        <v>213597.11620800005</v>
      </c>
    </row>
    <row r="46" spans="1:12" x14ac:dyDescent="0.25">
      <c r="E46" s="42" t="s">
        <v>54</v>
      </c>
      <c r="F46" s="43"/>
      <c r="G46" s="43"/>
      <c r="H46" s="44">
        <f>I42</f>
        <v>6522</v>
      </c>
      <c r="I46" s="59">
        <v>0.2</v>
      </c>
      <c r="J46" s="48">
        <f>H46*I46</f>
        <v>1304.4000000000001</v>
      </c>
      <c r="K46" s="50">
        <f t="shared" ref="K46" si="2">kurs*J46</f>
        <v>152921.07312000002</v>
      </c>
      <c r="L46" s="61"/>
    </row>
    <row r="47" spans="1:12" x14ac:dyDescent="0.25">
      <c r="E47" s="42"/>
      <c r="F47" s="43"/>
      <c r="G47" s="43"/>
      <c r="H47" s="44"/>
      <c r="I47" s="59"/>
      <c r="J47" s="48"/>
      <c r="K47" s="50"/>
    </row>
    <row r="48" spans="1:12" x14ac:dyDescent="0.25">
      <c r="E48" s="45"/>
      <c r="F48" s="46"/>
      <c r="G48" s="46"/>
      <c r="H48" s="47"/>
      <c r="I48" s="60"/>
      <c r="J48" s="48"/>
      <c r="K48" s="50"/>
    </row>
    <row r="49" spans="3:12" x14ac:dyDescent="0.25">
      <c r="E49" s="45"/>
      <c r="F49" s="46"/>
      <c r="G49" s="46"/>
      <c r="H49" s="47"/>
      <c r="I49" s="60"/>
      <c r="J49" s="48"/>
      <c r="K49" s="50"/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2313.9800000000005</v>
      </c>
      <c r="K52" s="50">
        <f>kurs*J52</f>
        <v>271278.98250400007</v>
      </c>
      <c r="L52" s="61"/>
    </row>
    <row r="53" spans="3:12" x14ac:dyDescent="0.25">
      <c r="E53" s="22"/>
      <c r="I53" t="s">
        <v>56</v>
      </c>
      <c r="J53" s="52">
        <f>SUM(J45:J52)</f>
        <v>5440.3400000000011</v>
      </c>
      <c r="K53" s="51">
        <f>SUM(K45:K52)</f>
        <v>637797.17183200014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A2F8-5F82-45ED-92AF-07AE6DA3BE82}">
  <dimension ref="A1:L58"/>
  <sheetViews>
    <sheetView view="pageBreakPreview" topLeftCell="A16" zoomScaleNormal="100" zoomScaleSheetLayoutView="100" workbookViewId="0">
      <selection activeCell="C25" sqref="C25"/>
    </sheetView>
  </sheetViews>
  <sheetFormatPr defaultRowHeight="13.8" x14ac:dyDescent="0.25"/>
  <cols>
    <col min="1" max="1" width="17.5" customWidth="1"/>
    <col min="2" max="2" width="22.09765625" bestFit="1" customWidth="1"/>
    <col min="3" max="3" width="32.19921875" style="2" bestFit="1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100</v>
      </c>
      <c r="H3" s="4"/>
      <c r="I3" s="4"/>
    </row>
    <row r="4" spans="1:11" x14ac:dyDescent="0.25">
      <c r="B4" s="2"/>
      <c r="C4" s="6"/>
      <c r="F4" s="3" t="s">
        <v>101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x14ac:dyDescent="0.25">
      <c r="A6" t="s">
        <v>41</v>
      </c>
      <c r="B6" s="6"/>
      <c r="C6" s="74">
        <v>117.2821</v>
      </c>
      <c r="F6" t="s">
        <v>42</v>
      </c>
      <c r="G6" s="77" t="s">
        <v>120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47</v>
      </c>
      <c r="E9" s="29" t="s">
        <v>48</v>
      </c>
      <c r="F9" s="30" t="s">
        <v>49</v>
      </c>
      <c r="G9" s="78" t="s">
        <v>50</v>
      </c>
      <c r="H9" s="29" t="s">
        <v>47</v>
      </c>
      <c r="I9" s="71" t="s">
        <v>48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1600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D10+E11-I11</f>
        <v>1600</v>
      </c>
      <c r="K11" s="41">
        <f>0.02*J11</f>
        <v>32</v>
      </c>
    </row>
    <row r="12" spans="1:11" ht="14.25" customHeight="1" x14ac:dyDescent="0.25">
      <c r="A12" s="15" t="s">
        <v>1</v>
      </c>
      <c r="B12" s="16"/>
      <c r="C12" s="31"/>
      <c r="D12" s="12"/>
      <c r="E12" s="35"/>
      <c r="F12" s="14"/>
      <c r="G12" s="12"/>
      <c r="H12" s="12"/>
      <c r="I12" s="65"/>
      <c r="J12" s="39">
        <f t="shared" ref="J12:J39" si="0">J11+E12-I12</f>
        <v>1600</v>
      </c>
      <c r="K12" s="41">
        <f t="shared" ref="K12:K40" si="1">0.02*J12</f>
        <v>32</v>
      </c>
    </row>
    <row r="13" spans="1:11" ht="13.5" customHeight="1" x14ac:dyDescent="0.25">
      <c r="A13" s="15" t="s">
        <v>2</v>
      </c>
      <c r="B13" s="11" t="s">
        <v>102</v>
      </c>
      <c r="C13" s="56" t="s">
        <v>103</v>
      </c>
      <c r="D13" s="56">
        <v>159</v>
      </c>
      <c r="E13" s="13">
        <v>159</v>
      </c>
      <c r="F13" s="14"/>
      <c r="G13" s="12"/>
      <c r="H13" s="12"/>
      <c r="I13" s="65"/>
      <c r="J13" s="39">
        <f t="shared" si="0"/>
        <v>1759</v>
      </c>
      <c r="K13" s="41">
        <f t="shared" si="1"/>
        <v>35.18</v>
      </c>
    </row>
    <row r="14" spans="1:11" x14ac:dyDescent="0.25">
      <c r="A14" s="15" t="s">
        <v>3</v>
      </c>
      <c r="B14" s="16"/>
      <c r="C14" s="56"/>
      <c r="D14" s="12"/>
      <c r="E14" s="35"/>
      <c r="F14" s="63"/>
      <c r="G14" s="12" t="s">
        <v>116</v>
      </c>
      <c r="H14" s="12">
        <v>961</v>
      </c>
      <c r="I14" s="65">
        <v>961</v>
      </c>
      <c r="J14" s="39">
        <f t="shared" si="0"/>
        <v>798</v>
      </c>
      <c r="K14" s="41">
        <f t="shared" si="1"/>
        <v>15.96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/>
      <c r="J15" s="39">
        <f t="shared" si="0"/>
        <v>798</v>
      </c>
      <c r="K15" s="41">
        <f t="shared" si="1"/>
        <v>15.96</v>
      </c>
    </row>
    <row r="16" spans="1:11" x14ac:dyDescent="0.25">
      <c r="A16" s="15" t="s">
        <v>5</v>
      </c>
      <c r="B16" s="16"/>
      <c r="C16" s="56"/>
      <c r="D16" s="12"/>
      <c r="E16" s="35"/>
      <c r="F16" s="14"/>
      <c r="G16" s="12"/>
      <c r="H16" s="72"/>
      <c r="I16" s="65"/>
      <c r="J16" s="39">
        <f t="shared" si="0"/>
        <v>798</v>
      </c>
      <c r="K16" s="41">
        <f t="shared" si="1"/>
        <v>15.96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/>
      <c r="H17" s="12"/>
      <c r="I17" s="66"/>
      <c r="J17" s="39">
        <f t="shared" si="0"/>
        <v>798</v>
      </c>
      <c r="K17" s="41">
        <f t="shared" si="1"/>
        <v>15.96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/>
      <c r="I18" s="66"/>
      <c r="J18" s="39">
        <f t="shared" si="0"/>
        <v>798</v>
      </c>
      <c r="K18" s="41">
        <f t="shared" si="1"/>
        <v>15.96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0"/>
        <v>798</v>
      </c>
      <c r="K19" s="41">
        <f t="shared" si="1"/>
        <v>15.96</v>
      </c>
    </row>
    <row r="20" spans="1:11" x14ac:dyDescent="0.25">
      <c r="A20" s="15" t="s">
        <v>9</v>
      </c>
      <c r="B20" s="16"/>
      <c r="C20" s="56"/>
      <c r="D20" s="12"/>
      <c r="E20" s="35"/>
      <c r="F20" s="18"/>
      <c r="H20" s="12"/>
      <c r="I20" s="66"/>
      <c r="J20" s="39">
        <f t="shared" si="0"/>
        <v>798</v>
      </c>
      <c r="K20" s="41">
        <f t="shared" si="1"/>
        <v>15.96</v>
      </c>
    </row>
    <row r="21" spans="1:11" x14ac:dyDescent="0.25">
      <c r="A21" s="15" t="s">
        <v>10</v>
      </c>
      <c r="B21" s="16" t="s">
        <v>104</v>
      </c>
      <c r="C21" s="56" t="s">
        <v>105</v>
      </c>
      <c r="D21" s="12">
        <v>512</v>
      </c>
      <c r="E21" s="35">
        <v>512</v>
      </c>
      <c r="F21" s="18"/>
      <c r="G21" s="12"/>
      <c r="H21" s="12"/>
      <c r="I21" s="66"/>
      <c r="J21" s="39">
        <f t="shared" si="0"/>
        <v>1310</v>
      </c>
      <c r="K21" s="41">
        <f t="shared" si="1"/>
        <v>26.2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/>
      <c r="H22" s="12"/>
      <c r="I22" s="66"/>
      <c r="J22" s="39">
        <f t="shared" si="0"/>
        <v>1310</v>
      </c>
      <c r="K22" s="41">
        <f t="shared" si="1"/>
        <v>26.2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H23" s="12"/>
      <c r="I23" s="66"/>
      <c r="J23" s="39">
        <f t="shared" si="0"/>
        <v>1310</v>
      </c>
      <c r="K23" s="41">
        <f t="shared" si="1"/>
        <v>26.2</v>
      </c>
    </row>
    <row r="24" spans="1:11" x14ac:dyDescent="0.25">
      <c r="A24" s="15" t="s">
        <v>13</v>
      </c>
      <c r="B24" s="11"/>
      <c r="C24" s="56"/>
      <c r="D24" s="12"/>
      <c r="E24" s="35"/>
      <c r="F24" s="18"/>
      <c r="G24" s="12"/>
      <c r="H24" s="12"/>
      <c r="I24" s="66"/>
      <c r="J24" s="39">
        <f t="shared" si="0"/>
        <v>1310</v>
      </c>
      <c r="K24" s="41">
        <f t="shared" si="1"/>
        <v>26.2</v>
      </c>
    </row>
    <row r="25" spans="1:11" x14ac:dyDescent="0.25">
      <c r="A25" s="15" t="s">
        <v>14</v>
      </c>
      <c r="B25" s="16" t="s">
        <v>106</v>
      </c>
      <c r="C25" s="56" t="s">
        <v>107</v>
      </c>
      <c r="D25" s="12">
        <v>85</v>
      </c>
      <c r="E25" s="35">
        <v>85</v>
      </c>
      <c r="F25" s="18"/>
      <c r="G25" s="12" t="s">
        <v>117</v>
      </c>
      <c r="H25" s="12">
        <v>408</v>
      </c>
      <c r="I25" s="66">
        <v>408</v>
      </c>
      <c r="J25" s="39">
        <f t="shared" si="0"/>
        <v>987</v>
      </c>
      <c r="K25" s="41">
        <f t="shared" si="1"/>
        <v>19.740000000000002</v>
      </c>
    </row>
    <row r="26" spans="1:11" x14ac:dyDescent="0.25">
      <c r="A26" s="15" t="s">
        <v>15</v>
      </c>
      <c r="B26" s="16"/>
      <c r="C26" s="56"/>
      <c r="D26" s="12"/>
      <c r="E26" s="35"/>
      <c r="F26" s="18"/>
      <c r="G26" s="12"/>
      <c r="H26" s="12"/>
      <c r="I26" s="66"/>
      <c r="J26" s="39">
        <f t="shared" si="0"/>
        <v>987</v>
      </c>
      <c r="K26" s="41">
        <f t="shared" si="1"/>
        <v>19.740000000000002</v>
      </c>
    </row>
    <row r="27" spans="1:11" ht="14.4" x14ac:dyDescent="0.3">
      <c r="A27" s="15" t="s">
        <v>16</v>
      </c>
      <c r="B27" s="53"/>
      <c r="C27" s="56"/>
      <c r="D27" s="12"/>
      <c r="E27" s="35"/>
      <c r="F27" s="18"/>
      <c r="G27" s="12"/>
      <c r="H27" s="12"/>
      <c r="I27" s="66"/>
      <c r="J27" s="39">
        <f t="shared" si="0"/>
        <v>987</v>
      </c>
      <c r="K27" s="41">
        <f t="shared" si="1"/>
        <v>19.740000000000002</v>
      </c>
    </row>
    <row r="28" spans="1:11" x14ac:dyDescent="0.25">
      <c r="A28" s="15" t="s">
        <v>17</v>
      </c>
      <c r="B28" s="16"/>
      <c r="C28" s="56"/>
      <c r="D28" s="12"/>
      <c r="E28" s="35"/>
      <c r="F28" s="18"/>
      <c r="G28" s="12" t="s">
        <v>118</v>
      </c>
      <c r="H28" s="12">
        <v>282</v>
      </c>
      <c r="I28" s="66">
        <v>282</v>
      </c>
      <c r="J28" s="39">
        <f t="shared" si="0"/>
        <v>705</v>
      </c>
      <c r="K28" s="41">
        <f t="shared" si="1"/>
        <v>14.1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/>
      <c r="J29" s="39">
        <f t="shared" si="0"/>
        <v>705</v>
      </c>
      <c r="K29" s="41">
        <f t="shared" si="1"/>
        <v>14.1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 t="shared" si="0"/>
        <v>705</v>
      </c>
      <c r="K30" s="41">
        <f t="shared" si="1"/>
        <v>14.1</v>
      </c>
    </row>
    <row r="31" spans="1:11" x14ac:dyDescent="0.25">
      <c r="A31" s="15" t="s">
        <v>20</v>
      </c>
      <c r="B31" s="17"/>
      <c r="C31" s="56"/>
      <c r="D31" s="12"/>
      <c r="E31" s="64"/>
      <c r="F31" s="18"/>
      <c r="G31" s="12"/>
      <c r="H31" s="12"/>
      <c r="I31" s="66"/>
      <c r="J31" s="39">
        <f t="shared" si="0"/>
        <v>705</v>
      </c>
      <c r="K31" s="41">
        <f t="shared" si="1"/>
        <v>14.1</v>
      </c>
    </row>
    <row r="32" spans="1:11" x14ac:dyDescent="0.25">
      <c r="A32" s="15" t="s">
        <v>21</v>
      </c>
      <c r="B32" s="17" t="s">
        <v>108</v>
      </c>
      <c r="C32" s="58" t="s">
        <v>109</v>
      </c>
      <c r="D32" s="12">
        <v>865</v>
      </c>
      <c r="E32" s="35">
        <v>865</v>
      </c>
      <c r="F32" s="18"/>
      <c r="G32" s="75"/>
      <c r="H32" s="12"/>
      <c r="I32" s="66"/>
      <c r="J32" s="39">
        <f t="shared" si="0"/>
        <v>1570</v>
      </c>
      <c r="K32" s="41">
        <f t="shared" si="1"/>
        <v>31.400000000000002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0"/>
        <v>1570</v>
      </c>
      <c r="K33" s="41">
        <f t="shared" si="1"/>
        <v>31.400000000000002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0"/>
        <v>1570</v>
      </c>
      <c r="K34" s="41">
        <f t="shared" si="1"/>
        <v>31.400000000000002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/>
      <c r="I35" s="66"/>
      <c r="J35" s="39">
        <f t="shared" si="0"/>
        <v>1570</v>
      </c>
      <c r="K35" s="41">
        <f t="shared" si="1"/>
        <v>31.400000000000002</v>
      </c>
    </row>
    <row r="36" spans="1:12" ht="13.5" customHeight="1" x14ac:dyDescent="0.25">
      <c r="A36" s="15" t="s">
        <v>25</v>
      </c>
      <c r="B36" s="17" t="s">
        <v>110</v>
      </c>
      <c r="C36" s="56" t="s">
        <v>111</v>
      </c>
      <c r="D36" s="12">
        <v>279</v>
      </c>
      <c r="E36" s="35">
        <v>279</v>
      </c>
      <c r="F36" s="14"/>
      <c r="G36" s="14" t="s">
        <v>119</v>
      </c>
      <c r="H36" s="12">
        <f>323+479</f>
        <v>802</v>
      </c>
      <c r="I36" s="67">
        <v>802</v>
      </c>
      <c r="J36" s="39">
        <f t="shared" si="0"/>
        <v>1047</v>
      </c>
      <c r="K36" s="41">
        <f t="shared" si="1"/>
        <v>20.94</v>
      </c>
    </row>
    <row r="37" spans="1:12" x14ac:dyDescent="0.25">
      <c r="A37" s="15" t="s">
        <v>26</v>
      </c>
      <c r="B37" s="17"/>
      <c r="C37" s="56"/>
      <c r="D37" s="12"/>
      <c r="E37" s="35"/>
      <c r="F37" s="14"/>
      <c r="G37" s="12"/>
      <c r="H37" s="12"/>
      <c r="I37" s="66"/>
      <c r="J37" s="39">
        <f t="shared" si="0"/>
        <v>1047</v>
      </c>
      <c r="K37" s="41">
        <f t="shared" si="1"/>
        <v>20.94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/>
      <c r="I38" s="66"/>
      <c r="J38" s="39">
        <f t="shared" si="0"/>
        <v>1047</v>
      </c>
      <c r="K38" s="41">
        <f t="shared" si="1"/>
        <v>20.94</v>
      </c>
    </row>
    <row r="39" spans="1:12" x14ac:dyDescent="0.25">
      <c r="A39" s="15" t="s">
        <v>28</v>
      </c>
      <c r="B39" s="56" t="s">
        <v>112</v>
      </c>
      <c r="C39" s="56" t="s">
        <v>113</v>
      </c>
      <c r="D39" s="12">
        <v>1189</v>
      </c>
      <c r="E39" s="35">
        <v>1189</v>
      </c>
      <c r="F39" s="18"/>
      <c r="G39" s="12"/>
      <c r="H39" s="12"/>
      <c r="I39" s="66"/>
      <c r="J39" s="39">
        <f t="shared" si="0"/>
        <v>2236</v>
      </c>
      <c r="K39" s="41">
        <f t="shared" si="1"/>
        <v>44.72</v>
      </c>
    </row>
    <row r="40" spans="1:12" x14ac:dyDescent="0.25">
      <c r="A40" s="15" t="s">
        <v>29</v>
      </c>
      <c r="B40" s="17" t="s">
        <v>114</v>
      </c>
      <c r="C40" s="56" t="s">
        <v>115</v>
      </c>
      <c r="D40" s="12">
        <v>793</v>
      </c>
      <c r="E40" s="35">
        <v>793</v>
      </c>
      <c r="F40" s="18"/>
      <c r="G40" s="12"/>
      <c r="H40" s="12"/>
      <c r="I40" s="66"/>
      <c r="J40" s="39">
        <f>J39+E40-I40</f>
        <v>3029</v>
      </c>
      <c r="K40" s="41">
        <f t="shared" si="1"/>
        <v>60.58</v>
      </c>
    </row>
    <row r="41" spans="1:12" ht="14.4" thickBot="1" x14ac:dyDescent="0.3">
      <c r="A41" s="34" t="s">
        <v>30</v>
      </c>
      <c r="B41" s="36"/>
      <c r="C41" s="57"/>
      <c r="D41" s="33"/>
      <c r="E41" s="35"/>
      <c r="F41" s="37"/>
      <c r="G41" s="33"/>
      <c r="H41" s="33"/>
      <c r="I41" s="68"/>
      <c r="J41" s="39">
        <f>J40+E41-I41</f>
        <v>3029</v>
      </c>
      <c r="K41" s="41">
        <f t="shared" ref="K41" si="2">0.02*J41</f>
        <v>60.58</v>
      </c>
    </row>
    <row r="42" spans="1:12" ht="15" thickBot="1" x14ac:dyDescent="0.35">
      <c r="A42" s="168"/>
      <c r="B42" s="169"/>
      <c r="C42" s="19" t="s">
        <v>31</v>
      </c>
      <c r="D42" s="20">
        <f>SUM(D11:D41)</f>
        <v>3882</v>
      </c>
      <c r="E42" s="20">
        <f>SUM(E11:E41)</f>
        <v>3882</v>
      </c>
      <c r="F42" s="21">
        <v>0</v>
      </c>
      <c r="G42" s="21"/>
      <c r="H42" s="20">
        <f>SUM(H11:H41)</f>
        <v>2453</v>
      </c>
      <c r="I42" s="20">
        <f>SUM(I11:I41)</f>
        <v>2453</v>
      </c>
      <c r="J42" s="69">
        <f>AVERAGE(J11:J41)</f>
        <v>1267.1290322580646</v>
      </c>
      <c r="K42" s="32">
        <f>SUM(K11:K41)</f>
        <v>785.62000000000035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E42</f>
        <v>3882</v>
      </c>
      <c r="I45" s="59">
        <v>0.28000000000000003</v>
      </c>
      <c r="J45" s="48">
        <f>H45*I45</f>
        <v>1086.96</v>
      </c>
      <c r="K45" s="50">
        <f>kurs*J45</f>
        <v>127480.95141600001</v>
      </c>
    </row>
    <row r="46" spans="1:12" x14ac:dyDescent="0.25">
      <c r="E46" s="42" t="s">
        <v>54</v>
      </c>
      <c r="F46" s="43"/>
      <c r="G46" s="43"/>
      <c r="H46" s="44">
        <f>I42</f>
        <v>2453</v>
      </c>
      <c r="I46" s="59">
        <v>0.2</v>
      </c>
      <c r="J46" s="48">
        <f>H46*I46</f>
        <v>490.6</v>
      </c>
      <c r="K46" s="50">
        <f t="shared" ref="K46" si="3">kurs*J46</f>
        <v>57538.598260000006</v>
      </c>
      <c r="L46" s="61"/>
    </row>
    <row r="47" spans="1:12" x14ac:dyDescent="0.25">
      <c r="E47" s="42"/>
      <c r="F47" s="43"/>
      <c r="G47" s="43"/>
      <c r="H47" s="44"/>
      <c r="I47" s="59"/>
      <c r="J47" s="48"/>
      <c r="K47" s="50"/>
    </row>
    <row r="48" spans="1:12" x14ac:dyDescent="0.25">
      <c r="E48" s="45"/>
      <c r="F48" s="46"/>
      <c r="G48" s="46"/>
      <c r="H48" s="47"/>
      <c r="I48" s="60"/>
      <c r="J48" s="48"/>
      <c r="K48" s="50"/>
    </row>
    <row r="49" spans="3:12" x14ac:dyDescent="0.25">
      <c r="E49" s="45"/>
      <c r="F49" s="46"/>
      <c r="G49" s="46"/>
      <c r="H49" s="47"/>
      <c r="I49" s="60"/>
      <c r="J49" s="48"/>
      <c r="K49" s="50"/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785.62000000000035</v>
      </c>
      <c r="K52" s="50">
        <f>kurs*J52</f>
        <v>92139.163402000035</v>
      </c>
      <c r="L52" s="61"/>
    </row>
    <row r="53" spans="3:12" x14ac:dyDescent="0.25">
      <c r="E53" s="22"/>
      <c r="I53" t="s">
        <v>56</v>
      </c>
      <c r="J53" s="52">
        <f>SUM(J45:J52)</f>
        <v>2363.1800000000003</v>
      </c>
      <c r="K53" s="51">
        <f>SUM(K45:K52)</f>
        <v>277158.71307800006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0FBE-1E3D-44EE-9A65-BC4DBB3CD62F}">
  <dimension ref="A1:L58"/>
  <sheetViews>
    <sheetView view="pageBreakPreview" topLeftCell="A7" zoomScaleNormal="100" zoomScaleSheetLayoutView="100" workbookViewId="0">
      <selection activeCell="G6" sqref="G6"/>
    </sheetView>
  </sheetViews>
  <sheetFormatPr defaultRowHeight="13.8" x14ac:dyDescent="0.25"/>
  <cols>
    <col min="1" max="1" width="17.5" customWidth="1"/>
    <col min="2" max="2" width="22.09765625" bestFit="1" customWidth="1"/>
    <col min="3" max="3" width="30.5" style="2" bestFit="1" customWidth="1"/>
    <col min="4" max="4" width="10" customWidth="1"/>
    <col min="5" max="5" width="10.5" customWidth="1"/>
    <col min="6" max="6" width="11.8984375" customWidth="1"/>
    <col min="7" max="7" width="21.5976562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90</v>
      </c>
      <c r="H3" s="4"/>
      <c r="I3" s="4"/>
    </row>
    <row r="4" spans="1:11" x14ac:dyDescent="0.25">
      <c r="B4" s="2"/>
      <c r="C4" s="6"/>
      <c r="F4" s="3" t="s">
        <v>91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x14ac:dyDescent="0.25">
      <c r="A6" t="s">
        <v>41</v>
      </c>
      <c r="B6" s="6"/>
      <c r="C6" s="74">
        <v>117.2923</v>
      </c>
      <c r="F6" t="s">
        <v>42</v>
      </c>
      <c r="G6" s="77" t="s">
        <v>99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47</v>
      </c>
      <c r="E9" s="29" t="s">
        <v>48</v>
      </c>
      <c r="F9" s="30" t="s">
        <v>49</v>
      </c>
      <c r="G9" s="54" t="s">
        <v>50</v>
      </c>
      <c r="H9" s="29" t="s">
        <v>47</v>
      </c>
      <c r="I9" s="71" t="s">
        <v>48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2850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D10+E11-I11</f>
        <v>2850</v>
      </c>
      <c r="K11" s="41">
        <f>0.02*J11</f>
        <v>57</v>
      </c>
    </row>
    <row r="12" spans="1:11" ht="14.25" customHeight="1" x14ac:dyDescent="0.25">
      <c r="A12" s="15" t="s">
        <v>1</v>
      </c>
      <c r="B12" s="16"/>
      <c r="C12" s="31"/>
      <c r="D12" s="12"/>
      <c r="E12" s="35"/>
      <c r="F12" s="14"/>
      <c r="G12" s="12"/>
      <c r="H12" s="12"/>
      <c r="I12" s="65"/>
      <c r="J12" s="39">
        <f t="shared" ref="J12:J39" si="0">J11+E12-I12</f>
        <v>2850</v>
      </c>
      <c r="K12" s="41">
        <f t="shared" ref="K12:K40" si="1">0.02*J12</f>
        <v>57</v>
      </c>
    </row>
    <row r="13" spans="1:11" ht="13.5" customHeight="1" x14ac:dyDescent="0.25">
      <c r="A13" s="15" t="s">
        <v>2</v>
      </c>
      <c r="B13" s="11" t="s">
        <v>78</v>
      </c>
      <c r="C13" s="56" t="s">
        <v>79</v>
      </c>
      <c r="D13" s="56"/>
      <c r="E13" s="13">
        <v>124</v>
      </c>
      <c r="F13" s="14"/>
      <c r="G13" s="12"/>
      <c r="H13" s="12"/>
      <c r="I13" s="65"/>
      <c r="J13" s="39">
        <f t="shared" si="0"/>
        <v>2974</v>
      </c>
      <c r="K13" s="41">
        <f t="shared" si="1"/>
        <v>59.480000000000004</v>
      </c>
    </row>
    <row r="14" spans="1:11" x14ac:dyDescent="0.25">
      <c r="A14" s="15" t="s">
        <v>3</v>
      </c>
      <c r="B14" s="16" t="s">
        <v>80</v>
      </c>
      <c r="C14" s="56" t="s">
        <v>81</v>
      </c>
      <c r="D14" s="12"/>
      <c r="E14" s="35">
        <v>483</v>
      </c>
      <c r="F14" s="63"/>
      <c r="G14" s="12"/>
      <c r="H14" s="12"/>
      <c r="I14" s="65"/>
      <c r="J14" s="39">
        <f t="shared" si="0"/>
        <v>3457</v>
      </c>
      <c r="K14" s="41">
        <f t="shared" si="1"/>
        <v>69.14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/>
      <c r="J15" s="39">
        <f t="shared" si="0"/>
        <v>3457</v>
      </c>
      <c r="K15" s="41">
        <f t="shared" si="1"/>
        <v>69.14</v>
      </c>
    </row>
    <row r="16" spans="1:11" x14ac:dyDescent="0.25">
      <c r="A16" s="15" t="s">
        <v>5</v>
      </c>
      <c r="B16" s="16" t="s">
        <v>82</v>
      </c>
      <c r="C16" s="56" t="s">
        <v>83</v>
      </c>
      <c r="D16" s="12"/>
      <c r="E16" s="35">
        <v>602</v>
      </c>
      <c r="F16" s="14"/>
      <c r="G16" s="12" t="s">
        <v>92</v>
      </c>
      <c r="H16" s="72"/>
      <c r="I16" s="65">
        <v>200</v>
      </c>
      <c r="J16" s="39">
        <f t="shared" si="0"/>
        <v>3859</v>
      </c>
      <c r="K16" s="41">
        <f t="shared" si="1"/>
        <v>77.180000000000007</v>
      </c>
    </row>
    <row r="17" spans="1:11" x14ac:dyDescent="0.25">
      <c r="A17" s="15" t="s">
        <v>6</v>
      </c>
      <c r="B17" s="16" t="s">
        <v>84</v>
      </c>
      <c r="C17" s="56" t="s">
        <v>85</v>
      </c>
      <c r="D17" s="12"/>
      <c r="E17" s="35">
        <v>99</v>
      </c>
      <c r="F17" s="18"/>
      <c r="G17" s="12"/>
      <c r="H17" s="12"/>
      <c r="I17" s="66"/>
      <c r="J17" s="39">
        <f t="shared" si="0"/>
        <v>3958</v>
      </c>
      <c r="K17" s="41">
        <f t="shared" si="1"/>
        <v>79.16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/>
      <c r="I18" s="66"/>
      <c r="J18" s="39">
        <f t="shared" si="0"/>
        <v>3958</v>
      </c>
      <c r="K18" s="41">
        <f t="shared" si="1"/>
        <v>79.16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0"/>
        <v>3958</v>
      </c>
      <c r="K19" s="41">
        <f t="shared" si="1"/>
        <v>79.16</v>
      </c>
    </row>
    <row r="20" spans="1:11" x14ac:dyDescent="0.25">
      <c r="A20" s="15" t="s">
        <v>9</v>
      </c>
      <c r="B20" s="16" t="s">
        <v>86</v>
      </c>
      <c r="C20" s="56" t="s">
        <v>87</v>
      </c>
      <c r="D20" s="12"/>
      <c r="E20" s="35">
        <v>208</v>
      </c>
      <c r="F20" s="18"/>
      <c r="G20" t="s">
        <v>93</v>
      </c>
      <c r="H20" s="12"/>
      <c r="I20" s="66">
        <v>1700</v>
      </c>
      <c r="J20" s="39">
        <f t="shared" si="0"/>
        <v>2466</v>
      </c>
      <c r="K20" s="41">
        <f t="shared" si="1"/>
        <v>49.32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 t="s">
        <v>94</v>
      </c>
      <c r="H21" s="12"/>
      <c r="I21" s="66">
        <v>645</v>
      </c>
      <c r="J21" s="39">
        <f t="shared" si="0"/>
        <v>1821</v>
      </c>
      <c r="K21" s="41">
        <f t="shared" si="1"/>
        <v>36.42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 t="s">
        <v>95</v>
      </c>
      <c r="H22" s="12"/>
      <c r="I22" s="66">
        <v>557</v>
      </c>
      <c r="J22" s="39">
        <f t="shared" si="0"/>
        <v>1264</v>
      </c>
      <c r="K22" s="41">
        <f t="shared" si="1"/>
        <v>25.28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G23" t="s">
        <v>96</v>
      </c>
      <c r="H23" s="12"/>
      <c r="I23" s="66">
        <v>526</v>
      </c>
      <c r="J23" s="39">
        <f t="shared" si="0"/>
        <v>738</v>
      </c>
      <c r="K23" s="41">
        <f t="shared" si="1"/>
        <v>14.76</v>
      </c>
    </row>
    <row r="24" spans="1:11" x14ac:dyDescent="0.25">
      <c r="A24" s="15" t="s">
        <v>13</v>
      </c>
      <c r="B24" s="11"/>
      <c r="C24" s="56"/>
      <c r="D24" s="12"/>
      <c r="E24" s="35"/>
      <c r="F24" s="18"/>
      <c r="G24" s="12"/>
      <c r="H24" s="12"/>
      <c r="I24" s="66"/>
      <c r="J24" s="39">
        <f t="shared" si="0"/>
        <v>738</v>
      </c>
      <c r="K24" s="41">
        <f t="shared" si="1"/>
        <v>14.76</v>
      </c>
    </row>
    <row r="25" spans="1:11" x14ac:dyDescent="0.25">
      <c r="A25" s="15" t="s">
        <v>14</v>
      </c>
      <c r="B25" s="16"/>
      <c r="C25" s="56"/>
      <c r="D25" s="12"/>
      <c r="E25" s="35"/>
      <c r="F25" s="18"/>
      <c r="G25" s="12"/>
      <c r="H25" s="12"/>
      <c r="I25" s="66"/>
      <c r="J25" s="39">
        <f t="shared" si="0"/>
        <v>738</v>
      </c>
      <c r="K25" s="41">
        <f t="shared" si="1"/>
        <v>14.76</v>
      </c>
    </row>
    <row r="26" spans="1:11" x14ac:dyDescent="0.25">
      <c r="A26" s="15" t="s">
        <v>15</v>
      </c>
      <c r="B26" s="16"/>
      <c r="C26" s="56"/>
      <c r="D26" s="12"/>
      <c r="E26" s="35"/>
      <c r="F26" s="18"/>
      <c r="G26" s="12"/>
      <c r="H26" s="12"/>
      <c r="I26" s="66"/>
      <c r="J26" s="39">
        <f t="shared" si="0"/>
        <v>738</v>
      </c>
      <c r="K26" s="41">
        <f t="shared" si="1"/>
        <v>14.76</v>
      </c>
    </row>
    <row r="27" spans="1:11" ht="14.4" x14ac:dyDescent="0.3">
      <c r="A27" s="15" t="s">
        <v>16</v>
      </c>
      <c r="B27" s="53"/>
      <c r="C27" s="56"/>
      <c r="D27" s="12"/>
      <c r="E27" s="35"/>
      <c r="F27" s="18"/>
      <c r="G27" s="12"/>
      <c r="H27" s="12"/>
      <c r="I27" s="66"/>
      <c r="J27" s="39">
        <f t="shared" si="0"/>
        <v>738</v>
      </c>
      <c r="K27" s="41">
        <f t="shared" si="1"/>
        <v>14.76</v>
      </c>
    </row>
    <row r="28" spans="1:11" x14ac:dyDescent="0.25">
      <c r="A28" s="15" t="s">
        <v>17</v>
      </c>
      <c r="B28" s="16"/>
      <c r="C28" s="56"/>
      <c r="D28" s="12"/>
      <c r="E28" s="35"/>
      <c r="F28" s="18"/>
      <c r="G28" s="12" t="s">
        <v>97</v>
      </c>
      <c r="H28" s="12"/>
      <c r="I28" s="66">
        <v>99</v>
      </c>
      <c r="J28" s="39">
        <f t="shared" si="0"/>
        <v>639</v>
      </c>
      <c r="K28" s="41">
        <f t="shared" si="1"/>
        <v>12.780000000000001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/>
      <c r="J29" s="39">
        <f t="shared" si="0"/>
        <v>639</v>
      </c>
      <c r="K29" s="41">
        <f t="shared" si="1"/>
        <v>12.780000000000001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 t="shared" si="0"/>
        <v>639</v>
      </c>
      <c r="K30" s="41">
        <f t="shared" si="1"/>
        <v>12.780000000000001</v>
      </c>
    </row>
    <row r="31" spans="1:11" x14ac:dyDescent="0.25">
      <c r="A31" s="15" t="s">
        <v>20</v>
      </c>
      <c r="B31" s="17"/>
      <c r="C31" s="56"/>
      <c r="D31" s="12"/>
      <c r="E31" s="64"/>
      <c r="F31" s="18"/>
      <c r="G31" s="12"/>
      <c r="H31" s="12"/>
      <c r="I31" s="66"/>
      <c r="J31" s="39">
        <f t="shared" si="0"/>
        <v>639</v>
      </c>
      <c r="K31" s="41">
        <f t="shared" si="1"/>
        <v>12.780000000000001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75"/>
      <c r="H32" s="12"/>
      <c r="I32" s="66"/>
      <c r="J32" s="39">
        <f t="shared" si="0"/>
        <v>639</v>
      </c>
      <c r="K32" s="41">
        <f t="shared" si="1"/>
        <v>12.780000000000001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0"/>
        <v>639</v>
      </c>
      <c r="K33" s="41">
        <f t="shared" si="1"/>
        <v>12.780000000000001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0"/>
        <v>639</v>
      </c>
      <c r="K34" s="41">
        <f t="shared" si="1"/>
        <v>12.780000000000001</v>
      </c>
    </row>
    <row r="35" spans="1:12" x14ac:dyDescent="0.25">
      <c r="A35" s="15" t="s">
        <v>24</v>
      </c>
      <c r="B35" s="17" t="s">
        <v>88</v>
      </c>
      <c r="C35" s="56" t="s">
        <v>89</v>
      </c>
      <c r="D35" s="12"/>
      <c r="E35" s="35">
        <v>969</v>
      </c>
      <c r="F35" s="18"/>
      <c r="G35" s="12"/>
      <c r="H35" s="12"/>
      <c r="I35" s="66"/>
      <c r="J35" s="39">
        <f t="shared" si="0"/>
        <v>1608</v>
      </c>
      <c r="K35" s="41">
        <f t="shared" si="1"/>
        <v>32.160000000000004</v>
      </c>
    </row>
    <row r="36" spans="1:12" ht="13.5" customHeight="1" x14ac:dyDescent="0.25">
      <c r="A36" s="15" t="s">
        <v>25</v>
      </c>
      <c r="B36" s="17"/>
      <c r="C36" s="56"/>
      <c r="D36" s="12"/>
      <c r="E36" s="35"/>
      <c r="F36" s="14"/>
      <c r="G36" s="14"/>
      <c r="H36" s="12"/>
      <c r="I36" s="67"/>
      <c r="J36" s="39">
        <f t="shared" si="0"/>
        <v>1608</v>
      </c>
      <c r="K36" s="41">
        <f t="shared" si="1"/>
        <v>32.160000000000004</v>
      </c>
    </row>
    <row r="37" spans="1:12" x14ac:dyDescent="0.25">
      <c r="A37" s="15" t="s">
        <v>26</v>
      </c>
      <c r="B37" s="17"/>
      <c r="C37" s="56"/>
      <c r="D37" s="12"/>
      <c r="E37" s="35"/>
      <c r="F37" s="14"/>
      <c r="G37" s="12"/>
      <c r="H37" s="12"/>
      <c r="I37" s="66"/>
      <c r="J37" s="39">
        <f t="shared" si="0"/>
        <v>1608</v>
      </c>
      <c r="K37" s="41">
        <f t="shared" si="1"/>
        <v>32.160000000000004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 t="s">
        <v>98</v>
      </c>
      <c r="H38" s="12"/>
      <c r="I38" s="66">
        <v>8</v>
      </c>
      <c r="J38" s="39">
        <f t="shared" si="0"/>
        <v>1600</v>
      </c>
      <c r="K38" s="41">
        <f t="shared" si="1"/>
        <v>32</v>
      </c>
    </row>
    <row r="39" spans="1:12" x14ac:dyDescent="0.25">
      <c r="A39" s="15" t="s">
        <v>28</v>
      </c>
      <c r="B39" s="17"/>
      <c r="C39" s="56"/>
      <c r="D39" s="12"/>
      <c r="E39" s="35"/>
      <c r="F39" s="18"/>
      <c r="G39" s="12"/>
      <c r="H39" s="12"/>
      <c r="I39" s="66"/>
      <c r="J39" s="39">
        <f t="shared" si="0"/>
        <v>1600</v>
      </c>
      <c r="K39" s="41">
        <f t="shared" si="1"/>
        <v>32</v>
      </c>
    </row>
    <row r="40" spans="1:12" x14ac:dyDescent="0.25">
      <c r="A40" s="15" t="s">
        <v>29</v>
      </c>
      <c r="B40" s="17"/>
      <c r="C40" s="56"/>
      <c r="D40" s="12"/>
      <c r="E40" s="35"/>
      <c r="F40" s="18"/>
      <c r="G40" s="12"/>
      <c r="H40" s="12"/>
      <c r="I40" s="66"/>
      <c r="J40" s="39">
        <f>J39+E40-I40</f>
        <v>1600</v>
      </c>
      <c r="K40" s="41">
        <f t="shared" si="1"/>
        <v>32</v>
      </c>
    </row>
    <row r="41" spans="1:12" ht="14.4" thickBot="1" x14ac:dyDescent="0.3">
      <c r="A41" s="34" t="s">
        <v>30</v>
      </c>
      <c r="B41" s="36"/>
      <c r="C41" s="57"/>
      <c r="D41" s="33"/>
      <c r="E41" s="35"/>
      <c r="F41" s="37"/>
      <c r="G41" s="33"/>
      <c r="H41" s="33"/>
      <c r="I41" s="68"/>
      <c r="J41" s="39"/>
      <c r="K41" s="41"/>
    </row>
    <row r="42" spans="1:12" ht="15" thickBot="1" x14ac:dyDescent="0.35">
      <c r="A42" s="168"/>
      <c r="B42" s="169"/>
      <c r="C42" s="19" t="s">
        <v>31</v>
      </c>
      <c r="D42" s="20">
        <f>SUM(D11:D41)</f>
        <v>0</v>
      </c>
      <c r="E42" s="20">
        <f>SUM(E11:E41)</f>
        <v>2485</v>
      </c>
      <c r="F42" s="21">
        <v>0</v>
      </c>
      <c r="G42" s="21"/>
      <c r="H42" s="20">
        <f>SUM(H11:H41)</f>
        <v>0</v>
      </c>
      <c r="I42" s="20">
        <f>SUM(I11:I41)</f>
        <v>3735</v>
      </c>
      <c r="J42" s="69">
        <f>AVERAGE(J11:J41)</f>
        <v>1821.9666666666667</v>
      </c>
      <c r="K42" s="32">
        <f>SUM(K11:K41)</f>
        <v>1093.1799999999996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E42</f>
        <v>2485</v>
      </c>
      <c r="I45" s="59">
        <v>0.28000000000000003</v>
      </c>
      <c r="J45" s="48">
        <f>H45*I45</f>
        <v>695.80000000000007</v>
      </c>
      <c r="K45" s="50">
        <f>kurs*J45</f>
        <v>81611.982340000002</v>
      </c>
    </row>
    <row r="46" spans="1:12" x14ac:dyDescent="0.25">
      <c r="E46" s="42" t="s">
        <v>54</v>
      </c>
      <c r="F46" s="43"/>
      <c r="G46" s="43"/>
      <c r="H46" s="44">
        <f>I42</f>
        <v>3735</v>
      </c>
      <c r="I46" s="59">
        <v>0.2</v>
      </c>
      <c r="J46" s="48">
        <f>H46*I46</f>
        <v>747</v>
      </c>
      <c r="K46" s="50">
        <f t="shared" ref="K46" si="2">kurs*J46</f>
        <v>87617.348100000003</v>
      </c>
      <c r="L46" s="61"/>
    </row>
    <row r="47" spans="1:12" x14ac:dyDescent="0.25">
      <c r="E47" s="42"/>
      <c r="F47" s="43"/>
      <c r="G47" s="43"/>
      <c r="H47" s="44"/>
      <c r="I47" s="59"/>
      <c r="J47" s="48"/>
      <c r="K47" s="50"/>
    </row>
    <row r="48" spans="1:12" x14ac:dyDescent="0.25">
      <c r="E48" s="45"/>
      <c r="F48" s="46"/>
      <c r="G48" s="46"/>
      <c r="H48" s="47"/>
      <c r="I48" s="60"/>
      <c r="J48" s="48"/>
      <c r="K48" s="50"/>
    </row>
    <row r="49" spans="3:12" x14ac:dyDescent="0.25">
      <c r="E49" s="45"/>
      <c r="F49" s="46"/>
      <c r="G49" s="46"/>
      <c r="H49" s="47"/>
      <c r="I49" s="60"/>
      <c r="J49" s="48"/>
      <c r="K49" s="50"/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1093.1799999999996</v>
      </c>
      <c r="K52" s="50">
        <f>kurs*J52</f>
        <v>128221.59651399995</v>
      </c>
      <c r="L52" s="61"/>
    </row>
    <row r="53" spans="3:12" x14ac:dyDescent="0.25">
      <c r="E53" s="22"/>
      <c r="I53" t="s">
        <v>56</v>
      </c>
      <c r="J53" s="52">
        <f>SUM(J45:J52)</f>
        <v>2535.9799999999996</v>
      </c>
      <c r="K53" s="51">
        <f>SUM(K45:K52)</f>
        <v>297450.92695399991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503D-722F-49AD-AA59-1C893019080D}">
  <dimension ref="A1:L58"/>
  <sheetViews>
    <sheetView view="pageBreakPreview" zoomScaleNormal="100" zoomScaleSheetLayoutView="100" workbookViewId="0">
      <selection activeCell="E82" sqref="E82:E89"/>
    </sheetView>
  </sheetViews>
  <sheetFormatPr defaultRowHeight="13.8" x14ac:dyDescent="0.25"/>
  <cols>
    <col min="1" max="1" width="17.5" customWidth="1"/>
    <col min="2" max="2" width="22.09765625" bestFit="1" customWidth="1"/>
    <col min="3" max="3" width="23" style="2" bestFit="1" customWidth="1"/>
    <col min="4" max="4" width="10" customWidth="1"/>
    <col min="5" max="5" width="10.5" customWidth="1"/>
    <col min="6" max="6" width="11.8984375" customWidth="1"/>
    <col min="7" max="7" width="21.5976562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63</v>
      </c>
      <c r="H3" s="4"/>
      <c r="I3" s="4"/>
    </row>
    <row r="4" spans="1:11" x14ac:dyDescent="0.25">
      <c r="B4" s="2"/>
      <c r="C4" s="6"/>
      <c r="F4" s="3" t="s">
        <v>64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x14ac:dyDescent="0.25">
      <c r="A6" t="s">
        <v>41</v>
      </c>
      <c r="B6" s="6"/>
      <c r="C6" s="74">
        <v>117.2804</v>
      </c>
      <c r="F6" t="s">
        <v>42</v>
      </c>
      <c r="G6" s="76" t="s">
        <v>77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47</v>
      </c>
      <c r="E9" s="29" t="s">
        <v>48</v>
      </c>
      <c r="F9" s="30" t="s">
        <v>49</v>
      </c>
      <c r="G9" s="54" t="s">
        <v>50</v>
      </c>
      <c r="H9" s="29" t="s">
        <v>47</v>
      </c>
      <c r="I9" s="71" t="s">
        <v>48</v>
      </c>
      <c r="J9" s="167"/>
      <c r="K9" s="157"/>
    </row>
    <row r="10" spans="1:11" x14ac:dyDescent="0.25">
      <c r="A10" s="158" t="s">
        <v>62</v>
      </c>
      <c r="B10" s="159"/>
      <c r="C10" s="55"/>
      <c r="D10" s="8">
        <v>2062</v>
      </c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D10+E11-I11</f>
        <v>2062</v>
      </c>
      <c r="K11" s="41">
        <f>0.02*J11</f>
        <v>41.24</v>
      </c>
    </row>
    <row r="12" spans="1:11" ht="14.25" customHeight="1" x14ac:dyDescent="0.25">
      <c r="A12" s="15" t="s">
        <v>1</v>
      </c>
      <c r="B12" s="16"/>
      <c r="C12" s="31"/>
      <c r="D12" s="12"/>
      <c r="E12" s="35"/>
      <c r="F12" s="14"/>
      <c r="G12" s="12"/>
      <c r="H12" s="12"/>
      <c r="I12" s="65"/>
      <c r="J12" s="39">
        <f t="shared" ref="J12:J38" si="0">J11+E12-I12</f>
        <v>2062</v>
      </c>
      <c r="K12" s="41">
        <f t="shared" ref="K12:K38" si="1">0.02*J12</f>
        <v>41.24</v>
      </c>
    </row>
    <row r="13" spans="1:11" ht="13.5" customHeight="1" x14ac:dyDescent="0.25">
      <c r="A13" s="15" t="s">
        <v>2</v>
      </c>
      <c r="B13" s="11"/>
      <c r="C13" s="56"/>
      <c r="D13" s="56"/>
      <c r="E13" s="13"/>
      <c r="F13" s="14"/>
      <c r="G13" s="12"/>
      <c r="H13" s="12"/>
      <c r="I13" s="65"/>
      <c r="J13" s="39">
        <f t="shared" si="0"/>
        <v>2062</v>
      </c>
      <c r="K13" s="41">
        <f t="shared" si="1"/>
        <v>41.24</v>
      </c>
    </row>
    <row r="14" spans="1:11" x14ac:dyDescent="0.25">
      <c r="A14" s="15" t="s">
        <v>3</v>
      </c>
      <c r="B14" s="16"/>
      <c r="C14" s="56"/>
      <c r="D14" s="12"/>
      <c r="E14" s="35"/>
      <c r="F14" s="63"/>
      <c r="G14" s="12"/>
      <c r="H14" s="12"/>
      <c r="I14" s="65"/>
      <c r="J14" s="39">
        <f t="shared" si="0"/>
        <v>2062</v>
      </c>
      <c r="K14" s="41">
        <f t="shared" si="1"/>
        <v>41.24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/>
      <c r="J15" s="39">
        <f t="shared" si="0"/>
        <v>2062</v>
      </c>
      <c r="K15" s="41">
        <f t="shared" si="1"/>
        <v>41.24</v>
      </c>
    </row>
    <row r="16" spans="1:11" x14ac:dyDescent="0.25">
      <c r="A16" s="15" t="s">
        <v>5</v>
      </c>
      <c r="B16" s="16"/>
      <c r="C16" s="56"/>
      <c r="D16" s="12"/>
      <c r="E16" s="35"/>
      <c r="F16" s="14"/>
      <c r="G16" s="12" t="s">
        <v>38</v>
      </c>
      <c r="H16" s="72"/>
      <c r="I16" s="65">
        <v>1155</v>
      </c>
      <c r="J16" s="39">
        <f t="shared" si="0"/>
        <v>907</v>
      </c>
      <c r="K16" s="41">
        <f t="shared" si="1"/>
        <v>18.14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/>
      <c r="H17" s="12"/>
      <c r="I17" s="66"/>
      <c r="J17" s="39">
        <f t="shared" si="0"/>
        <v>907</v>
      </c>
      <c r="K17" s="41">
        <f t="shared" si="1"/>
        <v>18.14</v>
      </c>
    </row>
    <row r="18" spans="1:11" x14ac:dyDescent="0.25">
      <c r="A18" s="15" t="s">
        <v>7</v>
      </c>
      <c r="B18" s="16" t="s">
        <v>65</v>
      </c>
      <c r="C18" s="56" t="s">
        <v>66</v>
      </c>
      <c r="D18" s="12"/>
      <c r="E18" s="35">
        <v>349</v>
      </c>
      <c r="F18" s="12"/>
      <c r="G18" s="12"/>
      <c r="H18" s="12"/>
      <c r="I18" s="66"/>
      <c r="J18" s="39">
        <f t="shared" si="0"/>
        <v>1256</v>
      </c>
      <c r="K18" s="41">
        <f t="shared" si="1"/>
        <v>25.12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0"/>
        <v>1256</v>
      </c>
      <c r="K19" s="41">
        <f t="shared" si="1"/>
        <v>25.12</v>
      </c>
    </row>
    <row r="20" spans="1:11" x14ac:dyDescent="0.25">
      <c r="A20" s="15" t="s">
        <v>9</v>
      </c>
      <c r="B20" s="16"/>
      <c r="C20" s="56"/>
      <c r="D20" s="12"/>
      <c r="E20" s="35"/>
      <c r="F20" s="18"/>
      <c r="G20" s="12"/>
      <c r="H20" s="12"/>
      <c r="I20" s="66"/>
      <c r="J20" s="39">
        <f t="shared" si="0"/>
        <v>1256</v>
      </c>
      <c r="K20" s="41">
        <f t="shared" si="1"/>
        <v>25.12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/>
      <c r="H21" s="12"/>
      <c r="I21" s="66"/>
      <c r="J21" s="39">
        <f t="shared" si="0"/>
        <v>1256</v>
      </c>
      <c r="K21" s="41">
        <f t="shared" si="1"/>
        <v>25.12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/>
      <c r="H22" s="12"/>
      <c r="I22" s="66"/>
      <c r="J22" s="39">
        <f t="shared" si="0"/>
        <v>1256</v>
      </c>
      <c r="K22" s="41">
        <f t="shared" si="1"/>
        <v>25.12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G23" s="12"/>
      <c r="H23" s="12"/>
      <c r="I23" s="66"/>
      <c r="J23" s="39">
        <f t="shared" si="0"/>
        <v>1256</v>
      </c>
      <c r="K23" s="41">
        <f t="shared" si="1"/>
        <v>25.12</v>
      </c>
    </row>
    <row r="24" spans="1:11" x14ac:dyDescent="0.25">
      <c r="A24" s="15" t="s">
        <v>13</v>
      </c>
      <c r="B24" s="11" t="s">
        <v>67</v>
      </c>
      <c r="C24" s="56" t="s">
        <v>68</v>
      </c>
      <c r="D24" s="12"/>
      <c r="E24" s="35">
        <v>319</v>
      </c>
      <c r="F24" s="18"/>
      <c r="G24" s="12"/>
      <c r="H24" s="12"/>
      <c r="I24" s="66"/>
      <c r="J24" s="39">
        <f t="shared" si="0"/>
        <v>1575</v>
      </c>
      <c r="K24" s="41">
        <f t="shared" si="1"/>
        <v>31.5</v>
      </c>
    </row>
    <row r="25" spans="1:11" x14ac:dyDescent="0.25">
      <c r="A25" s="15" t="s">
        <v>14</v>
      </c>
      <c r="B25" s="16"/>
      <c r="C25" s="56"/>
      <c r="D25" s="12"/>
      <c r="E25" s="35"/>
      <c r="F25" s="18"/>
      <c r="G25" s="12"/>
      <c r="H25" s="12"/>
      <c r="I25" s="66"/>
      <c r="J25" s="39">
        <f t="shared" si="0"/>
        <v>1575</v>
      </c>
      <c r="K25" s="41">
        <f t="shared" si="1"/>
        <v>31.5</v>
      </c>
    </row>
    <row r="26" spans="1:11" x14ac:dyDescent="0.25">
      <c r="A26" s="15" t="s">
        <v>15</v>
      </c>
      <c r="B26" s="16"/>
      <c r="C26" s="56"/>
      <c r="D26" s="12"/>
      <c r="E26" s="35"/>
      <c r="F26" s="18"/>
      <c r="G26" s="12"/>
      <c r="H26" s="12"/>
      <c r="I26" s="66"/>
      <c r="J26" s="39">
        <f t="shared" si="0"/>
        <v>1575</v>
      </c>
      <c r="K26" s="41">
        <f t="shared" si="1"/>
        <v>31.5</v>
      </c>
    </row>
    <row r="27" spans="1:11" ht="14.4" x14ac:dyDescent="0.3">
      <c r="A27" s="15" t="s">
        <v>16</v>
      </c>
      <c r="B27" s="53"/>
      <c r="C27" s="56"/>
      <c r="D27" s="12"/>
      <c r="E27" s="35"/>
      <c r="F27" s="18"/>
      <c r="G27" s="12"/>
      <c r="H27" s="12"/>
      <c r="I27" s="66"/>
      <c r="J27" s="39">
        <f t="shared" si="0"/>
        <v>1575</v>
      </c>
      <c r="K27" s="41">
        <f t="shared" si="1"/>
        <v>31.5</v>
      </c>
    </row>
    <row r="28" spans="1:11" x14ac:dyDescent="0.25">
      <c r="A28" s="15" t="s">
        <v>17</v>
      </c>
      <c r="B28" s="16"/>
      <c r="C28" s="56"/>
      <c r="D28" s="12"/>
      <c r="E28" s="35"/>
      <c r="F28" s="18"/>
      <c r="G28" s="12"/>
      <c r="H28" s="12"/>
      <c r="I28" s="66"/>
      <c r="J28" s="39">
        <f t="shared" si="0"/>
        <v>1575</v>
      </c>
      <c r="K28" s="41">
        <f t="shared" si="1"/>
        <v>31.5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/>
      <c r="J29" s="39">
        <f t="shared" si="0"/>
        <v>1575</v>
      </c>
      <c r="K29" s="41">
        <f t="shared" si="1"/>
        <v>31.5</v>
      </c>
    </row>
    <row r="30" spans="1:11" x14ac:dyDescent="0.25">
      <c r="A30" s="15" t="s">
        <v>19</v>
      </c>
      <c r="B30" s="17"/>
      <c r="C30" s="56"/>
      <c r="D30" s="12"/>
      <c r="E30" s="35"/>
      <c r="F30" s="18"/>
      <c r="G30" s="12"/>
      <c r="H30" s="12"/>
      <c r="I30" s="66"/>
      <c r="J30" s="39">
        <f t="shared" si="0"/>
        <v>1575</v>
      </c>
      <c r="K30" s="41">
        <f t="shared" si="1"/>
        <v>31.5</v>
      </c>
    </row>
    <row r="31" spans="1:11" x14ac:dyDescent="0.25">
      <c r="A31" s="15" t="s">
        <v>20</v>
      </c>
      <c r="B31" s="17" t="s">
        <v>69</v>
      </c>
      <c r="C31" s="56" t="s">
        <v>70</v>
      </c>
      <c r="D31" s="12"/>
      <c r="E31" s="64">
        <v>1163</v>
      </c>
      <c r="F31" s="18"/>
      <c r="G31" s="12" t="s">
        <v>75</v>
      </c>
      <c r="H31" s="12"/>
      <c r="I31" s="66">
        <v>225</v>
      </c>
      <c r="J31" s="39">
        <f t="shared" si="0"/>
        <v>2513</v>
      </c>
      <c r="K31" s="41">
        <f t="shared" si="1"/>
        <v>50.26</v>
      </c>
    </row>
    <row r="32" spans="1:11" x14ac:dyDescent="0.25">
      <c r="A32" s="15" t="s">
        <v>21</v>
      </c>
      <c r="B32" s="17" t="s">
        <v>71</v>
      </c>
      <c r="C32" s="58" t="s">
        <v>72</v>
      </c>
      <c r="D32" s="12"/>
      <c r="E32" s="35">
        <v>1045</v>
      </c>
      <c r="F32" s="18"/>
      <c r="G32" s="75" t="s">
        <v>76</v>
      </c>
      <c r="H32" s="12"/>
      <c r="I32" s="66">
        <v>907</v>
      </c>
      <c r="J32" s="39">
        <f t="shared" si="0"/>
        <v>2651</v>
      </c>
      <c r="K32" s="41">
        <f t="shared" si="1"/>
        <v>53.02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0"/>
        <v>2651</v>
      </c>
      <c r="K33" s="41">
        <f t="shared" si="1"/>
        <v>53.02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0"/>
        <v>2651</v>
      </c>
      <c r="K34" s="41">
        <f t="shared" si="1"/>
        <v>53.02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/>
      <c r="I35" s="66"/>
      <c r="J35" s="39">
        <f t="shared" si="0"/>
        <v>2651</v>
      </c>
      <c r="K35" s="41">
        <f t="shared" si="1"/>
        <v>53.02</v>
      </c>
    </row>
    <row r="36" spans="1:12" ht="13.5" customHeight="1" x14ac:dyDescent="0.25">
      <c r="A36" s="15" t="s">
        <v>25</v>
      </c>
      <c r="B36" s="17"/>
      <c r="C36" s="56"/>
      <c r="D36" s="12"/>
      <c r="E36" s="35"/>
      <c r="F36" s="14"/>
      <c r="G36" s="14"/>
      <c r="H36" s="12"/>
      <c r="I36" s="67"/>
      <c r="J36" s="39">
        <f t="shared" si="0"/>
        <v>2651</v>
      </c>
      <c r="K36" s="41">
        <f t="shared" si="1"/>
        <v>53.02</v>
      </c>
    </row>
    <row r="37" spans="1:12" x14ac:dyDescent="0.25">
      <c r="A37" s="15" t="s">
        <v>26</v>
      </c>
      <c r="B37" s="17"/>
      <c r="C37" s="56"/>
      <c r="D37" s="12"/>
      <c r="E37" s="35"/>
      <c r="F37" s="14"/>
      <c r="G37" s="12"/>
      <c r="H37" s="12"/>
      <c r="I37" s="66"/>
      <c r="J37" s="39">
        <f t="shared" si="0"/>
        <v>2651</v>
      </c>
      <c r="K37" s="41">
        <f t="shared" si="1"/>
        <v>53.02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/>
      <c r="I38" s="66"/>
      <c r="J38" s="39">
        <f t="shared" si="0"/>
        <v>2651</v>
      </c>
      <c r="K38" s="41">
        <f t="shared" si="1"/>
        <v>53.02</v>
      </c>
    </row>
    <row r="39" spans="1:12" x14ac:dyDescent="0.25">
      <c r="A39" s="15" t="s">
        <v>28</v>
      </c>
      <c r="B39" s="17"/>
      <c r="C39" s="56"/>
      <c r="D39" s="12"/>
      <c r="E39" s="35"/>
      <c r="F39" s="18"/>
      <c r="G39" s="12"/>
      <c r="H39" s="12"/>
      <c r="I39" s="66">
        <v>980</v>
      </c>
      <c r="J39" s="39">
        <f t="shared" ref="J39:J40" si="2">J38+E39-I39</f>
        <v>1671</v>
      </c>
      <c r="K39" s="41">
        <f t="shared" ref="K39:K41" si="3">0.02*J39</f>
        <v>33.42</v>
      </c>
    </row>
    <row r="40" spans="1:12" x14ac:dyDescent="0.25">
      <c r="A40" s="15" t="s">
        <v>29</v>
      </c>
      <c r="B40" s="17" t="s">
        <v>73</v>
      </c>
      <c r="C40" s="56" t="s">
        <v>74</v>
      </c>
      <c r="D40" s="12"/>
      <c r="E40" s="35">
        <v>1179</v>
      </c>
      <c r="F40" s="18"/>
      <c r="G40" s="12"/>
      <c r="H40" s="12"/>
      <c r="I40" s="66"/>
      <c r="J40" s="39">
        <f t="shared" si="2"/>
        <v>2850</v>
      </c>
      <c r="K40" s="41">
        <f t="shared" si="3"/>
        <v>57</v>
      </c>
    </row>
    <row r="41" spans="1:12" ht="14.4" thickBot="1" x14ac:dyDescent="0.3">
      <c r="A41" s="34" t="s">
        <v>30</v>
      </c>
      <c r="B41" s="36"/>
      <c r="C41" s="57"/>
      <c r="D41" s="33"/>
      <c r="E41" s="35"/>
      <c r="F41" s="37"/>
      <c r="G41" s="33"/>
      <c r="H41" s="33"/>
      <c r="I41" s="68"/>
      <c r="J41" s="39">
        <f>J40+E41-I41</f>
        <v>2850</v>
      </c>
      <c r="K41" s="41">
        <f t="shared" si="3"/>
        <v>57</v>
      </c>
    </row>
    <row r="42" spans="1:12" ht="15" thickBot="1" x14ac:dyDescent="0.35">
      <c r="A42" s="168"/>
      <c r="B42" s="169"/>
      <c r="C42" s="19" t="s">
        <v>31</v>
      </c>
      <c r="D42" s="20">
        <f>SUM(D11:D41)</f>
        <v>0</v>
      </c>
      <c r="E42" s="20">
        <f>SUM(E11:E41)</f>
        <v>4055</v>
      </c>
      <c r="F42" s="21">
        <v>0</v>
      </c>
      <c r="G42" s="21"/>
      <c r="H42" s="20">
        <f>SUM(H11:H41)</f>
        <v>0</v>
      </c>
      <c r="I42" s="20">
        <f>SUM(I11:I41)</f>
        <v>3267</v>
      </c>
      <c r="J42" s="69">
        <f>AVERAGE(J11:J41)</f>
        <v>1907.2903225806451</v>
      </c>
      <c r="K42" s="32">
        <f>SUM(K11:K41)</f>
        <v>1182.52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E42</f>
        <v>4055</v>
      </c>
      <c r="I45" s="59">
        <v>0.28000000000000003</v>
      </c>
      <c r="J45" s="48">
        <f>H45*I45</f>
        <v>1135.4000000000001</v>
      </c>
      <c r="K45" s="50">
        <f>kurs*J45</f>
        <v>133160.16616000002</v>
      </c>
    </row>
    <row r="46" spans="1:12" x14ac:dyDescent="0.25">
      <c r="E46" s="42" t="s">
        <v>54</v>
      </c>
      <c r="F46" s="43"/>
      <c r="G46" s="43"/>
      <c r="H46" s="44">
        <f>I42</f>
        <v>3267</v>
      </c>
      <c r="I46" s="59">
        <v>0.2</v>
      </c>
      <c r="J46" s="48">
        <f>H46*I46</f>
        <v>653.40000000000009</v>
      </c>
      <c r="K46" s="50">
        <f t="shared" ref="K46" si="4">kurs*J46</f>
        <v>76631.013360000012</v>
      </c>
      <c r="L46" s="61"/>
    </row>
    <row r="47" spans="1:12" x14ac:dyDescent="0.25">
      <c r="E47" s="42"/>
      <c r="F47" s="43"/>
      <c r="G47" s="43"/>
      <c r="H47" s="44"/>
      <c r="I47" s="59"/>
      <c r="J47" s="48"/>
      <c r="K47" s="50"/>
    </row>
    <row r="48" spans="1:12" x14ac:dyDescent="0.25">
      <c r="E48" s="45"/>
      <c r="F48" s="46"/>
      <c r="G48" s="46"/>
      <c r="H48" s="47"/>
      <c r="I48" s="60"/>
      <c r="J48" s="48"/>
      <c r="K48" s="50"/>
    </row>
    <row r="49" spans="3:12" x14ac:dyDescent="0.25">
      <c r="E49" s="45"/>
      <c r="F49" s="46"/>
      <c r="G49" s="46"/>
      <c r="H49" s="47"/>
      <c r="I49" s="60"/>
      <c r="J49" s="48"/>
      <c r="K49" s="50"/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1182.52</v>
      </c>
      <c r="K52" s="50">
        <f>kurs*J52</f>
        <v>138686.41860800001</v>
      </c>
      <c r="L52" s="61"/>
    </row>
    <row r="53" spans="3:12" x14ac:dyDescent="0.25">
      <c r="E53" s="22"/>
      <c r="I53" t="s">
        <v>56</v>
      </c>
      <c r="J53" s="52">
        <f>SUM(J45:J52)</f>
        <v>2971.32</v>
      </c>
      <c r="K53" s="51">
        <f>SUM(K45:K52)</f>
        <v>348477.59812800004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C042-D9AA-47AB-9CD3-03C715FC03EE}">
  <dimension ref="A1:L58"/>
  <sheetViews>
    <sheetView view="pageBreakPreview" topLeftCell="A10" zoomScaleNormal="100" zoomScaleSheetLayoutView="100" workbookViewId="0">
      <selection activeCell="B40" sqref="B40"/>
    </sheetView>
  </sheetViews>
  <sheetFormatPr defaultRowHeight="13.8" x14ac:dyDescent="0.25"/>
  <cols>
    <col min="1" max="1" width="17.5" customWidth="1"/>
    <col min="2" max="2" width="15.19921875" customWidth="1"/>
    <col min="3" max="3" width="11" style="2" customWidth="1"/>
    <col min="4" max="4" width="10" customWidth="1"/>
    <col min="5" max="5" width="10.5" customWidth="1"/>
    <col min="6" max="6" width="11.8984375" customWidth="1"/>
    <col min="7" max="7" width="19.6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40</v>
      </c>
      <c r="E2" s="2"/>
      <c r="F2" t="s">
        <v>43</v>
      </c>
      <c r="I2" s="3"/>
    </row>
    <row r="3" spans="1:11" x14ac:dyDescent="0.25">
      <c r="A3" s="1" t="s">
        <v>37</v>
      </c>
      <c r="B3" s="2"/>
      <c r="C3" s="6"/>
      <c r="F3" s="3" t="s">
        <v>35</v>
      </c>
      <c r="H3" s="4"/>
      <c r="I3" s="4"/>
    </row>
    <row r="4" spans="1:11" x14ac:dyDescent="0.25">
      <c r="B4" s="2"/>
      <c r="C4" s="6"/>
      <c r="F4" s="3" t="s">
        <v>36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x14ac:dyDescent="0.25">
      <c r="A6" t="s">
        <v>41</v>
      </c>
      <c r="B6" s="6"/>
      <c r="C6" s="2">
        <v>117.29900000000001</v>
      </c>
      <c r="F6" t="s">
        <v>42</v>
      </c>
      <c r="G6" s="73">
        <v>2302004594</v>
      </c>
      <c r="H6" s="2"/>
    </row>
    <row r="7" spans="1:11" ht="12" customHeight="1" thickBot="1" x14ac:dyDescent="0.3"/>
    <row r="8" spans="1:11" ht="14.4" thickBot="1" x14ac:dyDescent="0.3">
      <c r="A8" s="161" t="s">
        <v>46</v>
      </c>
      <c r="B8" s="163" t="s">
        <v>51</v>
      </c>
      <c r="C8" s="164"/>
      <c r="D8" s="164"/>
      <c r="E8" s="165"/>
      <c r="F8" s="163" t="s">
        <v>52</v>
      </c>
      <c r="G8" s="164"/>
      <c r="H8" s="164"/>
      <c r="I8" s="164"/>
      <c r="J8" s="166" t="s">
        <v>44</v>
      </c>
      <c r="K8" s="156" t="s">
        <v>45</v>
      </c>
    </row>
    <row r="9" spans="1:11" ht="27" thickBot="1" x14ac:dyDescent="0.3">
      <c r="A9" s="162"/>
      <c r="B9" s="30" t="s">
        <v>49</v>
      </c>
      <c r="C9" s="54" t="s">
        <v>50</v>
      </c>
      <c r="D9" s="28" t="s">
        <v>47</v>
      </c>
      <c r="E9" s="29" t="s">
        <v>48</v>
      </c>
      <c r="F9" s="30" t="s">
        <v>49</v>
      </c>
      <c r="G9" s="54" t="s">
        <v>50</v>
      </c>
      <c r="H9" s="29" t="s">
        <v>47</v>
      </c>
      <c r="I9" s="71" t="s">
        <v>48</v>
      </c>
      <c r="J9" s="167"/>
      <c r="K9" s="157"/>
    </row>
    <row r="10" spans="1:11" x14ac:dyDescent="0.25">
      <c r="A10" s="158" t="s">
        <v>62</v>
      </c>
      <c r="B10" s="159"/>
      <c r="C10" s="55"/>
      <c r="D10" s="8"/>
      <c r="E10" s="9"/>
      <c r="F10" s="7"/>
      <c r="G10" s="8"/>
      <c r="H10" s="8"/>
      <c r="I10" s="70"/>
      <c r="J10" s="38"/>
      <c r="K10" s="40"/>
    </row>
    <row r="11" spans="1:11" ht="13.5" customHeight="1" x14ac:dyDescent="0.25">
      <c r="A11" s="10" t="s">
        <v>0</v>
      </c>
      <c r="B11" s="11"/>
      <c r="C11" s="56"/>
      <c r="D11" s="12"/>
      <c r="E11" s="13"/>
      <c r="F11" s="14"/>
      <c r="G11" s="12"/>
      <c r="H11" s="12"/>
      <c r="I11" s="65"/>
      <c r="J11" s="39">
        <f>D10+E11-I11</f>
        <v>0</v>
      </c>
      <c r="K11" s="41">
        <f>0.02*J11</f>
        <v>0</v>
      </c>
    </row>
    <row r="12" spans="1:11" ht="14.25" customHeight="1" x14ac:dyDescent="0.25">
      <c r="A12" s="15" t="s">
        <v>1</v>
      </c>
      <c r="B12" s="16"/>
      <c r="C12" s="31"/>
      <c r="D12" s="12"/>
      <c r="E12" s="35"/>
      <c r="F12" s="14"/>
      <c r="G12" s="12"/>
      <c r="H12" s="12"/>
      <c r="I12" s="65"/>
      <c r="J12" s="39">
        <f t="shared" ref="J12:J38" si="0">J11+E12-I12</f>
        <v>0</v>
      </c>
      <c r="K12" s="41">
        <f t="shared" ref="K12:K38" si="1">0.02*J12</f>
        <v>0</v>
      </c>
    </row>
    <row r="13" spans="1:11" ht="13.5" customHeight="1" x14ac:dyDescent="0.25">
      <c r="A13" s="15" t="s">
        <v>2</v>
      </c>
      <c r="B13" s="11"/>
      <c r="C13" s="56"/>
      <c r="D13" s="56"/>
      <c r="E13" s="13"/>
      <c r="F13" s="14"/>
      <c r="G13" s="12"/>
      <c r="H13" s="12"/>
      <c r="I13" s="65"/>
      <c r="J13" s="39">
        <f t="shared" si="0"/>
        <v>0</v>
      </c>
      <c r="K13" s="41">
        <f t="shared" si="1"/>
        <v>0</v>
      </c>
    </row>
    <row r="14" spans="1:11" x14ac:dyDescent="0.25">
      <c r="A14" s="15" t="s">
        <v>3</v>
      </c>
      <c r="B14" s="16"/>
      <c r="C14" s="56"/>
      <c r="D14" s="12"/>
      <c r="E14" s="35"/>
      <c r="F14" s="63"/>
      <c r="G14" s="12"/>
      <c r="H14" s="12"/>
      <c r="I14" s="65"/>
      <c r="J14" s="39">
        <f t="shared" si="0"/>
        <v>0</v>
      </c>
      <c r="K14" s="41">
        <f t="shared" si="1"/>
        <v>0</v>
      </c>
    </row>
    <row r="15" spans="1:11" x14ac:dyDescent="0.25">
      <c r="A15" s="15" t="s">
        <v>4</v>
      </c>
      <c r="B15" s="16"/>
      <c r="C15" s="56"/>
      <c r="D15" s="12"/>
      <c r="E15" s="35"/>
      <c r="F15" s="14"/>
      <c r="G15" s="12"/>
      <c r="H15" s="12"/>
      <c r="I15" s="65"/>
      <c r="J15" s="39">
        <f t="shared" si="0"/>
        <v>0</v>
      </c>
      <c r="K15" s="41">
        <f t="shared" si="1"/>
        <v>0</v>
      </c>
    </row>
    <row r="16" spans="1:11" x14ac:dyDescent="0.25">
      <c r="A16" s="15" t="s">
        <v>5</v>
      </c>
      <c r="B16" s="16"/>
      <c r="C16" s="56"/>
      <c r="D16" s="12"/>
      <c r="E16" s="35"/>
      <c r="F16" s="14"/>
      <c r="G16" s="12"/>
      <c r="H16" s="72"/>
      <c r="I16" s="65"/>
      <c r="J16" s="39">
        <f t="shared" si="0"/>
        <v>0</v>
      </c>
      <c r="K16" s="41">
        <f t="shared" si="1"/>
        <v>0</v>
      </c>
    </row>
    <row r="17" spans="1:11" x14ac:dyDescent="0.25">
      <c r="A17" s="15" t="s">
        <v>6</v>
      </c>
      <c r="B17" s="16"/>
      <c r="C17" s="56"/>
      <c r="D17" s="12"/>
      <c r="E17" s="35"/>
      <c r="F17" s="18"/>
      <c r="G17" s="12"/>
      <c r="H17" s="12"/>
      <c r="I17" s="66"/>
      <c r="J17" s="39">
        <f t="shared" si="0"/>
        <v>0</v>
      </c>
      <c r="K17" s="41">
        <f t="shared" si="1"/>
        <v>0</v>
      </c>
    </row>
    <row r="18" spans="1:11" x14ac:dyDescent="0.25">
      <c r="A18" s="15" t="s">
        <v>7</v>
      </c>
      <c r="B18" s="16"/>
      <c r="C18" s="56"/>
      <c r="D18" s="12"/>
      <c r="E18" s="35"/>
      <c r="F18" s="12"/>
      <c r="G18" s="12"/>
      <c r="H18" s="12"/>
      <c r="I18" s="66"/>
      <c r="J18" s="39">
        <f t="shared" si="0"/>
        <v>0</v>
      </c>
      <c r="K18" s="41">
        <f t="shared" si="1"/>
        <v>0</v>
      </c>
    </row>
    <row r="19" spans="1:11" ht="13.5" customHeight="1" x14ac:dyDescent="0.25">
      <c r="A19" s="15" t="s">
        <v>8</v>
      </c>
      <c r="B19" s="16"/>
      <c r="C19" s="56"/>
      <c r="D19" s="12"/>
      <c r="E19" s="35"/>
      <c r="F19" s="18"/>
      <c r="G19" s="12"/>
      <c r="H19" s="12"/>
      <c r="I19" s="66"/>
      <c r="J19" s="39">
        <f t="shared" si="0"/>
        <v>0</v>
      </c>
      <c r="K19" s="41">
        <f t="shared" si="1"/>
        <v>0</v>
      </c>
    </row>
    <row r="20" spans="1:11" x14ac:dyDescent="0.25">
      <c r="A20" s="15" t="s">
        <v>9</v>
      </c>
      <c r="B20" s="16"/>
      <c r="C20" s="56"/>
      <c r="D20" s="12"/>
      <c r="E20" s="35"/>
      <c r="F20" s="18"/>
      <c r="G20" s="12"/>
      <c r="H20" s="12"/>
      <c r="I20" s="66"/>
      <c r="J20" s="39">
        <f t="shared" si="0"/>
        <v>0</v>
      </c>
      <c r="K20" s="41">
        <f t="shared" si="1"/>
        <v>0</v>
      </c>
    </row>
    <row r="21" spans="1:11" x14ac:dyDescent="0.25">
      <c r="A21" s="15" t="s">
        <v>10</v>
      </c>
      <c r="B21" s="16"/>
      <c r="C21" s="56"/>
      <c r="D21" s="12"/>
      <c r="E21" s="35"/>
      <c r="F21" s="18"/>
      <c r="G21" s="12"/>
      <c r="H21" s="12"/>
      <c r="I21" s="66"/>
      <c r="J21" s="39">
        <f t="shared" si="0"/>
        <v>0</v>
      </c>
      <c r="K21" s="41">
        <f t="shared" si="1"/>
        <v>0</v>
      </c>
    </row>
    <row r="22" spans="1:11" x14ac:dyDescent="0.25">
      <c r="A22" s="15" t="s">
        <v>11</v>
      </c>
      <c r="B22" s="16"/>
      <c r="C22" s="56"/>
      <c r="D22" s="12"/>
      <c r="E22" s="35"/>
      <c r="F22" s="18"/>
      <c r="G22" s="12"/>
      <c r="H22" s="12"/>
      <c r="I22" s="66"/>
      <c r="J22" s="39">
        <f t="shared" si="0"/>
        <v>0</v>
      </c>
      <c r="K22" s="41">
        <f t="shared" si="1"/>
        <v>0</v>
      </c>
    </row>
    <row r="23" spans="1:11" x14ac:dyDescent="0.25">
      <c r="A23" s="15" t="s">
        <v>12</v>
      </c>
      <c r="B23" s="16"/>
      <c r="C23" s="56"/>
      <c r="D23" s="12"/>
      <c r="E23" s="35"/>
      <c r="F23" s="18"/>
      <c r="G23" s="12"/>
      <c r="H23" s="12"/>
      <c r="I23" s="66"/>
      <c r="J23" s="39">
        <f t="shared" si="0"/>
        <v>0</v>
      </c>
      <c r="K23" s="41">
        <f t="shared" si="1"/>
        <v>0</v>
      </c>
    </row>
    <row r="24" spans="1:11" x14ac:dyDescent="0.25">
      <c r="A24" s="15" t="s">
        <v>13</v>
      </c>
      <c r="B24" s="11"/>
      <c r="C24" s="56"/>
      <c r="D24" s="12"/>
      <c r="E24" s="35"/>
      <c r="F24" s="18"/>
      <c r="G24" s="12"/>
      <c r="H24" s="12"/>
      <c r="I24" s="66"/>
      <c r="J24" s="39">
        <f t="shared" si="0"/>
        <v>0</v>
      </c>
      <c r="K24" s="41">
        <f t="shared" si="1"/>
        <v>0</v>
      </c>
    </row>
    <row r="25" spans="1:11" x14ac:dyDescent="0.25">
      <c r="A25" s="15" t="s">
        <v>14</v>
      </c>
      <c r="B25" s="16"/>
      <c r="C25" s="56"/>
      <c r="D25" s="12"/>
      <c r="E25" s="35"/>
      <c r="F25" s="18"/>
      <c r="G25" s="12"/>
      <c r="H25" s="12"/>
      <c r="I25" s="66"/>
      <c r="J25" s="39">
        <f t="shared" si="0"/>
        <v>0</v>
      </c>
      <c r="K25" s="41">
        <f t="shared" si="1"/>
        <v>0</v>
      </c>
    </row>
    <row r="26" spans="1:11" x14ac:dyDescent="0.25">
      <c r="A26" s="15" t="s">
        <v>15</v>
      </c>
      <c r="B26" s="16"/>
      <c r="C26" s="56"/>
      <c r="D26" s="12"/>
      <c r="E26" s="35"/>
      <c r="F26" s="18"/>
      <c r="G26" s="12"/>
      <c r="H26" s="12"/>
      <c r="I26" s="66"/>
      <c r="J26" s="39">
        <f t="shared" si="0"/>
        <v>0</v>
      </c>
      <c r="K26" s="41">
        <f t="shared" si="1"/>
        <v>0</v>
      </c>
    </row>
    <row r="27" spans="1:11" ht="14.4" x14ac:dyDescent="0.3">
      <c r="A27" s="15" t="s">
        <v>16</v>
      </c>
      <c r="B27" s="53"/>
      <c r="C27" s="56"/>
      <c r="D27" s="12"/>
      <c r="E27" s="35"/>
      <c r="F27" s="18"/>
      <c r="G27" s="12"/>
      <c r="H27" s="12"/>
      <c r="I27" s="66"/>
      <c r="J27" s="39">
        <f t="shared" si="0"/>
        <v>0</v>
      </c>
      <c r="K27" s="41">
        <f t="shared" si="1"/>
        <v>0</v>
      </c>
    </row>
    <row r="28" spans="1:11" x14ac:dyDescent="0.25">
      <c r="A28" s="15" t="s">
        <v>17</v>
      </c>
      <c r="B28" s="16"/>
      <c r="C28" s="56"/>
      <c r="D28" s="12"/>
      <c r="E28" s="35"/>
      <c r="F28" s="18"/>
      <c r="G28" s="12"/>
      <c r="H28" s="12"/>
      <c r="I28" s="66"/>
      <c r="J28" s="39">
        <f t="shared" si="0"/>
        <v>0</v>
      </c>
      <c r="K28" s="41">
        <f t="shared" si="1"/>
        <v>0</v>
      </c>
    </row>
    <row r="29" spans="1:11" x14ac:dyDescent="0.25">
      <c r="A29" s="15" t="s">
        <v>18</v>
      </c>
      <c r="B29" s="16"/>
      <c r="C29" s="56"/>
      <c r="D29" s="12"/>
      <c r="E29" s="35"/>
      <c r="F29" s="18"/>
      <c r="G29" s="12"/>
      <c r="H29" s="12"/>
      <c r="I29" s="66"/>
      <c r="J29" s="39">
        <f t="shared" si="0"/>
        <v>0</v>
      </c>
      <c r="K29" s="41">
        <f t="shared" si="1"/>
        <v>0</v>
      </c>
    </row>
    <row r="30" spans="1:11" x14ac:dyDescent="0.25">
      <c r="A30" s="15" t="s">
        <v>19</v>
      </c>
      <c r="B30" s="17" t="s">
        <v>38</v>
      </c>
      <c r="C30" s="56"/>
      <c r="D30" s="12"/>
      <c r="E30" s="35">
        <v>1155</v>
      </c>
      <c r="F30" s="18"/>
      <c r="G30" s="12"/>
      <c r="H30" s="12"/>
      <c r="I30" s="66"/>
      <c r="J30" s="39">
        <f t="shared" si="0"/>
        <v>1155</v>
      </c>
      <c r="K30" s="41">
        <f t="shared" si="1"/>
        <v>23.1</v>
      </c>
    </row>
    <row r="31" spans="1:11" x14ac:dyDescent="0.25">
      <c r="A31" s="15" t="s">
        <v>20</v>
      </c>
      <c r="B31" s="17"/>
      <c r="C31" s="56"/>
      <c r="D31" s="12"/>
      <c r="E31" s="64"/>
      <c r="F31" s="18"/>
      <c r="G31" s="12"/>
      <c r="H31" s="12"/>
      <c r="I31" s="66"/>
      <c r="J31" s="39">
        <f t="shared" si="0"/>
        <v>1155</v>
      </c>
      <c r="K31" s="41">
        <f t="shared" si="1"/>
        <v>23.1</v>
      </c>
    </row>
    <row r="32" spans="1:11" x14ac:dyDescent="0.25">
      <c r="A32" s="15" t="s">
        <v>21</v>
      </c>
      <c r="B32" s="17"/>
      <c r="C32" s="58"/>
      <c r="D32" s="12"/>
      <c r="E32" s="35"/>
      <c r="F32" s="18"/>
      <c r="G32" s="12"/>
      <c r="H32" s="12"/>
      <c r="I32" s="66"/>
      <c r="J32" s="39">
        <f t="shared" si="0"/>
        <v>1155</v>
      </c>
      <c r="K32" s="41">
        <f t="shared" si="1"/>
        <v>23.1</v>
      </c>
    </row>
    <row r="33" spans="1:12" x14ac:dyDescent="0.25">
      <c r="A33" s="15" t="s">
        <v>22</v>
      </c>
      <c r="B33" s="17"/>
      <c r="C33" s="56"/>
      <c r="D33" s="12"/>
      <c r="E33" s="35"/>
      <c r="F33" s="18"/>
      <c r="G33" s="12"/>
      <c r="H33" s="12"/>
      <c r="I33" s="66"/>
      <c r="J33" s="39">
        <f t="shared" si="0"/>
        <v>1155</v>
      </c>
      <c r="K33" s="41">
        <f t="shared" si="1"/>
        <v>23.1</v>
      </c>
    </row>
    <row r="34" spans="1:12" x14ac:dyDescent="0.25">
      <c r="A34" s="15" t="s">
        <v>23</v>
      </c>
      <c r="B34" s="17"/>
      <c r="C34" s="56"/>
      <c r="D34" s="12"/>
      <c r="E34" s="35"/>
      <c r="F34" s="18"/>
      <c r="G34" s="12"/>
      <c r="H34" s="12"/>
      <c r="I34" s="66"/>
      <c r="J34" s="39">
        <f t="shared" si="0"/>
        <v>1155</v>
      </c>
      <c r="K34" s="41">
        <f t="shared" si="1"/>
        <v>23.1</v>
      </c>
    </row>
    <row r="35" spans="1:12" x14ac:dyDescent="0.25">
      <c r="A35" s="15" t="s">
        <v>24</v>
      </c>
      <c r="B35" s="17"/>
      <c r="C35" s="56"/>
      <c r="D35" s="12"/>
      <c r="E35" s="35"/>
      <c r="F35" s="18"/>
      <c r="G35" s="12"/>
      <c r="H35" s="12"/>
      <c r="I35" s="66"/>
      <c r="J35" s="39">
        <f t="shared" si="0"/>
        <v>1155</v>
      </c>
      <c r="K35" s="41">
        <f t="shared" si="1"/>
        <v>23.1</v>
      </c>
    </row>
    <row r="36" spans="1:12" ht="13.5" customHeight="1" x14ac:dyDescent="0.25">
      <c r="A36" s="15" t="s">
        <v>25</v>
      </c>
      <c r="B36" s="17"/>
      <c r="C36" s="56"/>
      <c r="D36" s="12"/>
      <c r="E36" s="35"/>
      <c r="F36" s="14"/>
      <c r="G36" s="14"/>
      <c r="H36" s="12"/>
      <c r="I36" s="67"/>
      <c r="J36" s="39">
        <f t="shared" si="0"/>
        <v>1155</v>
      </c>
      <c r="K36" s="41">
        <f t="shared" si="1"/>
        <v>23.1</v>
      </c>
    </row>
    <row r="37" spans="1:12" x14ac:dyDescent="0.25">
      <c r="A37" s="15" t="s">
        <v>26</v>
      </c>
      <c r="B37" s="17" t="s">
        <v>39</v>
      </c>
      <c r="C37" s="56"/>
      <c r="D37" s="12"/>
      <c r="E37" s="35">
        <v>907</v>
      </c>
      <c r="F37" s="14"/>
      <c r="G37" s="12"/>
      <c r="H37" s="12"/>
      <c r="I37" s="66"/>
      <c r="J37" s="39">
        <f t="shared" si="0"/>
        <v>2062</v>
      </c>
      <c r="K37" s="41">
        <f t="shared" si="1"/>
        <v>41.24</v>
      </c>
    </row>
    <row r="38" spans="1:12" x14ac:dyDescent="0.25">
      <c r="A38" s="15" t="s">
        <v>27</v>
      </c>
      <c r="B38" s="17"/>
      <c r="C38" s="56"/>
      <c r="D38" s="12"/>
      <c r="E38" s="35"/>
      <c r="F38" s="14"/>
      <c r="G38" s="12"/>
      <c r="H38" s="12"/>
      <c r="I38" s="66"/>
      <c r="J38" s="39">
        <f t="shared" si="0"/>
        <v>2062</v>
      </c>
      <c r="K38" s="41">
        <f t="shared" si="1"/>
        <v>41.24</v>
      </c>
    </row>
    <row r="39" spans="1:12" x14ac:dyDescent="0.25">
      <c r="A39" s="15" t="s">
        <v>28</v>
      </c>
      <c r="B39" s="17"/>
      <c r="C39" s="56"/>
      <c r="D39" s="12"/>
      <c r="E39" s="35"/>
      <c r="F39" s="18"/>
      <c r="G39" s="12"/>
      <c r="H39" s="12"/>
      <c r="I39" s="66"/>
      <c r="J39" s="39"/>
      <c r="K39" s="41"/>
    </row>
    <row r="40" spans="1:12" x14ac:dyDescent="0.25">
      <c r="A40" s="15" t="s">
        <v>29</v>
      </c>
      <c r="B40" s="17"/>
      <c r="C40" s="56"/>
      <c r="D40" s="12"/>
      <c r="E40" s="35"/>
      <c r="F40" s="18"/>
      <c r="G40" s="12"/>
      <c r="H40" s="12"/>
      <c r="I40" s="66"/>
      <c r="J40" s="39"/>
      <c r="K40" s="41"/>
    </row>
    <row r="41" spans="1:12" ht="14.4" thickBot="1" x14ac:dyDescent="0.3">
      <c r="A41" s="34" t="s">
        <v>30</v>
      </c>
      <c r="B41" s="36"/>
      <c r="C41" s="57"/>
      <c r="D41" s="33"/>
      <c r="E41" s="35"/>
      <c r="F41" s="37"/>
      <c r="G41" s="33"/>
      <c r="H41" s="33"/>
      <c r="I41" s="68"/>
      <c r="J41" s="39"/>
      <c r="K41" s="41"/>
    </row>
    <row r="42" spans="1:12" ht="15" thickBot="1" x14ac:dyDescent="0.35">
      <c r="A42" s="168"/>
      <c r="B42" s="169"/>
      <c r="C42" s="19" t="s">
        <v>31</v>
      </c>
      <c r="D42" s="20">
        <f>SUM(D11:D41)</f>
        <v>0</v>
      </c>
      <c r="E42" s="20">
        <f>SUM(E11:E41)</f>
        <v>2062</v>
      </c>
      <c r="F42" s="21">
        <v>0</v>
      </c>
      <c r="G42" s="21"/>
      <c r="H42" s="20">
        <f>SUM(H11:H41)</f>
        <v>0</v>
      </c>
      <c r="I42" s="20">
        <f>SUM(I11:I41)</f>
        <v>0</v>
      </c>
      <c r="J42" s="69">
        <f>AVERAGE(J11:J41)</f>
        <v>436.03571428571428</v>
      </c>
      <c r="K42" s="32">
        <f>SUM(K11:K41)</f>
        <v>244.18</v>
      </c>
    </row>
    <row r="43" spans="1:12" ht="12" customHeight="1" x14ac:dyDescent="0.25"/>
    <row r="44" spans="1:12" x14ac:dyDescent="0.25">
      <c r="C44" s="2" t="s">
        <v>57</v>
      </c>
      <c r="H44" s="2" t="s">
        <v>58</v>
      </c>
      <c r="I44" s="2" t="s">
        <v>59</v>
      </c>
      <c r="J44" s="2" t="s">
        <v>60</v>
      </c>
      <c r="K44" s="2" t="s">
        <v>61</v>
      </c>
    </row>
    <row r="45" spans="1:12" x14ac:dyDescent="0.25">
      <c r="E45" s="42" t="s">
        <v>53</v>
      </c>
      <c r="F45" s="43"/>
      <c r="G45" s="43"/>
      <c r="H45" s="44">
        <f>E42</f>
        <v>2062</v>
      </c>
      <c r="I45" s="59">
        <v>0.28000000000000003</v>
      </c>
      <c r="J45" s="48">
        <f>H45*I45</f>
        <v>577.36</v>
      </c>
      <c r="K45" s="50">
        <f>kurs*J45</f>
        <v>67723.750639999998</v>
      </c>
    </row>
    <row r="46" spans="1:12" x14ac:dyDescent="0.25">
      <c r="E46" s="42" t="s">
        <v>54</v>
      </c>
      <c r="F46" s="43"/>
      <c r="G46" s="43"/>
      <c r="H46" s="44">
        <f>I42</f>
        <v>0</v>
      </c>
      <c r="I46" s="59">
        <v>0.2</v>
      </c>
      <c r="J46" s="48">
        <f>H46*I46</f>
        <v>0</v>
      </c>
      <c r="K46" s="50">
        <f t="shared" ref="K46" si="2">kurs*J46</f>
        <v>0</v>
      </c>
      <c r="L46" s="61"/>
    </row>
    <row r="47" spans="1:12" x14ac:dyDescent="0.25">
      <c r="E47" s="42"/>
      <c r="F47" s="43"/>
      <c r="G47" s="43"/>
      <c r="H47" s="44"/>
      <c r="I47" s="59"/>
      <c r="J47" s="48"/>
      <c r="K47" s="50"/>
    </row>
    <row r="48" spans="1:12" x14ac:dyDescent="0.25">
      <c r="E48" s="45"/>
      <c r="F48" s="46"/>
      <c r="G48" s="46"/>
      <c r="H48" s="47"/>
      <c r="I48" s="60"/>
      <c r="J48" s="48"/>
      <c r="K48" s="50"/>
    </row>
    <row r="49" spans="3:12" x14ac:dyDescent="0.25">
      <c r="E49" s="45"/>
      <c r="F49" s="46"/>
      <c r="G49" s="46"/>
      <c r="H49" s="47"/>
      <c r="I49" s="60"/>
      <c r="J49" s="48"/>
      <c r="K49" s="50"/>
    </row>
    <row r="50" spans="3:12" x14ac:dyDescent="0.25">
      <c r="E50" s="45"/>
      <c r="F50" s="46"/>
      <c r="G50" s="46"/>
      <c r="H50" s="47"/>
      <c r="I50" s="60"/>
      <c r="J50" s="48"/>
      <c r="K50" s="50"/>
    </row>
    <row r="51" spans="3:12" x14ac:dyDescent="0.25">
      <c r="E51" s="45"/>
      <c r="F51" s="46"/>
      <c r="G51" s="46"/>
      <c r="H51" s="47"/>
      <c r="I51" s="60"/>
      <c r="J51" s="48"/>
      <c r="K51" s="50"/>
    </row>
    <row r="52" spans="3:12" x14ac:dyDescent="0.25">
      <c r="E52" s="45" t="s">
        <v>55</v>
      </c>
      <c r="F52" s="46"/>
      <c r="G52" s="46"/>
      <c r="H52" s="46"/>
      <c r="I52" s="60"/>
      <c r="J52" s="49">
        <f>K42</f>
        <v>244.18</v>
      </c>
      <c r="K52" s="50">
        <f>kurs*J52</f>
        <v>28642.069820000001</v>
      </c>
      <c r="L52" s="61"/>
    </row>
    <row r="53" spans="3:12" x14ac:dyDescent="0.25">
      <c r="E53" s="22"/>
      <c r="I53" t="s">
        <v>56</v>
      </c>
      <c r="J53" s="52">
        <f>SUM(J45:J52)</f>
        <v>821.54</v>
      </c>
      <c r="K53" s="51">
        <f>SUM(K45:K52)</f>
        <v>96365.820460000003</v>
      </c>
      <c r="L53" s="62"/>
    </row>
    <row r="54" spans="3:12" ht="13.5" customHeight="1" x14ac:dyDescent="0.3">
      <c r="F54" s="23"/>
      <c r="G54" s="24" t="s">
        <v>32</v>
      </c>
    </row>
    <row r="55" spans="3:12" ht="11.25" customHeight="1" x14ac:dyDescent="0.25"/>
    <row r="56" spans="3:12" x14ac:dyDescent="0.25">
      <c r="H56" s="25"/>
      <c r="I56" s="25"/>
      <c r="J56" s="26"/>
      <c r="K56" s="25"/>
    </row>
    <row r="57" spans="3:12" x14ac:dyDescent="0.25">
      <c r="C57" s="2" t="s">
        <v>34</v>
      </c>
      <c r="H57" s="25"/>
      <c r="I57" s="25"/>
      <c r="J57" s="25"/>
      <c r="K57" s="25"/>
    </row>
    <row r="58" spans="3:12" ht="12.75" customHeight="1" x14ac:dyDescent="0.25">
      <c r="C58" s="2" t="s">
        <v>33</v>
      </c>
      <c r="H58" s="25"/>
      <c r="I58" s="27"/>
      <c r="J58" s="25"/>
      <c r="K58" s="25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43</vt:i4>
      </vt:variant>
    </vt:vector>
  </HeadingPairs>
  <TitlesOfParts>
    <vt:vector size="93" baseType="lpstr">
      <vt:lpstr>Maj 2026  </vt:lpstr>
      <vt:lpstr>APRIL 2026 </vt:lpstr>
      <vt:lpstr>MART 2026</vt:lpstr>
      <vt:lpstr>Februar 2026 </vt:lpstr>
      <vt:lpstr>Januar 2026</vt:lpstr>
      <vt:lpstr>Decembar 2025 </vt:lpstr>
      <vt:lpstr>jul 2025  ispravan</vt:lpstr>
      <vt:lpstr>Jul manipulacija</vt:lpstr>
      <vt:lpstr>maj jun manipulacija</vt:lpstr>
      <vt:lpstr>Novembar 2025</vt:lpstr>
      <vt:lpstr>Oktobar 2025</vt:lpstr>
      <vt:lpstr>Septembar 2025 </vt:lpstr>
      <vt:lpstr>Avgust 2025</vt:lpstr>
      <vt:lpstr>jul 2025 </vt:lpstr>
      <vt:lpstr>jun 2025</vt:lpstr>
      <vt:lpstr>maj 2025</vt:lpstr>
      <vt:lpstr>April 2025</vt:lpstr>
      <vt:lpstr>Mart 2025</vt:lpstr>
      <vt:lpstr>Februar 2025</vt:lpstr>
      <vt:lpstr>Januar 2025</vt:lpstr>
      <vt:lpstr>Sheet7</vt:lpstr>
      <vt:lpstr>Decembar 2024</vt:lpstr>
      <vt:lpstr>Sheet3</vt:lpstr>
      <vt:lpstr>Novembar 2024</vt:lpstr>
      <vt:lpstr>Oktobar 2024</vt:lpstr>
      <vt:lpstr>Septembar 2024</vt:lpstr>
      <vt:lpstr>Avgust 2024</vt:lpstr>
      <vt:lpstr>Jul 2024</vt:lpstr>
      <vt:lpstr>Jun 2024</vt:lpstr>
      <vt:lpstr>Sheet6</vt:lpstr>
      <vt:lpstr>Maj 2024</vt:lpstr>
      <vt:lpstr>April 2024</vt:lpstr>
      <vt:lpstr>Mart 2024</vt:lpstr>
      <vt:lpstr>Sheet5</vt:lpstr>
      <vt:lpstr>Februar 2024</vt:lpstr>
      <vt:lpstr>Sheet4</vt:lpstr>
      <vt:lpstr>Januar 2024</vt:lpstr>
      <vt:lpstr>Decembar 2023</vt:lpstr>
      <vt:lpstr>Novembar 2023</vt:lpstr>
      <vt:lpstr>Oktobar 2023</vt:lpstr>
      <vt:lpstr>SEPTEMBAR 2023.</vt:lpstr>
      <vt:lpstr>Sheet1</vt:lpstr>
      <vt:lpstr>Sheet2</vt:lpstr>
      <vt:lpstr>AVGUST 2023</vt:lpstr>
      <vt:lpstr>JUL 2023</vt:lpstr>
      <vt:lpstr>JUN 2023</vt:lpstr>
      <vt:lpstr>Maj 2023</vt:lpstr>
      <vt:lpstr>April 2023</vt:lpstr>
      <vt:lpstr>Mart 2023</vt:lpstr>
      <vt:lpstr>Februar 2023</vt:lpstr>
      <vt:lpstr>'April 2023'!kurs</vt:lpstr>
      <vt:lpstr>'April 2024'!kurs</vt:lpstr>
      <vt:lpstr>'April 2025'!kurs</vt:lpstr>
      <vt:lpstr>'APRIL 2026 '!kurs</vt:lpstr>
      <vt:lpstr>'AVGUST 2023'!kurs</vt:lpstr>
      <vt:lpstr>'Avgust 2024'!kurs</vt:lpstr>
      <vt:lpstr>'Avgust 2025'!kurs</vt:lpstr>
      <vt:lpstr>'Decembar 2023'!kurs</vt:lpstr>
      <vt:lpstr>'Decembar 2024'!kurs</vt:lpstr>
      <vt:lpstr>'Decembar 2025 '!kurs</vt:lpstr>
      <vt:lpstr>'Februar 2023'!kurs</vt:lpstr>
      <vt:lpstr>'Februar 2024'!kurs</vt:lpstr>
      <vt:lpstr>'Februar 2025'!kurs</vt:lpstr>
      <vt:lpstr>'Februar 2026 '!kurs</vt:lpstr>
      <vt:lpstr>'Januar 2024'!kurs</vt:lpstr>
      <vt:lpstr>'Januar 2025'!kurs</vt:lpstr>
      <vt:lpstr>'Januar 2026'!kurs</vt:lpstr>
      <vt:lpstr>'JUL 2023'!kurs</vt:lpstr>
      <vt:lpstr>'Jul 2024'!kurs</vt:lpstr>
      <vt:lpstr>'jul 2025 '!kurs</vt:lpstr>
      <vt:lpstr>'jul 2025  ispravan'!kurs</vt:lpstr>
      <vt:lpstr>'Jul manipulacija'!kurs</vt:lpstr>
      <vt:lpstr>'JUN 2023'!kurs</vt:lpstr>
      <vt:lpstr>'Jun 2024'!kurs</vt:lpstr>
      <vt:lpstr>'jun 2025'!kurs</vt:lpstr>
      <vt:lpstr>'Maj 2023'!kurs</vt:lpstr>
      <vt:lpstr>'Maj 2024'!kurs</vt:lpstr>
      <vt:lpstr>'maj 2025'!kurs</vt:lpstr>
      <vt:lpstr>'Maj 2026  '!kurs</vt:lpstr>
      <vt:lpstr>'maj jun manipulacija'!kurs</vt:lpstr>
      <vt:lpstr>'Mart 2023'!kurs</vt:lpstr>
      <vt:lpstr>'Mart 2024'!kurs</vt:lpstr>
      <vt:lpstr>'Mart 2025'!kurs</vt:lpstr>
      <vt:lpstr>'MART 2026'!kurs</vt:lpstr>
      <vt:lpstr>'Novembar 2023'!kurs</vt:lpstr>
      <vt:lpstr>'Novembar 2024'!kurs</vt:lpstr>
      <vt:lpstr>'Novembar 2025'!kurs</vt:lpstr>
      <vt:lpstr>'Oktobar 2023'!kurs</vt:lpstr>
      <vt:lpstr>'Oktobar 2024'!kurs</vt:lpstr>
      <vt:lpstr>'Oktobar 2025'!kurs</vt:lpstr>
      <vt:lpstr>'SEPTEMBAR 2023.'!kurs</vt:lpstr>
      <vt:lpstr>'Septembar 2024'!kurs</vt:lpstr>
      <vt:lpstr>'Septembar 2025 '!kurs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Marko Mitic</cp:lastModifiedBy>
  <cp:lastPrinted>2026-05-05T13:39:41Z</cp:lastPrinted>
  <dcterms:created xsi:type="dcterms:W3CDTF">2019-12-02T09:28:44Z</dcterms:created>
  <dcterms:modified xsi:type="dcterms:W3CDTF">2026-06-03T10:44:29Z</dcterms:modified>
</cp:coreProperties>
</file>