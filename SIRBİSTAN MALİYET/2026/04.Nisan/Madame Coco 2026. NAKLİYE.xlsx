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C6BA9133-7FCE-46BE-AF81-B4366D8F6CE6}" xr6:coauthVersionLast="47" xr6:coauthVersionMax="47" xr10:uidLastSave="{00000000-0000-0000-0000-000000000000}"/>
  <bookViews>
    <workbookView xWindow="-108" yWindow="-108" windowWidth="23256" windowHeight="12456" activeTab="3" xr2:uid="{2623D9C1-5778-413A-9D33-BCFCC27D2275}"/>
  </bookViews>
  <sheets>
    <sheet name="Januar" sheetId="1" r:id="rId1"/>
    <sheet name="Februar" sheetId="3" r:id="rId2"/>
    <sheet name="Mart" sheetId="4" r:id="rId3"/>
    <sheet name="April" sheetId="6" r:id="rId4"/>
    <sheet name="Maj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6" l="1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BM30" i="8"/>
  <c r="BM52" i="8" s="1"/>
  <c r="BL30" i="8"/>
  <c r="BL52" i="8" s="1"/>
  <c r="BK30" i="8"/>
  <c r="BK52" i="8" s="1"/>
  <c r="BJ30" i="8"/>
  <c r="BJ52" i="8" s="1"/>
  <c r="BI30" i="8"/>
  <c r="BI52" i="8" s="1"/>
  <c r="BH30" i="8"/>
  <c r="BH52" i="8" s="1"/>
  <c r="BG30" i="8"/>
  <c r="BG52" i="8" s="1"/>
  <c r="BF30" i="8"/>
  <c r="BF52" i="8" s="1"/>
  <c r="BE30" i="8"/>
  <c r="BE52" i="8" s="1"/>
  <c r="BD30" i="8"/>
  <c r="BD52" i="8" s="1"/>
  <c r="BC30" i="8"/>
  <c r="BC52" i="8" s="1"/>
  <c r="BB30" i="8"/>
  <c r="BB52" i="8" s="1"/>
  <c r="BA30" i="8"/>
  <c r="BA52" i="8" s="1"/>
  <c r="AZ30" i="8"/>
  <c r="AZ52" i="8" s="1"/>
  <c r="AY30" i="8"/>
  <c r="AY52" i="8" s="1"/>
  <c r="AX30" i="8"/>
  <c r="AX52" i="8" s="1"/>
  <c r="AW30" i="8"/>
  <c r="AW52" i="8" s="1"/>
  <c r="AV30" i="8"/>
  <c r="AV52" i="8" s="1"/>
  <c r="AU30" i="8"/>
  <c r="AU52" i="8" s="1"/>
  <c r="AT30" i="8"/>
  <c r="AT52" i="8" s="1"/>
  <c r="AS30" i="8"/>
  <c r="AS52" i="8" s="1"/>
  <c r="AR30" i="8"/>
  <c r="AR52" i="8" s="1"/>
  <c r="AQ30" i="8"/>
  <c r="AQ52" i="8" s="1"/>
  <c r="AP30" i="8"/>
  <c r="AP52" i="8" s="1"/>
  <c r="AO30" i="8"/>
  <c r="AO52" i="8" s="1"/>
  <c r="AN30" i="8"/>
  <c r="AN52" i="8" s="1"/>
  <c r="AM30" i="8"/>
  <c r="AM52" i="8" s="1"/>
  <c r="AL30" i="8"/>
  <c r="AL52" i="8" s="1"/>
  <c r="AK30" i="8"/>
  <c r="AK52" i="8" s="1"/>
  <c r="AJ30" i="8"/>
  <c r="AJ52" i="8" s="1"/>
  <c r="AI30" i="8"/>
  <c r="AI52" i="8" s="1"/>
  <c r="AH30" i="8"/>
  <c r="AH52" i="8" s="1"/>
  <c r="AG30" i="8"/>
  <c r="AG52" i="8" s="1"/>
  <c r="AF30" i="8"/>
  <c r="AF52" i="8" s="1"/>
  <c r="AE30" i="8"/>
  <c r="AE52" i="8" s="1"/>
  <c r="AD30" i="8"/>
  <c r="AD52" i="8" s="1"/>
  <c r="AC30" i="8"/>
  <c r="AC52" i="8" s="1"/>
  <c r="AB30" i="8"/>
  <c r="AB52" i="8" s="1"/>
  <c r="AA30" i="8"/>
  <c r="AA52" i="8" s="1"/>
  <c r="Z30" i="8"/>
  <c r="Z52" i="8" s="1"/>
  <c r="Y30" i="8"/>
  <c r="Y52" i="8" s="1"/>
  <c r="X30" i="8"/>
  <c r="X52" i="8" s="1"/>
  <c r="W30" i="8"/>
  <c r="W52" i="8" s="1"/>
  <c r="V30" i="8"/>
  <c r="V52" i="8" s="1"/>
  <c r="U30" i="8"/>
  <c r="U52" i="8" s="1"/>
  <c r="T30" i="8"/>
  <c r="T52" i="8" s="1"/>
  <c r="S30" i="8"/>
  <c r="S52" i="8" s="1"/>
  <c r="R30" i="8"/>
  <c r="Q30" i="8"/>
  <c r="Q52" i="8" s="1"/>
  <c r="P30" i="8"/>
  <c r="P52" i="8" s="1"/>
  <c r="O30" i="8"/>
  <c r="O52" i="8" s="1"/>
  <c r="N30" i="8"/>
  <c r="N52" i="8" s="1"/>
  <c r="M30" i="8"/>
  <c r="M52" i="8" s="1"/>
  <c r="L30" i="8"/>
  <c r="L52" i="8" s="1"/>
  <c r="K30" i="8"/>
  <c r="K52" i="8" s="1"/>
  <c r="J30" i="8"/>
  <c r="J52" i="8" s="1"/>
  <c r="I30" i="8"/>
  <c r="I52" i="8" s="1"/>
  <c r="H30" i="8"/>
  <c r="H52" i="8" s="1"/>
  <c r="G30" i="8"/>
  <c r="G52" i="8" s="1"/>
  <c r="F30" i="8"/>
  <c r="F52" i="8" s="1"/>
  <c r="I77" i="4"/>
  <c r="R52" i="8" l="1"/>
  <c r="H52" i="4"/>
  <c r="G52" i="4"/>
  <c r="F52" i="4"/>
  <c r="BM51" i="6" l="1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BM30" i="6"/>
  <c r="BM52" i="6" s="1"/>
  <c r="BL30" i="6"/>
  <c r="BL52" i="6" s="1"/>
  <c r="BK30" i="6"/>
  <c r="BK52" i="6" s="1"/>
  <c r="BJ30" i="6"/>
  <c r="BI30" i="6"/>
  <c r="BI52" i="6" s="1"/>
  <c r="BH30" i="6"/>
  <c r="BG30" i="6"/>
  <c r="BG52" i="6" s="1"/>
  <c r="BF30" i="6"/>
  <c r="BF52" i="6" s="1"/>
  <c r="BE30" i="6"/>
  <c r="BE52" i="6" s="1"/>
  <c r="BD30" i="6"/>
  <c r="BD52" i="6" s="1"/>
  <c r="BC30" i="6"/>
  <c r="BC52" i="6" s="1"/>
  <c r="BB30" i="6"/>
  <c r="BA30" i="6"/>
  <c r="BA52" i="6" s="1"/>
  <c r="AZ30" i="6"/>
  <c r="AZ52" i="6" s="1"/>
  <c r="AY30" i="6"/>
  <c r="AY52" i="6" s="1"/>
  <c r="AX30" i="6"/>
  <c r="AW30" i="6"/>
  <c r="AW52" i="6" s="1"/>
  <c r="AV30" i="6"/>
  <c r="AV52" i="6" s="1"/>
  <c r="AU30" i="6"/>
  <c r="AU52" i="6" s="1"/>
  <c r="AT30" i="6"/>
  <c r="AT52" i="6" s="1"/>
  <c r="AS30" i="6"/>
  <c r="AS52" i="6" s="1"/>
  <c r="AR30" i="6"/>
  <c r="AR52" i="6" s="1"/>
  <c r="AQ30" i="6"/>
  <c r="AQ52" i="6" s="1"/>
  <c r="AP30" i="6"/>
  <c r="AP52" i="6" s="1"/>
  <c r="AO30" i="6"/>
  <c r="AO52" i="6" s="1"/>
  <c r="AN30" i="6"/>
  <c r="AN52" i="6" s="1"/>
  <c r="AM30" i="6"/>
  <c r="AM52" i="6" s="1"/>
  <c r="AL30" i="6"/>
  <c r="AK30" i="6"/>
  <c r="AK52" i="6" s="1"/>
  <c r="AJ30" i="6"/>
  <c r="AJ52" i="6" s="1"/>
  <c r="AI30" i="6"/>
  <c r="AI52" i="6" s="1"/>
  <c r="AH30" i="6"/>
  <c r="AH52" i="6" s="1"/>
  <c r="AG30" i="6"/>
  <c r="AG52" i="6" s="1"/>
  <c r="AF30" i="6"/>
  <c r="AF52" i="6" s="1"/>
  <c r="AE30" i="6"/>
  <c r="AE52" i="6" s="1"/>
  <c r="AD30" i="6"/>
  <c r="AD52" i="6" s="1"/>
  <c r="AC30" i="6"/>
  <c r="AC52" i="6" s="1"/>
  <c r="AB30" i="6"/>
  <c r="AB52" i="6" s="1"/>
  <c r="AA30" i="6"/>
  <c r="AA52" i="6" s="1"/>
  <c r="Z30" i="6"/>
  <c r="Z52" i="6" s="1"/>
  <c r="Y30" i="6"/>
  <c r="Y52" i="6" s="1"/>
  <c r="X30" i="6"/>
  <c r="X52" i="6" s="1"/>
  <c r="W30" i="6"/>
  <c r="W52" i="6" s="1"/>
  <c r="V30" i="6"/>
  <c r="U30" i="6"/>
  <c r="U52" i="6" s="1"/>
  <c r="T30" i="6"/>
  <c r="S30" i="6"/>
  <c r="S52" i="6" s="1"/>
  <c r="R30" i="6"/>
  <c r="Q30" i="6"/>
  <c r="Q52" i="6" s="1"/>
  <c r="P30" i="6"/>
  <c r="P52" i="6" s="1"/>
  <c r="O30" i="6"/>
  <c r="O52" i="6" s="1"/>
  <c r="N30" i="6"/>
  <c r="N52" i="6" s="1"/>
  <c r="M30" i="6"/>
  <c r="M52" i="6" s="1"/>
  <c r="L30" i="6"/>
  <c r="L52" i="6" s="1"/>
  <c r="K30" i="6"/>
  <c r="K52" i="6" s="1"/>
  <c r="J30" i="6"/>
  <c r="I30" i="6"/>
  <c r="I52" i="6" s="1"/>
  <c r="H30" i="6"/>
  <c r="H52" i="6" s="1"/>
  <c r="G30" i="6"/>
  <c r="F30" i="6"/>
  <c r="F52" i="6" s="1"/>
  <c r="I77" i="3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E30" i="4"/>
  <c r="BE52" i="4" s="1"/>
  <c r="BD30" i="4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R30" i="4"/>
  <c r="AQ30" i="4"/>
  <c r="AQ52" i="4" s="1"/>
  <c r="AP30" i="4"/>
  <c r="AP52" i="4" s="1"/>
  <c r="AO30" i="4"/>
  <c r="AO52" i="4" s="1"/>
  <c r="AN30" i="4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G30" i="4"/>
  <c r="F30" i="4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J52" i="6" l="1"/>
  <c r="BH52" i="6"/>
  <c r="BB52" i="6"/>
  <c r="AX52" i="6"/>
  <c r="AL52" i="6"/>
  <c r="V52" i="6"/>
  <c r="T52" i="6"/>
  <c r="R52" i="6"/>
  <c r="J52" i="6"/>
  <c r="AS52" i="4"/>
  <c r="G52" i="6"/>
  <c r="BF52" i="4"/>
  <c r="BD52" i="4"/>
  <c r="AR52" i="4"/>
  <c r="AN52" i="4"/>
  <c r="BH52" i="3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BN52" i="6" l="1"/>
  <c r="BP52" i="4"/>
  <c r="V52" i="1"/>
  <c r="BP52" i="1" s="1"/>
</calcChain>
</file>

<file path=xl/sharedStrings.xml><?xml version="1.0" encoding="utf-8"?>
<sst xmlns="http://schemas.openxmlformats.org/spreadsheetml/2006/main" count="1210" uniqueCount="81">
  <si>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</si>
  <si>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</si>
  <si>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</si>
  <si>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</si>
  <si>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</si>
  <si>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</si>
  <si>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</si>
  <si>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</si>
  <si>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</si>
  <si>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</si>
  <si>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</si>
  <si>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</si>
  <si>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</si>
  <si>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</si>
  <si>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</si>
  <si>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</si>
  <si>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</si>
  <si>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</si>
  <si>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</si>
  <si>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</si>
  <si>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</si>
  <si>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</si>
  <si>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</si>
  <si>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</si>
  <si>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</si>
  <si>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</si>
  <si>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</si>
  <si>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</si>
  <si>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</si>
  <si>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</si>
  <si>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</si>
  <si>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</si>
  <si>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</si>
  <si>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</si>
  <si>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</si>
  <si>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</si>
  <si>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</si>
  <si>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</si>
  <si>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</si>
  <si>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</si>
  <si>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</si>
  <si>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</si>
  <si>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</si>
  <si>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</si>
  <si>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</si>
  <si>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</si>
  <si>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</si>
  <si>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</si>
  <si>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</si>
  <si>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</si>
  <si>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</si>
  <si>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</si>
  <si>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</si>
  <si>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</si>
  <si>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</si>
  <si>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</si>
  <si>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</si>
  <si>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</si>
  <si>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</si>
  <si>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</si>
  <si>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</si>
  <si>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</si>
  <si>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</si>
  <si>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</si>
  <si>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</si>
  <si>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</si>
  <si>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</si>
  <si>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</si>
  <si>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</si>
  <si>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</si>
  <si>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</si>
  <si>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</si>
  <si>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</si>
  <si>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</si>
  <si>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</si>
  <si>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</si>
  <si>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</si>
  <si>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</si>
  <si>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</si>
  <si>
    <t xml:space="preserve">23.4.2026. voze se stakleni lusteri do BN Bosa </t>
  </si>
  <si>
    <t>3pll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</si>
</sst>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/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0" fontId="3" fillId="2" borderId="1" xfId="0" applyFont="1" applyFill="1" applyBorder="1" applyAlignment="1">
      <alignment horizont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10" fillId="7" borderId="2" xfId="0" applyNumberFormat="1" applyFont="1" applyFill="1" applyBorder="1" applyAlignment="1">
      <alignment horizontal="right" vertic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" fontId="4" fillId="9" borderId="3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57"/>
      <c r="B3" s="57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8">
        <v>46023</v>
      </c>
      <c r="G4" s="59"/>
      <c r="H4" s="58">
        <v>46024</v>
      </c>
      <c r="I4" s="59"/>
      <c r="J4" s="62">
        <v>46025</v>
      </c>
      <c r="K4" s="63"/>
      <c r="L4" s="62">
        <v>46026</v>
      </c>
      <c r="M4" s="63"/>
      <c r="N4" s="58">
        <v>46027</v>
      </c>
      <c r="O4" s="59"/>
      <c r="P4" s="58">
        <v>46028</v>
      </c>
      <c r="Q4" s="59"/>
      <c r="R4" s="58">
        <v>46029</v>
      </c>
      <c r="S4" s="59"/>
      <c r="T4" s="58">
        <v>46030</v>
      </c>
      <c r="U4" s="59"/>
      <c r="V4" s="58">
        <v>46031</v>
      </c>
      <c r="W4" s="59"/>
      <c r="X4" s="62">
        <v>46032</v>
      </c>
      <c r="Y4" s="63"/>
      <c r="Z4" s="62">
        <v>46033</v>
      </c>
      <c r="AA4" s="63"/>
      <c r="AB4" s="58">
        <v>46034</v>
      </c>
      <c r="AC4" s="59"/>
      <c r="AD4" s="58">
        <v>46035</v>
      </c>
      <c r="AE4" s="59"/>
      <c r="AF4" s="58">
        <v>46036</v>
      </c>
      <c r="AG4" s="59"/>
      <c r="AH4" s="58">
        <v>46037</v>
      </c>
      <c r="AI4" s="59"/>
      <c r="AJ4" s="58">
        <v>46038</v>
      </c>
      <c r="AK4" s="59"/>
      <c r="AL4" s="62">
        <v>46039</v>
      </c>
      <c r="AM4" s="63"/>
      <c r="AN4" s="62">
        <v>46040</v>
      </c>
      <c r="AO4" s="63"/>
      <c r="AP4" s="58">
        <v>46041</v>
      </c>
      <c r="AQ4" s="59"/>
      <c r="AR4" s="58">
        <v>46042</v>
      </c>
      <c r="AS4" s="59"/>
      <c r="AT4" s="58">
        <v>46043</v>
      </c>
      <c r="AU4" s="59"/>
      <c r="AV4" s="58">
        <v>46044</v>
      </c>
      <c r="AW4" s="59"/>
      <c r="AX4" s="58">
        <v>46045</v>
      </c>
      <c r="AY4" s="59"/>
      <c r="AZ4" s="62">
        <v>46046</v>
      </c>
      <c r="BA4" s="63"/>
      <c r="BB4" s="62">
        <v>46047</v>
      </c>
      <c r="BC4" s="63"/>
      <c r="BD4" s="58">
        <v>46048</v>
      </c>
      <c r="BE4" s="59"/>
      <c r="BF4" s="58">
        <v>46049</v>
      </c>
      <c r="BG4" s="59"/>
      <c r="BH4" s="58">
        <v>46050</v>
      </c>
      <c r="BI4" s="59"/>
      <c r="BJ4" s="58">
        <v>46051</v>
      </c>
      <c r="BK4" s="59"/>
      <c r="BL4" s="58">
        <v>46052</v>
      </c>
      <c r="BM4" s="59"/>
      <c r="BN4" s="62">
        <v>46053</v>
      </c>
      <c r="BO4" s="63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0" t="s">
        <v>11</v>
      </c>
      <c r="E30" s="60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60" t="s">
        <v>16</v>
      </c>
      <c r="E31" s="60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60" t="s">
        <v>20</v>
      </c>
      <c r="E32" s="60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60" t="s">
        <v>24</v>
      </c>
      <c r="E33" s="60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61">
        <v>680911.3</v>
      </c>
      <c r="J77" s="61"/>
    </row>
  </sheetData>
  <mergeCells count="37"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opLeftCell="AS37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57"/>
      <c r="B3" s="57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8">
        <v>46054</v>
      </c>
      <c r="G4" s="59"/>
      <c r="H4" s="58">
        <v>46055</v>
      </c>
      <c r="I4" s="59"/>
      <c r="J4" s="58">
        <v>46056</v>
      </c>
      <c r="K4" s="59"/>
      <c r="L4" s="58">
        <v>46057</v>
      </c>
      <c r="M4" s="59"/>
      <c r="N4" s="58">
        <v>46058</v>
      </c>
      <c r="O4" s="59"/>
      <c r="P4" s="58">
        <v>46059</v>
      </c>
      <c r="Q4" s="59"/>
      <c r="R4" s="58">
        <v>46060</v>
      </c>
      <c r="S4" s="59"/>
      <c r="T4" s="58">
        <v>46061</v>
      </c>
      <c r="U4" s="59"/>
      <c r="V4" s="58">
        <v>46062</v>
      </c>
      <c r="W4" s="59"/>
      <c r="X4" s="58">
        <v>46063</v>
      </c>
      <c r="Y4" s="59"/>
      <c r="Z4" s="58">
        <v>46064</v>
      </c>
      <c r="AA4" s="59"/>
      <c r="AB4" s="58">
        <v>46065</v>
      </c>
      <c r="AC4" s="59"/>
      <c r="AD4" s="58">
        <v>46066</v>
      </c>
      <c r="AE4" s="59"/>
      <c r="AF4" s="58">
        <v>46067</v>
      </c>
      <c r="AG4" s="59"/>
      <c r="AH4" s="58">
        <v>46068</v>
      </c>
      <c r="AI4" s="59"/>
      <c r="AJ4" s="58">
        <v>46069</v>
      </c>
      <c r="AK4" s="59"/>
      <c r="AL4" s="58">
        <v>46070</v>
      </c>
      <c r="AM4" s="59"/>
      <c r="AN4" s="58">
        <v>46071</v>
      </c>
      <c r="AO4" s="59"/>
      <c r="AP4" s="58">
        <v>46072</v>
      </c>
      <c r="AQ4" s="59"/>
      <c r="AR4" s="58">
        <v>46073</v>
      </c>
      <c r="AS4" s="59"/>
      <c r="AT4" s="58">
        <v>46074</v>
      </c>
      <c r="AU4" s="59"/>
      <c r="AV4" s="58">
        <v>46075</v>
      </c>
      <c r="AW4" s="59"/>
      <c r="AX4" s="58">
        <v>46076</v>
      </c>
      <c r="AY4" s="59"/>
      <c r="AZ4" s="58">
        <v>46077</v>
      </c>
      <c r="BA4" s="59"/>
      <c r="BB4" s="58">
        <v>46078</v>
      </c>
      <c r="BC4" s="59"/>
      <c r="BD4" s="58">
        <v>46079</v>
      </c>
      <c r="BE4" s="59"/>
      <c r="BF4" s="58">
        <v>46080</v>
      </c>
      <c r="BG4" s="59"/>
      <c r="BH4" s="58">
        <v>46081</v>
      </c>
      <c r="BI4" s="59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60" t="s">
        <v>11</v>
      </c>
      <c r="E30" s="60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60" t="s">
        <v>16</v>
      </c>
      <c r="E31" s="60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60" t="s">
        <v>20</v>
      </c>
      <c r="E32" s="60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3">
      <c r="D33" s="60" t="s">
        <v>24</v>
      </c>
      <c r="E33" s="60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61">
        <f>12765*117.3938</f>
        <v>1498531.8570000001</v>
      </c>
      <c r="J77" s="61"/>
    </row>
  </sheetData>
  <mergeCells count="34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Z4:BA4"/>
    <mergeCell ref="BB4:BC4"/>
    <mergeCell ref="BD4:BE4"/>
    <mergeCell ref="BF4:BG4"/>
    <mergeCell ref="BH4:BI4"/>
    <mergeCell ref="I77:J77"/>
    <mergeCell ref="D30:E30"/>
    <mergeCell ref="D31:E31"/>
    <mergeCell ref="D32:E32"/>
    <mergeCell ref="D33:E33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R77"/>
  <sheetViews>
    <sheetView topLeftCell="BB35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7" max="27" width="11.88671875" customWidth="1"/>
    <col min="28" max="28" width="11.6640625" customWidth="1"/>
    <col min="29" max="29" width="11.7773437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  <col min="70" max="70" width="15.44140625" bestFit="1" customWidth="1"/>
  </cols>
  <sheetData>
    <row r="3" spans="1:67" ht="18" x14ac:dyDescent="0.35">
      <c r="A3" s="57"/>
      <c r="B3" s="57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8">
        <v>46082</v>
      </c>
      <c r="G4" s="59"/>
      <c r="H4" s="58">
        <v>46083</v>
      </c>
      <c r="I4" s="59"/>
      <c r="J4" s="58">
        <v>46084</v>
      </c>
      <c r="K4" s="59"/>
      <c r="L4" s="58">
        <v>46085</v>
      </c>
      <c r="M4" s="59"/>
      <c r="N4" s="58">
        <v>46086</v>
      </c>
      <c r="O4" s="59"/>
      <c r="P4" s="58">
        <v>46087</v>
      </c>
      <c r="Q4" s="59"/>
      <c r="R4" s="58">
        <v>46088</v>
      </c>
      <c r="S4" s="59"/>
      <c r="T4" s="58">
        <v>46089</v>
      </c>
      <c r="U4" s="59"/>
      <c r="V4" s="58">
        <v>46090</v>
      </c>
      <c r="W4" s="59"/>
      <c r="X4" s="58">
        <v>46091</v>
      </c>
      <c r="Y4" s="59"/>
      <c r="Z4" s="58">
        <v>46092</v>
      </c>
      <c r="AA4" s="59"/>
      <c r="AB4" s="58">
        <v>46093</v>
      </c>
      <c r="AC4" s="59"/>
      <c r="AD4" s="58">
        <v>46094</v>
      </c>
      <c r="AE4" s="59"/>
      <c r="AF4" s="58">
        <v>46095</v>
      </c>
      <c r="AG4" s="59"/>
      <c r="AH4" s="58">
        <v>46096</v>
      </c>
      <c r="AI4" s="59"/>
      <c r="AJ4" s="58">
        <v>46097</v>
      </c>
      <c r="AK4" s="59"/>
      <c r="AL4" s="58">
        <v>46098</v>
      </c>
      <c r="AM4" s="59"/>
      <c r="AN4" s="58">
        <v>46099</v>
      </c>
      <c r="AO4" s="59"/>
      <c r="AP4" s="58">
        <v>46100</v>
      </c>
      <c r="AQ4" s="59"/>
      <c r="AR4" s="58">
        <v>46101</v>
      </c>
      <c r="AS4" s="59"/>
      <c r="AT4" s="58">
        <v>46102</v>
      </c>
      <c r="AU4" s="59"/>
      <c r="AV4" s="58">
        <v>46103</v>
      </c>
      <c r="AW4" s="59"/>
      <c r="AX4" s="58">
        <v>46104</v>
      </c>
      <c r="AY4" s="59"/>
      <c r="AZ4" s="58">
        <v>46105</v>
      </c>
      <c r="BA4" s="59"/>
      <c r="BB4" s="58">
        <v>46106</v>
      </c>
      <c r="BC4" s="59"/>
      <c r="BD4" s="58">
        <v>46107</v>
      </c>
      <c r="BE4" s="59"/>
      <c r="BF4" s="58">
        <v>46108</v>
      </c>
      <c r="BG4" s="59"/>
      <c r="BH4" s="58">
        <v>46109</v>
      </c>
      <c r="BI4" s="59"/>
      <c r="BJ4" s="58">
        <v>46110</v>
      </c>
      <c r="BK4" s="59"/>
      <c r="BL4" s="58">
        <v>46111</v>
      </c>
      <c r="BM4" s="59"/>
      <c r="BN4" s="58">
        <v>46112</v>
      </c>
      <c r="BO4" s="59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>
        <v>14</v>
      </c>
      <c r="Y6" s="10"/>
      <c r="Z6" s="10">
        <v>4</v>
      </c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>
        <v>17</v>
      </c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>
        <v>10</v>
      </c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>
        <v>15</v>
      </c>
      <c r="Y7" s="10"/>
      <c r="Z7" s="10">
        <v>4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>
        <v>17</v>
      </c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>
        <v>17</v>
      </c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>
        <v>12</v>
      </c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>
        <v>12</v>
      </c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>
        <v>7</v>
      </c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>
        <v>11</v>
      </c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8</v>
      </c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>
        <v>10</v>
      </c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>
        <v>12</v>
      </c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>
        <v>10</v>
      </c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>
        <v>9</v>
      </c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>
        <v>13</v>
      </c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>
        <v>10</v>
      </c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>
        <v>9</v>
      </c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>
        <v>6</v>
      </c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>
        <v>4</v>
      </c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>
        <v>8</v>
      </c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>
        <v>7</v>
      </c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>
        <v>6</v>
      </c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>
        <v>4</v>
      </c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>
        <v>12</v>
      </c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>
        <v>14</v>
      </c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>
        <v>12</v>
      </c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7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>
        <v>5</v>
      </c>
      <c r="AU15" s="45">
        <v>2</v>
      </c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>
        <v>5</v>
      </c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>
        <v>6</v>
      </c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>
        <v>8</v>
      </c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>
        <v>10</v>
      </c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>
        <v>12</v>
      </c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>
        <v>9</v>
      </c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>
        <v>8</v>
      </c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>
        <v>4</v>
      </c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>
        <v>6</v>
      </c>
      <c r="BI18" s="45"/>
      <c r="BJ18" s="45"/>
      <c r="BK18" s="45"/>
      <c r="BL18" s="6"/>
      <c r="BM18" s="6"/>
      <c r="BN18" s="6"/>
      <c r="BO18" s="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9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>
        <v>6</v>
      </c>
      <c r="AS19" s="15">
        <v>1</v>
      </c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>
        <v>5</v>
      </c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>
        <v>9</v>
      </c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>
        <v>8</v>
      </c>
      <c r="AS20" s="15">
        <v>2</v>
      </c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>
        <v>6</v>
      </c>
      <c r="BI20" s="45"/>
      <c r="BJ20" s="45"/>
      <c r="BK20" s="45"/>
      <c r="BL20" s="6"/>
      <c r="BM20" s="6"/>
      <c r="BN20" s="6"/>
      <c r="BO20" s="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>
        <v>8</v>
      </c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>
        <v>6</v>
      </c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>
        <v>7</v>
      </c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>
        <v>7</v>
      </c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>
        <v>9</v>
      </c>
      <c r="AQ22" s="15">
        <v>2</v>
      </c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>
        <v>5</v>
      </c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>
        <v>9</v>
      </c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>
        <v>8</v>
      </c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9</v>
      </c>
      <c r="BI23" s="45"/>
      <c r="BJ23" s="45"/>
      <c r="BK23" s="45"/>
      <c r="BL23" s="6"/>
      <c r="BM23" s="6"/>
      <c r="BN23" s="6"/>
      <c r="BO23" s="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>
        <v>2</v>
      </c>
      <c r="AB24" s="15">
        <v>7</v>
      </c>
      <c r="AC24" s="15">
        <v>2</v>
      </c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>
        <v>4</v>
      </c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>
        <v>9</v>
      </c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>
        <v>9</v>
      </c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>
        <v>8</v>
      </c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>
        <v>5</v>
      </c>
      <c r="BI25" s="45"/>
      <c r="BJ25" s="45"/>
      <c r="BK25" s="45"/>
      <c r="BL25" s="6"/>
      <c r="BM25" s="6"/>
      <c r="BN25" s="6"/>
      <c r="BO25" s="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>
        <v>5</v>
      </c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>
        <v>7</v>
      </c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>
        <v>6</v>
      </c>
      <c r="BI26" s="45"/>
      <c r="BJ26" s="45"/>
      <c r="BK26" s="45"/>
      <c r="BL26" s="6"/>
      <c r="BM26" s="6"/>
      <c r="BN26" s="6"/>
      <c r="BO26" s="6"/>
    </row>
    <row r="27" spans="1:67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>
        <v>18</v>
      </c>
      <c r="AM27" s="15"/>
      <c r="AN27" s="15"/>
      <c r="AO27" s="15"/>
      <c r="AP27" s="15"/>
      <c r="AQ27" s="15"/>
      <c r="AR27" s="15"/>
      <c r="AS27" s="15">
        <v>18</v>
      </c>
      <c r="AT27" s="45">
        <v>72</v>
      </c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>
        <v>11</v>
      </c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0" t="s">
        <v>11</v>
      </c>
      <c r="E30" s="60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210</v>
      </c>
      <c r="Y30" s="24">
        <f t="shared" si="0"/>
        <v>0</v>
      </c>
      <c r="Z30" s="24">
        <f t="shared" si="0"/>
        <v>60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255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150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60" t="s">
        <v>16</v>
      </c>
      <c r="E31" s="60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225</v>
      </c>
      <c r="Y31" s="24">
        <f t="shared" si="0"/>
        <v>0</v>
      </c>
      <c r="Z31" s="24">
        <f t="shared" si="0"/>
        <v>60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255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255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3">
      <c r="D32" s="60" t="s">
        <v>20</v>
      </c>
      <c r="E32" s="60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180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180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3">
      <c r="D33" s="60" t="s">
        <v>24</v>
      </c>
      <c r="E33" s="60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105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165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120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150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180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150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3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135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195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150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3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320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280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240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160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3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360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240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160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3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360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420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360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3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210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150</v>
      </c>
      <c r="AU39" s="24">
        <f t="shared" si="10"/>
        <v>60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150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3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180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240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3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400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480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360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3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280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140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210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3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315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210</v>
      </c>
      <c r="AS43" s="24">
        <f t="shared" si="16"/>
        <v>35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175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3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315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280</v>
      </c>
      <c r="AS44" s="24">
        <f t="shared" si="16"/>
        <v>70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210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3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280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210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245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3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245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315</v>
      </c>
      <c r="AQ46" s="24">
        <f t="shared" si="18"/>
        <v>70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175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3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315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280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315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3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90</v>
      </c>
      <c r="AB48" s="24">
        <f t="shared" si="22"/>
        <v>315</v>
      </c>
      <c r="AC48" s="24">
        <f t="shared" si="22"/>
        <v>90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180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70" x14ac:dyDescent="0.3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315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315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280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175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70" x14ac:dyDescent="0.3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175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245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210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70" x14ac:dyDescent="0.3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270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270</v>
      </c>
      <c r="AT51" s="24">
        <f t="shared" si="27"/>
        <v>1080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165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70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1825</v>
      </c>
      <c r="K52" s="27">
        <f t="shared" si="29"/>
        <v>0</v>
      </c>
      <c r="L52" s="27">
        <f t="shared" si="29"/>
        <v>1755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675</v>
      </c>
      <c r="Y52" s="27">
        <f t="shared" si="29"/>
        <v>0</v>
      </c>
      <c r="Z52" s="27">
        <f t="shared" si="29"/>
        <v>1820</v>
      </c>
      <c r="AA52" s="27">
        <f t="shared" si="29"/>
        <v>265</v>
      </c>
      <c r="AB52" s="27">
        <f t="shared" si="29"/>
        <v>990</v>
      </c>
      <c r="AC52" s="27">
        <f t="shared" si="29"/>
        <v>90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270</v>
      </c>
      <c r="AM52" s="27">
        <f t="shared" si="29"/>
        <v>0</v>
      </c>
      <c r="AN52" s="27">
        <f t="shared" si="29"/>
        <v>1170</v>
      </c>
      <c r="AO52" s="27">
        <f t="shared" si="29"/>
        <v>0</v>
      </c>
      <c r="AP52" s="27">
        <f t="shared" si="29"/>
        <v>855</v>
      </c>
      <c r="AQ52" s="27">
        <f t="shared" si="29"/>
        <v>70</v>
      </c>
      <c r="AR52" s="27">
        <f t="shared" si="29"/>
        <v>2340</v>
      </c>
      <c r="AS52" s="27">
        <f t="shared" si="29"/>
        <v>375</v>
      </c>
      <c r="AT52" s="27">
        <f t="shared" si="29"/>
        <v>1795</v>
      </c>
      <c r="AU52" s="27">
        <f t="shared" si="29"/>
        <v>60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735</v>
      </c>
      <c r="BC52" s="27">
        <f t="shared" si="29"/>
        <v>0</v>
      </c>
      <c r="BD52" s="27">
        <f t="shared" si="29"/>
        <v>910</v>
      </c>
      <c r="BE52" s="27">
        <f t="shared" si="29"/>
        <v>0</v>
      </c>
      <c r="BF52" s="27">
        <f t="shared" si="29"/>
        <v>1385</v>
      </c>
      <c r="BG52" s="27">
        <f t="shared" si="29"/>
        <v>165</v>
      </c>
      <c r="BH52" s="27">
        <f t="shared" si="29"/>
        <v>1120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  <c r="BP52" s="24">
        <f>SUM(F52:BO52)</f>
        <v>18670</v>
      </c>
      <c r="BR52" s="24"/>
    </row>
    <row r="54" spans="1:70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70" x14ac:dyDescent="0.3">
      <c r="F55" s="8" t="s">
        <v>8</v>
      </c>
      <c r="G55" s="8" t="s">
        <v>11</v>
      </c>
      <c r="H55" s="8" t="s">
        <v>12</v>
      </c>
      <c r="I55" s="8">
        <v>45</v>
      </c>
      <c r="J55" s="8">
        <v>0</v>
      </c>
      <c r="AR55" s="29"/>
      <c r="AS55" s="29"/>
      <c r="AT55" s="29"/>
    </row>
    <row r="56" spans="1:70" x14ac:dyDescent="0.3">
      <c r="F56" s="8" t="s">
        <v>13</v>
      </c>
      <c r="G56" s="8" t="s">
        <v>16</v>
      </c>
      <c r="H56" s="8" t="s">
        <v>12</v>
      </c>
      <c r="I56" s="8">
        <v>53</v>
      </c>
      <c r="J56" s="8">
        <v>0</v>
      </c>
    </row>
    <row r="57" spans="1:70" x14ac:dyDescent="0.3">
      <c r="F57" s="8" t="s">
        <v>17</v>
      </c>
      <c r="G57" s="8" t="s">
        <v>20</v>
      </c>
      <c r="H57" s="8" t="s">
        <v>12</v>
      </c>
      <c r="I57" s="8">
        <v>37</v>
      </c>
      <c r="J57" s="8">
        <v>0</v>
      </c>
    </row>
    <row r="58" spans="1:70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70" x14ac:dyDescent="0.3">
      <c r="F59" s="8" t="s">
        <v>26</v>
      </c>
      <c r="G59" s="8" t="s">
        <v>29</v>
      </c>
      <c r="H59" s="8" t="s">
        <v>12</v>
      </c>
      <c r="I59" s="8">
        <v>32</v>
      </c>
      <c r="J59" s="8">
        <v>0</v>
      </c>
    </row>
    <row r="60" spans="1:70" x14ac:dyDescent="0.3">
      <c r="F60" s="8" t="s">
        <v>30</v>
      </c>
      <c r="G60" s="8" t="s">
        <v>32</v>
      </c>
      <c r="H60" s="8" t="s">
        <v>25</v>
      </c>
      <c r="I60" s="8">
        <v>32</v>
      </c>
      <c r="J60" s="8">
        <v>0</v>
      </c>
    </row>
    <row r="61" spans="1:70" x14ac:dyDescent="0.3">
      <c r="F61" s="8" t="s">
        <v>33</v>
      </c>
      <c r="G61" s="8" t="s">
        <v>75</v>
      </c>
      <c r="H61" s="8" t="s">
        <v>35</v>
      </c>
      <c r="I61" s="8">
        <v>29</v>
      </c>
      <c r="J61" s="8">
        <v>0</v>
      </c>
    </row>
    <row r="62" spans="1:70" x14ac:dyDescent="0.3">
      <c r="F62" s="8" t="s">
        <v>36</v>
      </c>
      <c r="G62" s="8" t="s">
        <v>38</v>
      </c>
      <c r="H62" s="8" t="s">
        <v>35</v>
      </c>
      <c r="I62" s="8">
        <v>25</v>
      </c>
      <c r="J62" s="8">
        <v>0</v>
      </c>
    </row>
    <row r="63" spans="1:70" x14ac:dyDescent="0.3">
      <c r="F63" s="8" t="s">
        <v>39</v>
      </c>
      <c r="G63" s="8" t="s">
        <v>41</v>
      </c>
      <c r="H63" s="8" t="s">
        <v>42</v>
      </c>
      <c r="I63" s="8">
        <v>38</v>
      </c>
      <c r="J63" s="8">
        <v>0</v>
      </c>
    </row>
    <row r="64" spans="1:70" x14ac:dyDescent="0.3">
      <c r="F64" s="8" t="s">
        <v>43</v>
      </c>
      <c r="G64" s="8" t="s">
        <v>45</v>
      </c>
      <c r="H64" s="8" t="s">
        <v>45</v>
      </c>
      <c r="I64" s="8">
        <v>17</v>
      </c>
      <c r="J64" s="8">
        <v>2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18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20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23</v>
      </c>
      <c r="J69" s="8">
        <v>2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21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21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26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20</v>
      </c>
      <c r="J73" s="8">
        <v>4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22</v>
      </c>
      <c r="J75" s="8">
        <v>5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90</v>
      </c>
      <c r="J76" s="8">
        <v>29</v>
      </c>
    </row>
    <row r="77" spans="6:10" x14ac:dyDescent="0.3">
      <c r="F77" s="32"/>
      <c r="G77" s="33" t="s">
        <v>77</v>
      </c>
      <c r="H77" s="34"/>
      <c r="I77" s="61">
        <f>18670*117.3737</f>
        <v>2191366.9789999998</v>
      </c>
      <c r="J77" s="61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5EC-7B88-4BF9-9616-7B9FBD4324E2}">
  <dimension ref="A3:BQ77"/>
  <sheetViews>
    <sheetView tabSelected="1" topLeftCell="A53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5" ht="18" x14ac:dyDescent="0.35">
      <c r="A3" s="57"/>
      <c r="B3" s="57"/>
      <c r="C3" s="1" t="s">
        <v>0</v>
      </c>
    </row>
    <row r="4" spans="1:65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8">
        <v>46113</v>
      </c>
      <c r="G4" s="59"/>
      <c r="H4" s="58">
        <v>46114</v>
      </c>
      <c r="I4" s="59"/>
      <c r="J4" s="58">
        <v>46115</v>
      </c>
      <c r="K4" s="59"/>
      <c r="L4" s="64">
        <v>46116</v>
      </c>
      <c r="M4" s="65"/>
      <c r="N4" s="64">
        <v>46117</v>
      </c>
      <c r="O4" s="65"/>
      <c r="P4" s="58">
        <v>46118</v>
      </c>
      <c r="Q4" s="59"/>
      <c r="R4" s="58">
        <v>46119</v>
      </c>
      <c r="S4" s="59"/>
      <c r="T4" s="58">
        <v>46120</v>
      </c>
      <c r="U4" s="59"/>
      <c r="V4" s="58">
        <v>46121</v>
      </c>
      <c r="W4" s="59"/>
      <c r="X4" s="58">
        <v>46122</v>
      </c>
      <c r="Y4" s="59"/>
      <c r="Z4" s="64">
        <v>46123</v>
      </c>
      <c r="AA4" s="65"/>
      <c r="AB4" s="64">
        <v>46124</v>
      </c>
      <c r="AC4" s="65"/>
      <c r="AD4" s="58">
        <v>46125</v>
      </c>
      <c r="AE4" s="59"/>
      <c r="AF4" s="58">
        <v>46126</v>
      </c>
      <c r="AG4" s="59"/>
      <c r="AH4" s="58">
        <v>46127</v>
      </c>
      <c r="AI4" s="59"/>
      <c r="AJ4" s="58">
        <v>46128</v>
      </c>
      <c r="AK4" s="59"/>
      <c r="AL4" s="58">
        <v>46129</v>
      </c>
      <c r="AM4" s="59"/>
      <c r="AN4" s="64">
        <v>46130</v>
      </c>
      <c r="AO4" s="65"/>
      <c r="AP4" s="64">
        <v>46131</v>
      </c>
      <c r="AQ4" s="65"/>
      <c r="AR4" s="58">
        <v>46132</v>
      </c>
      <c r="AS4" s="59"/>
      <c r="AT4" s="58">
        <v>46133</v>
      </c>
      <c r="AU4" s="59"/>
      <c r="AV4" s="58">
        <v>46134</v>
      </c>
      <c r="AW4" s="59"/>
      <c r="AX4" s="58">
        <v>46135</v>
      </c>
      <c r="AY4" s="59"/>
      <c r="AZ4" s="58">
        <v>46136</v>
      </c>
      <c r="BA4" s="59"/>
      <c r="BB4" s="64">
        <v>46137</v>
      </c>
      <c r="BC4" s="65"/>
      <c r="BD4" s="64">
        <v>46138</v>
      </c>
      <c r="BE4" s="65"/>
      <c r="BF4" s="58">
        <v>46139</v>
      </c>
      <c r="BG4" s="59"/>
      <c r="BH4" s="58">
        <v>46140</v>
      </c>
      <c r="BI4" s="59"/>
      <c r="BJ4" s="58">
        <v>46141</v>
      </c>
      <c r="BK4" s="59"/>
      <c r="BL4" s="58">
        <v>46142</v>
      </c>
      <c r="BM4" s="59"/>
    </row>
    <row r="5" spans="1:65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</row>
    <row r="6" spans="1:65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>
        <v>18</v>
      </c>
      <c r="I6" s="10"/>
      <c r="J6" s="10"/>
      <c r="K6" s="10"/>
      <c r="L6" s="48"/>
      <c r="M6" s="48"/>
      <c r="N6" s="48"/>
      <c r="O6" s="48"/>
      <c r="P6" s="10"/>
      <c r="Q6" s="10"/>
      <c r="R6" s="10"/>
      <c r="S6" s="10"/>
      <c r="T6" s="10">
        <v>14</v>
      </c>
      <c r="U6" s="10"/>
      <c r="V6" s="10"/>
      <c r="W6" s="10"/>
      <c r="X6" s="10"/>
      <c r="Y6" s="10"/>
      <c r="Z6" s="48"/>
      <c r="AA6" s="48"/>
      <c r="AB6" s="48"/>
      <c r="AC6" s="48"/>
      <c r="AD6" s="10"/>
      <c r="AE6" s="10"/>
      <c r="AF6" s="10"/>
      <c r="AG6" s="10"/>
      <c r="AH6" s="10"/>
      <c r="AI6" s="10"/>
      <c r="AJ6" s="10">
        <v>9</v>
      </c>
      <c r="AK6" s="10"/>
      <c r="AL6" s="10"/>
      <c r="AM6" s="10"/>
      <c r="AN6" s="48"/>
      <c r="AO6" s="48"/>
      <c r="AP6" s="48"/>
      <c r="AQ6" s="48"/>
      <c r="AR6" s="10"/>
      <c r="AS6" s="10"/>
      <c r="AT6" s="10">
        <v>9</v>
      </c>
      <c r="AU6" s="10"/>
      <c r="AV6" s="10"/>
      <c r="AW6" s="10"/>
      <c r="AX6" s="10">
        <v>14</v>
      </c>
      <c r="AY6" s="10"/>
      <c r="AZ6" s="10"/>
      <c r="BA6" s="10"/>
      <c r="BB6" s="48"/>
      <c r="BC6" s="48"/>
      <c r="BD6" s="48"/>
      <c r="BE6" s="48"/>
      <c r="BF6" s="10"/>
      <c r="BG6" s="10"/>
      <c r="BH6" s="10"/>
      <c r="BI6" s="10"/>
      <c r="BJ6" s="10">
        <v>13</v>
      </c>
      <c r="BK6" s="10"/>
      <c r="BL6" s="46"/>
      <c r="BM6" s="46"/>
    </row>
    <row r="7" spans="1:65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>
        <v>18</v>
      </c>
      <c r="I7" s="10"/>
      <c r="J7" s="10"/>
      <c r="K7" s="10"/>
      <c r="L7" s="48"/>
      <c r="M7" s="48"/>
      <c r="N7" s="48"/>
      <c r="O7" s="48"/>
      <c r="P7" s="10"/>
      <c r="Q7" s="10"/>
      <c r="R7" s="10"/>
      <c r="S7" s="10"/>
      <c r="T7" s="10">
        <v>14</v>
      </c>
      <c r="U7" s="10"/>
      <c r="V7" s="10"/>
      <c r="W7" s="10"/>
      <c r="X7" s="10"/>
      <c r="Y7" s="10"/>
      <c r="Z7" s="48"/>
      <c r="AA7" s="48"/>
      <c r="AB7" s="48"/>
      <c r="AC7" s="48"/>
      <c r="AD7" s="10"/>
      <c r="AE7" s="10"/>
      <c r="AF7" s="10"/>
      <c r="AG7" s="10"/>
      <c r="AH7" s="10"/>
      <c r="AI7" s="10"/>
      <c r="AJ7" s="10">
        <v>11</v>
      </c>
      <c r="AK7" s="10"/>
      <c r="AL7" s="10"/>
      <c r="AM7" s="10"/>
      <c r="AN7" s="48"/>
      <c r="AO7" s="48"/>
      <c r="AP7" s="48"/>
      <c r="AQ7" s="48"/>
      <c r="AR7" s="10"/>
      <c r="AS7" s="10"/>
      <c r="AT7" s="10"/>
      <c r="AU7" s="10"/>
      <c r="AV7" s="10"/>
      <c r="AW7" s="10"/>
      <c r="AX7" s="10">
        <v>16</v>
      </c>
      <c r="AY7" s="10"/>
      <c r="AZ7" s="10"/>
      <c r="BA7" s="10"/>
      <c r="BB7" s="48"/>
      <c r="BC7" s="48"/>
      <c r="BD7" s="48"/>
      <c r="BE7" s="48"/>
      <c r="BF7" s="10"/>
      <c r="BG7" s="10"/>
      <c r="BH7" s="10"/>
      <c r="BI7" s="10"/>
      <c r="BJ7" s="10"/>
      <c r="BK7" s="10"/>
      <c r="BL7" s="46"/>
      <c r="BM7" s="46"/>
    </row>
    <row r="8" spans="1:65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>
        <v>13</v>
      </c>
      <c r="I8" s="10"/>
      <c r="J8" s="10">
        <v>1</v>
      </c>
      <c r="K8" s="10"/>
      <c r="L8" s="48"/>
      <c r="M8" s="48"/>
      <c r="N8" s="48"/>
      <c r="O8" s="48"/>
      <c r="P8" s="10"/>
      <c r="Q8" s="10"/>
      <c r="R8" s="10"/>
      <c r="S8" s="10"/>
      <c r="T8" s="10">
        <v>10</v>
      </c>
      <c r="U8" s="10"/>
      <c r="V8" s="10"/>
      <c r="W8" s="10"/>
      <c r="X8" s="10"/>
      <c r="Y8" s="10"/>
      <c r="Z8" s="48"/>
      <c r="AA8" s="48"/>
      <c r="AB8" s="48"/>
      <c r="AC8" s="48"/>
      <c r="AD8" s="10"/>
      <c r="AE8" s="10"/>
      <c r="AF8" s="10"/>
      <c r="AG8" s="10"/>
      <c r="AH8" s="10"/>
      <c r="AI8" s="10"/>
      <c r="AJ8" s="10">
        <v>11</v>
      </c>
      <c r="AK8" s="10"/>
      <c r="AL8" s="10"/>
      <c r="AM8" s="10"/>
      <c r="AN8" s="48"/>
      <c r="AO8" s="48"/>
      <c r="AP8" s="48"/>
      <c r="AQ8" s="48"/>
      <c r="AR8" s="10"/>
      <c r="AS8" s="10"/>
      <c r="AT8" s="10"/>
      <c r="AU8" s="10"/>
      <c r="AV8" s="10"/>
      <c r="AW8" s="10"/>
      <c r="AX8" s="10">
        <v>14</v>
      </c>
      <c r="AY8" s="10"/>
      <c r="AZ8" s="10"/>
      <c r="BA8" s="10"/>
      <c r="BB8" s="48"/>
      <c r="BC8" s="48"/>
      <c r="BD8" s="48"/>
      <c r="BE8" s="48"/>
      <c r="BF8" s="10"/>
      <c r="BG8" s="10"/>
      <c r="BH8" s="10"/>
      <c r="BI8" s="10"/>
      <c r="BJ8" s="10"/>
      <c r="BK8" s="10"/>
      <c r="BL8" s="46"/>
      <c r="BM8" s="46"/>
    </row>
    <row r="9" spans="1:65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48"/>
      <c r="M9" s="48"/>
      <c r="N9" s="48"/>
      <c r="O9" s="48"/>
      <c r="P9" s="10"/>
      <c r="Q9" s="10"/>
      <c r="R9" s="10"/>
      <c r="S9" s="10"/>
      <c r="T9" s="10"/>
      <c r="U9" s="10"/>
      <c r="V9" s="10">
        <v>9</v>
      </c>
      <c r="W9" s="10"/>
      <c r="X9" s="10"/>
      <c r="Y9" s="10"/>
      <c r="Z9" s="48"/>
      <c r="AA9" s="48"/>
      <c r="AB9" s="48"/>
      <c r="AC9" s="48"/>
      <c r="AD9" s="10"/>
      <c r="AE9" s="10"/>
      <c r="AF9" s="10"/>
      <c r="AG9" s="10"/>
      <c r="AH9" s="10"/>
      <c r="AI9" s="10"/>
      <c r="AJ9" s="10"/>
      <c r="AK9" s="10"/>
      <c r="AL9" s="10">
        <v>9</v>
      </c>
      <c r="AM9" s="10"/>
      <c r="AN9" s="48"/>
      <c r="AO9" s="48"/>
      <c r="AP9" s="48"/>
      <c r="AQ9" s="48"/>
      <c r="AR9" s="10"/>
      <c r="AS9" s="10"/>
      <c r="AT9" s="10"/>
      <c r="AU9" s="10"/>
      <c r="AV9" s="10"/>
      <c r="AW9" s="10"/>
      <c r="AX9" s="10"/>
      <c r="AY9" s="10"/>
      <c r="AZ9" s="10">
        <v>8</v>
      </c>
      <c r="BA9" s="10"/>
      <c r="BB9" s="48"/>
      <c r="BC9" s="48"/>
      <c r="BD9" s="48"/>
      <c r="BE9" s="48"/>
      <c r="BF9" s="10"/>
      <c r="BG9" s="10"/>
      <c r="BH9" s="10"/>
      <c r="BI9" s="10"/>
      <c r="BJ9" s="10"/>
      <c r="BK9" s="10"/>
      <c r="BL9" s="46"/>
      <c r="BM9" s="46"/>
    </row>
    <row r="10" spans="1:65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>
        <v>13</v>
      </c>
      <c r="K10" s="12"/>
      <c r="L10" s="48"/>
      <c r="M10" s="49"/>
      <c r="N10" s="48"/>
      <c r="O10" s="49"/>
      <c r="P10" s="10"/>
      <c r="Q10" s="12"/>
      <c r="R10" s="12"/>
      <c r="S10" s="12"/>
      <c r="T10" s="12"/>
      <c r="U10" s="12"/>
      <c r="V10" s="12">
        <v>12</v>
      </c>
      <c r="W10" s="12"/>
      <c r="X10" s="12"/>
      <c r="Y10" s="12"/>
      <c r="Z10" s="49"/>
      <c r="AA10" s="49"/>
      <c r="AB10" s="49"/>
      <c r="AC10" s="49"/>
      <c r="AD10" s="12"/>
      <c r="AE10" s="12"/>
      <c r="AF10" s="12"/>
      <c r="AG10" s="12"/>
      <c r="AH10" s="12"/>
      <c r="AI10" s="12"/>
      <c r="AJ10" s="12"/>
      <c r="AK10" s="12"/>
      <c r="AL10" s="12">
        <v>7</v>
      </c>
      <c r="AM10" s="12"/>
      <c r="AN10" s="49"/>
      <c r="AO10" s="49"/>
      <c r="AP10" s="49"/>
      <c r="AQ10" s="49"/>
      <c r="AR10" s="12"/>
      <c r="AS10" s="12"/>
      <c r="AT10" s="12"/>
      <c r="AU10" s="12"/>
      <c r="AV10" s="12"/>
      <c r="AW10" s="12"/>
      <c r="AX10" s="12"/>
      <c r="AY10" s="12"/>
      <c r="AZ10" s="12">
        <v>8</v>
      </c>
      <c r="BA10" s="12"/>
      <c r="BB10" s="49"/>
      <c r="BC10" s="49"/>
      <c r="BD10" s="49"/>
      <c r="BE10" s="49"/>
      <c r="BF10" s="12"/>
      <c r="BG10" s="12"/>
      <c r="BH10" s="12"/>
      <c r="BI10" s="12"/>
      <c r="BJ10" s="12"/>
      <c r="BK10" s="12"/>
      <c r="BL10" s="46"/>
      <c r="BM10" s="46"/>
    </row>
    <row r="11" spans="1:65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>
        <v>12</v>
      </c>
      <c r="K11" s="12"/>
      <c r="L11" s="48">
        <v>12</v>
      </c>
      <c r="M11" s="49"/>
      <c r="N11" s="48"/>
      <c r="O11" s="49"/>
      <c r="P11" s="12"/>
      <c r="Q11" s="12"/>
      <c r="R11" s="12"/>
      <c r="S11" s="12"/>
      <c r="T11" s="12"/>
      <c r="U11" s="12"/>
      <c r="V11" s="12">
        <v>11</v>
      </c>
      <c r="W11" s="12"/>
      <c r="X11" s="12"/>
      <c r="Y11" s="12"/>
      <c r="Z11" s="49"/>
      <c r="AA11" s="49"/>
      <c r="AB11" s="49"/>
      <c r="AC11" s="49"/>
      <c r="AD11" s="12"/>
      <c r="AE11" s="12"/>
      <c r="AF11" s="12"/>
      <c r="AG11" s="12"/>
      <c r="AH11" s="12"/>
      <c r="AI11" s="12"/>
      <c r="AJ11" s="12"/>
      <c r="AK11" s="12"/>
      <c r="AL11" s="12">
        <v>9</v>
      </c>
      <c r="AM11" s="12"/>
      <c r="AN11" s="49"/>
      <c r="AO11" s="49"/>
      <c r="AP11" s="49"/>
      <c r="AQ11" s="49"/>
      <c r="AR11" s="12"/>
      <c r="AS11" s="12"/>
      <c r="AT11" s="12"/>
      <c r="AU11" s="12"/>
      <c r="AV11" s="12"/>
      <c r="AW11" s="12"/>
      <c r="AX11" s="12"/>
      <c r="AY11" s="12"/>
      <c r="AZ11" s="12">
        <v>12</v>
      </c>
      <c r="BA11" s="12"/>
      <c r="BB11" s="49"/>
      <c r="BC11" s="49"/>
      <c r="BD11" s="49"/>
      <c r="BE11" s="49"/>
      <c r="BF11" s="12"/>
      <c r="BG11" s="12"/>
      <c r="BH11" s="12"/>
      <c r="BI11" s="12"/>
      <c r="BJ11" s="12"/>
      <c r="BK11" s="12"/>
      <c r="BL11" s="46"/>
      <c r="BM11" s="46"/>
    </row>
    <row r="12" spans="1:65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48"/>
      <c r="M12" s="49"/>
      <c r="N12" s="48"/>
      <c r="O12" s="49"/>
      <c r="P12" s="12"/>
      <c r="Q12" s="12"/>
      <c r="R12" s="12">
        <v>7</v>
      </c>
      <c r="S12" s="12"/>
      <c r="T12" s="12"/>
      <c r="U12" s="12"/>
      <c r="V12" s="12"/>
      <c r="W12" s="12"/>
      <c r="X12" s="12"/>
      <c r="Y12" s="12"/>
      <c r="Z12" s="49"/>
      <c r="AA12" s="49"/>
      <c r="AB12" s="49"/>
      <c r="AC12" s="4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9"/>
      <c r="AO12" s="49"/>
      <c r="AP12" s="49"/>
      <c r="AQ12" s="4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49">
        <v>10</v>
      </c>
      <c r="BC12" s="49"/>
      <c r="BD12" s="49"/>
      <c r="BE12" s="49"/>
      <c r="BF12" s="12"/>
      <c r="BG12" s="12"/>
      <c r="BH12" s="12"/>
      <c r="BI12" s="12"/>
      <c r="BJ12" s="12"/>
      <c r="BK12" s="12"/>
      <c r="BL12" s="46"/>
      <c r="BM12" s="46"/>
    </row>
    <row r="13" spans="1:65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48"/>
      <c r="M13" s="49"/>
      <c r="N13" s="48"/>
      <c r="O13" s="49"/>
      <c r="P13" s="12"/>
      <c r="Q13" s="12"/>
      <c r="R13" s="12"/>
      <c r="S13" s="12"/>
      <c r="T13" s="12">
        <v>7</v>
      </c>
      <c r="U13" s="12"/>
      <c r="V13" s="12"/>
      <c r="W13" s="12"/>
      <c r="X13" s="12"/>
      <c r="Y13" s="12"/>
      <c r="Z13" s="49"/>
      <c r="AA13" s="49"/>
      <c r="AB13" s="49"/>
      <c r="AC13" s="4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9"/>
      <c r="AO13" s="49"/>
      <c r="AP13" s="49"/>
      <c r="AQ13" s="4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49"/>
      <c r="BC13" s="49"/>
      <c r="BD13" s="49"/>
      <c r="BE13" s="49"/>
      <c r="BF13" s="12"/>
      <c r="BG13" s="12"/>
      <c r="BH13" s="12">
        <v>8</v>
      </c>
      <c r="BI13" s="12">
        <v>2</v>
      </c>
      <c r="BJ13" s="12"/>
      <c r="BK13" s="12"/>
      <c r="BL13" s="46"/>
      <c r="BM13" s="46"/>
    </row>
    <row r="14" spans="1:65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48">
        <v>12</v>
      </c>
      <c r="M14" s="49"/>
      <c r="N14" s="48"/>
      <c r="O14" s="4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49"/>
      <c r="AA14" s="49"/>
      <c r="AB14" s="49"/>
      <c r="AC14" s="49"/>
      <c r="AD14" s="12"/>
      <c r="AE14" s="12"/>
      <c r="AF14" s="12"/>
      <c r="AG14" s="12"/>
      <c r="AH14" s="12"/>
      <c r="AI14" s="12"/>
      <c r="AJ14" s="12"/>
      <c r="AK14" s="12"/>
      <c r="AL14" s="12">
        <v>12</v>
      </c>
      <c r="AM14" s="12"/>
      <c r="AN14" s="49"/>
      <c r="AO14" s="49"/>
      <c r="AP14" s="49"/>
      <c r="AQ14" s="4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49">
        <v>12</v>
      </c>
      <c r="BC14" s="49"/>
      <c r="BD14" s="49"/>
      <c r="BE14" s="49"/>
      <c r="BF14" s="12"/>
      <c r="BG14" s="12"/>
      <c r="BH14" s="12"/>
      <c r="BI14" s="12"/>
      <c r="BJ14" s="12"/>
      <c r="BK14" s="12"/>
      <c r="BL14" s="46"/>
      <c r="BM14" s="46"/>
    </row>
    <row r="15" spans="1:65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50"/>
      <c r="M15" s="51"/>
      <c r="N15" s="50"/>
      <c r="O15" s="51"/>
      <c r="P15" s="15"/>
      <c r="Q15" s="15"/>
      <c r="R15" s="15">
        <v>7</v>
      </c>
      <c r="S15" s="15"/>
      <c r="T15" s="15"/>
      <c r="U15" s="15"/>
      <c r="V15" s="15"/>
      <c r="W15" s="15"/>
      <c r="X15" s="15"/>
      <c r="Y15" s="15"/>
      <c r="Z15" s="51"/>
      <c r="AA15" s="51"/>
      <c r="AB15" s="51"/>
      <c r="AC15" s="5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51"/>
      <c r="AO15" s="51"/>
      <c r="AP15" s="51"/>
      <c r="AQ15" s="5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51"/>
      <c r="BC15" s="51"/>
      <c r="BD15" s="51"/>
      <c r="BE15" s="51"/>
      <c r="BF15" s="15"/>
      <c r="BG15" s="15"/>
      <c r="BH15" s="15"/>
      <c r="BI15" s="15"/>
      <c r="BJ15" s="15">
        <v>9</v>
      </c>
      <c r="BK15" s="15"/>
      <c r="BL15" s="46"/>
      <c r="BM15" s="46"/>
    </row>
    <row r="16" spans="1:65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50"/>
      <c r="M16" s="51"/>
      <c r="N16" s="50"/>
      <c r="O16" s="51"/>
      <c r="P16" s="15"/>
      <c r="Q16" s="15"/>
      <c r="R16" s="15">
        <v>5</v>
      </c>
      <c r="S16" s="15"/>
      <c r="T16" s="15"/>
      <c r="U16" s="15"/>
      <c r="V16" s="15"/>
      <c r="W16" s="15"/>
      <c r="X16" s="15"/>
      <c r="Y16" s="15"/>
      <c r="Z16" s="51"/>
      <c r="AA16" s="51"/>
      <c r="AB16" s="51"/>
      <c r="AC16" s="5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51">
        <v>8</v>
      </c>
      <c r="AO16" s="51"/>
      <c r="AP16" s="51"/>
      <c r="AQ16" s="5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51">
        <v>8</v>
      </c>
      <c r="BC16" s="51"/>
      <c r="BD16" s="51"/>
      <c r="BE16" s="51"/>
      <c r="BF16" s="15"/>
      <c r="BG16" s="15"/>
      <c r="BH16" s="15"/>
      <c r="BI16" s="15"/>
      <c r="BJ16" s="15"/>
      <c r="BK16" s="15"/>
      <c r="BL16" s="46"/>
      <c r="BM16" s="46"/>
    </row>
    <row r="17" spans="1:65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50">
        <v>12</v>
      </c>
      <c r="M17" s="51"/>
      <c r="N17" s="50"/>
      <c r="O17" s="5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51"/>
      <c r="AA17" s="51"/>
      <c r="AB17" s="51"/>
      <c r="AC17" s="5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51">
        <v>8</v>
      </c>
      <c r="AO17" s="51"/>
      <c r="AP17" s="51"/>
      <c r="AQ17" s="5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51"/>
      <c r="BC17" s="51"/>
      <c r="BD17" s="51"/>
      <c r="BE17" s="51"/>
      <c r="BF17" s="15"/>
      <c r="BG17" s="15"/>
      <c r="BH17" s="15"/>
      <c r="BI17" s="15"/>
      <c r="BJ17" s="15">
        <v>11</v>
      </c>
      <c r="BK17" s="15"/>
      <c r="BL17" s="46"/>
      <c r="BM17" s="46"/>
    </row>
    <row r="18" spans="1:65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50"/>
      <c r="M18" s="51"/>
      <c r="N18" s="50"/>
      <c r="O18" s="51"/>
      <c r="P18" s="15"/>
      <c r="Q18" s="15"/>
      <c r="R18" s="15"/>
      <c r="S18" s="15"/>
      <c r="T18" s="15">
        <v>6</v>
      </c>
      <c r="U18" s="15"/>
      <c r="V18" s="15"/>
      <c r="W18" s="15"/>
      <c r="X18" s="15"/>
      <c r="Y18" s="15"/>
      <c r="Z18" s="51"/>
      <c r="AA18" s="51"/>
      <c r="AB18" s="51"/>
      <c r="AC18" s="5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51"/>
      <c r="AO18" s="51"/>
      <c r="AP18" s="51"/>
      <c r="AQ18" s="5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51"/>
      <c r="BC18" s="51"/>
      <c r="BD18" s="51"/>
      <c r="BE18" s="51"/>
      <c r="BF18" s="15"/>
      <c r="BG18" s="15"/>
      <c r="BH18" s="15"/>
      <c r="BI18" s="15"/>
      <c r="BJ18" s="15">
        <v>10</v>
      </c>
      <c r="BK18" s="15"/>
      <c r="BL18" s="46"/>
      <c r="BM18" s="46"/>
    </row>
    <row r="19" spans="1:65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50"/>
      <c r="M19" s="51"/>
      <c r="N19" s="50"/>
      <c r="O19" s="51"/>
      <c r="P19" s="15"/>
      <c r="Q19" s="15"/>
      <c r="R19" s="15">
        <v>5</v>
      </c>
      <c r="S19" s="15"/>
      <c r="T19" s="15"/>
      <c r="U19" s="15"/>
      <c r="V19" s="15"/>
      <c r="W19" s="15"/>
      <c r="X19" s="15"/>
      <c r="Y19" s="15"/>
      <c r="Z19" s="51"/>
      <c r="AA19" s="51"/>
      <c r="AB19" s="51"/>
      <c r="AC19" s="5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51"/>
      <c r="AO19" s="51"/>
      <c r="AP19" s="51"/>
      <c r="AQ19" s="5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51">
        <v>9</v>
      </c>
      <c r="BC19" s="51"/>
      <c r="BD19" s="51"/>
      <c r="BE19" s="51"/>
      <c r="BF19" s="15"/>
      <c r="BG19" s="15"/>
      <c r="BH19" s="15"/>
      <c r="BI19" s="15"/>
      <c r="BJ19" s="15"/>
      <c r="BK19" s="15"/>
      <c r="BL19" s="46"/>
      <c r="BM19" s="46"/>
    </row>
    <row r="20" spans="1:65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50"/>
      <c r="M20" s="51"/>
      <c r="N20" s="50"/>
      <c r="O20" s="51"/>
      <c r="P20" s="15"/>
      <c r="Q20" s="15"/>
      <c r="R20" s="15">
        <v>7</v>
      </c>
      <c r="S20" s="15"/>
      <c r="T20" s="15"/>
      <c r="U20" s="15"/>
      <c r="V20" s="15"/>
      <c r="W20" s="15"/>
      <c r="X20" s="15"/>
      <c r="Y20" s="15"/>
      <c r="Z20" s="51"/>
      <c r="AA20" s="51"/>
      <c r="AB20" s="51"/>
      <c r="AC20" s="5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51"/>
      <c r="AO20" s="51"/>
      <c r="AP20" s="51"/>
      <c r="AQ20" s="5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51"/>
      <c r="BC20" s="51"/>
      <c r="BD20" s="51"/>
      <c r="BE20" s="51"/>
      <c r="BF20" s="15"/>
      <c r="BG20" s="15"/>
      <c r="BH20" s="15"/>
      <c r="BI20" s="15"/>
      <c r="BJ20" s="15">
        <v>7</v>
      </c>
      <c r="BK20" s="15"/>
      <c r="BL20" s="46"/>
      <c r="BM20" s="46"/>
    </row>
    <row r="21" spans="1:65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50"/>
      <c r="M21" s="51"/>
      <c r="N21" s="50"/>
      <c r="O21" s="51"/>
      <c r="P21" s="15"/>
      <c r="Q21" s="15"/>
      <c r="R21" s="15">
        <v>7</v>
      </c>
      <c r="S21" s="15"/>
      <c r="T21" s="15"/>
      <c r="U21" s="15"/>
      <c r="V21" s="15"/>
      <c r="W21" s="15"/>
      <c r="X21" s="15"/>
      <c r="Y21" s="15"/>
      <c r="Z21" s="51"/>
      <c r="AA21" s="51"/>
      <c r="AB21" s="51"/>
      <c r="AC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51"/>
      <c r="AO21" s="51"/>
      <c r="AP21" s="51"/>
      <c r="AQ21" s="5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51"/>
      <c r="BC21" s="51"/>
      <c r="BD21" s="51"/>
      <c r="BE21" s="51"/>
      <c r="BF21" s="15"/>
      <c r="BG21" s="15"/>
      <c r="BH21" s="15"/>
      <c r="BI21" s="15"/>
      <c r="BJ21" s="15">
        <v>7</v>
      </c>
      <c r="BK21" s="15"/>
      <c r="BL21" s="46"/>
      <c r="BM21" s="46"/>
    </row>
    <row r="22" spans="1:65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50"/>
      <c r="M22" s="51"/>
      <c r="N22" s="50"/>
      <c r="O22" s="51"/>
      <c r="P22" s="15"/>
      <c r="Q22" s="15"/>
      <c r="R22" s="15"/>
      <c r="S22" s="15"/>
      <c r="T22" s="15">
        <v>7</v>
      </c>
      <c r="U22" s="15"/>
      <c r="V22" s="15"/>
      <c r="W22" s="15"/>
      <c r="X22" s="15"/>
      <c r="Y22" s="15"/>
      <c r="Z22" s="51"/>
      <c r="AA22" s="51"/>
      <c r="AB22" s="51"/>
      <c r="AC22" s="5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51"/>
      <c r="AO22" s="51"/>
      <c r="AP22" s="51"/>
      <c r="AQ22" s="5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51"/>
      <c r="BC22" s="51"/>
      <c r="BD22" s="51"/>
      <c r="BE22" s="51"/>
      <c r="BF22" s="15"/>
      <c r="BG22" s="15"/>
      <c r="BH22" s="15">
        <v>8</v>
      </c>
      <c r="BI22" s="15"/>
      <c r="BJ22" s="15"/>
      <c r="BK22" s="15"/>
      <c r="BL22" s="46"/>
      <c r="BM22" s="46"/>
    </row>
    <row r="23" spans="1:65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50">
        <v>11</v>
      </c>
      <c r="M23" s="51"/>
      <c r="N23" s="50"/>
      <c r="O23" s="5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1"/>
      <c r="AA23" s="51"/>
      <c r="AB23" s="51"/>
      <c r="AC23" s="5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51">
        <v>10</v>
      </c>
      <c r="AO23" s="51"/>
      <c r="AP23" s="51"/>
      <c r="AQ23" s="5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51"/>
      <c r="BC23" s="51"/>
      <c r="BD23" s="51"/>
      <c r="BE23" s="51"/>
      <c r="BF23" s="15"/>
      <c r="BG23" s="15"/>
      <c r="BH23" s="15">
        <v>11</v>
      </c>
      <c r="BI23" s="15"/>
      <c r="BJ23" s="15"/>
      <c r="BK23" s="15"/>
      <c r="BL23" s="46"/>
      <c r="BM23" s="46"/>
    </row>
    <row r="24" spans="1:65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50"/>
      <c r="M24" s="51"/>
      <c r="N24" s="50"/>
      <c r="O24" s="51"/>
      <c r="P24" s="15"/>
      <c r="Q24" s="15"/>
      <c r="R24" s="15"/>
      <c r="S24" s="15"/>
      <c r="T24" s="15">
        <v>7</v>
      </c>
      <c r="U24" s="15"/>
      <c r="V24" s="15"/>
      <c r="W24" s="15"/>
      <c r="X24" s="15"/>
      <c r="Y24" s="15"/>
      <c r="Z24" s="51"/>
      <c r="AA24" s="51"/>
      <c r="AB24" s="51"/>
      <c r="AC24" s="5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51"/>
      <c r="AO24" s="51"/>
      <c r="AP24" s="51"/>
      <c r="AQ24" s="5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51"/>
      <c r="BC24" s="51"/>
      <c r="BD24" s="51"/>
      <c r="BE24" s="51"/>
      <c r="BF24" s="15"/>
      <c r="BG24" s="15"/>
      <c r="BH24" s="15">
        <v>8</v>
      </c>
      <c r="BI24" s="15"/>
      <c r="BJ24" s="15"/>
      <c r="BK24" s="15"/>
      <c r="BL24" s="46"/>
      <c r="BM24" s="46"/>
    </row>
    <row r="25" spans="1:65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50"/>
      <c r="M25" s="51"/>
      <c r="N25" s="50"/>
      <c r="O25" s="51"/>
      <c r="P25" s="15"/>
      <c r="Q25" s="15"/>
      <c r="R25" s="15"/>
      <c r="S25" s="15"/>
      <c r="T25" s="15">
        <v>9</v>
      </c>
      <c r="U25" s="15"/>
      <c r="V25" s="15"/>
      <c r="W25" s="15"/>
      <c r="X25" s="15"/>
      <c r="Y25" s="15"/>
      <c r="Z25" s="51"/>
      <c r="AA25" s="51"/>
      <c r="AB25" s="51"/>
      <c r="AC25" s="5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51">
        <v>9</v>
      </c>
      <c r="AO25" s="51"/>
      <c r="AP25" s="51"/>
      <c r="AQ25" s="5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51">
        <v>13</v>
      </c>
      <c r="BC25" s="51"/>
      <c r="BD25" s="51"/>
      <c r="BE25" s="51"/>
      <c r="BF25" s="15"/>
      <c r="BG25" s="15"/>
      <c r="BH25" s="15"/>
      <c r="BI25" s="15"/>
      <c r="BJ25" s="15"/>
      <c r="BK25" s="15"/>
      <c r="BL25" s="46"/>
      <c r="BM25" s="46"/>
    </row>
    <row r="26" spans="1:65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50"/>
      <c r="M26" s="51"/>
      <c r="N26" s="50"/>
      <c r="O26" s="51"/>
      <c r="P26" s="15"/>
      <c r="Q26" s="15"/>
      <c r="R26" s="15">
        <v>9</v>
      </c>
      <c r="S26" s="15"/>
      <c r="T26" s="15">
        <v>6</v>
      </c>
      <c r="U26" s="15"/>
      <c r="V26" s="15"/>
      <c r="W26" s="15"/>
      <c r="X26" s="15"/>
      <c r="Y26" s="15"/>
      <c r="Z26" s="51"/>
      <c r="AA26" s="51"/>
      <c r="AB26" s="51"/>
      <c r="AC26" s="5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51"/>
      <c r="AO26" s="51"/>
      <c r="AP26" s="51"/>
      <c r="AQ26" s="5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51"/>
      <c r="BC26" s="51"/>
      <c r="BD26" s="51"/>
      <c r="BE26" s="51"/>
      <c r="BF26" s="15"/>
      <c r="BG26" s="15"/>
      <c r="BH26" s="15">
        <v>8</v>
      </c>
      <c r="BI26" s="15"/>
      <c r="BJ26" s="15"/>
      <c r="BK26" s="15"/>
      <c r="BL26" s="46"/>
      <c r="BM26" s="46"/>
    </row>
    <row r="27" spans="1:65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>
        <v>9</v>
      </c>
      <c r="K27" s="15"/>
      <c r="L27" s="50"/>
      <c r="M27" s="51"/>
      <c r="N27" s="50"/>
      <c r="O27" s="51"/>
      <c r="P27" s="15"/>
      <c r="Q27" s="15"/>
      <c r="R27" s="15">
        <v>36</v>
      </c>
      <c r="S27" s="15"/>
      <c r="T27" s="15">
        <v>9</v>
      </c>
      <c r="U27" s="15"/>
      <c r="V27" s="15">
        <v>10</v>
      </c>
      <c r="W27" s="15"/>
      <c r="X27" s="15"/>
      <c r="Y27" s="15"/>
      <c r="Z27" s="51"/>
      <c r="AA27" s="51"/>
      <c r="AB27" s="51"/>
      <c r="AC27" s="5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51">
        <v>11</v>
      </c>
      <c r="AO27" s="51"/>
      <c r="AP27" s="51"/>
      <c r="AQ27" s="51"/>
      <c r="AR27" s="15"/>
      <c r="AS27" s="15"/>
      <c r="AT27" s="15"/>
      <c r="AU27" s="15"/>
      <c r="AV27" s="15"/>
      <c r="AW27" s="15"/>
      <c r="AX27" s="15">
        <v>3</v>
      </c>
      <c r="AY27" s="15"/>
      <c r="AZ27" s="15"/>
      <c r="BA27" s="15"/>
      <c r="BB27" s="51"/>
      <c r="BC27" s="51"/>
      <c r="BD27" s="51"/>
      <c r="BE27" s="51"/>
      <c r="BF27" s="15">
        <v>17</v>
      </c>
      <c r="BG27" s="15"/>
      <c r="BH27" s="15"/>
      <c r="BI27" s="15"/>
      <c r="BJ27" s="15">
        <v>2</v>
      </c>
      <c r="BK27" s="15"/>
      <c r="BL27" s="46"/>
      <c r="BM27" s="46"/>
    </row>
    <row r="28" spans="1:65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">
      <c r="BB29" s="22"/>
      <c r="BC29" s="22"/>
      <c r="BD29" s="22"/>
      <c r="BE29" s="22"/>
    </row>
    <row r="30" spans="1:65" x14ac:dyDescent="0.3">
      <c r="D30" s="60" t="s">
        <v>11</v>
      </c>
      <c r="E30" s="60"/>
      <c r="F30" s="24">
        <f t="shared" ref="F30:BM34" si="0">F6*15</f>
        <v>0</v>
      </c>
      <c r="G30" s="24">
        <f t="shared" si="0"/>
        <v>0</v>
      </c>
      <c r="H30" s="24">
        <f t="shared" si="0"/>
        <v>270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210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135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135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210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195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5" x14ac:dyDescent="0.3">
      <c r="D31" s="60" t="s">
        <v>16</v>
      </c>
      <c r="E31" s="60"/>
      <c r="F31" s="24">
        <f t="shared" si="0"/>
        <v>0</v>
      </c>
      <c r="G31" s="24">
        <f t="shared" si="0"/>
        <v>0</v>
      </c>
      <c r="H31" s="24">
        <f t="shared" si="0"/>
        <v>270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210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165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240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5" x14ac:dyDescent="0.3">
      <c r="D32" s="60" t="s">
        <v>20</v>
      </c>
      <c r="E32" s="60"/>
      <c r="F32" s="24">
        <f t="shared" si="0"/>
        <v>0</v>
      </c>
      <c r="G32" s="24">
        <f t="shared" si="0"/>
        <v>0</v>
      </c>
      <c r="H32" s="24">
        <f t="shared" si="0"/>
        <v>195</v>
      </c>
      <c r="I32" s="24">
        <f t="shared" si="0"/>
        <v>0</v>
      </c>
      <c r="J32" s="24">
        <f t="shared" si="0"/>
        <v>15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150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165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210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60" t="s">
        <v>24</v>
      </c>
      <c r="E33" s="60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135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135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120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195</v>
      </c>
      <c r="K34" s="24">
        <f t="shared" si="0"/>
        <v>0</v>
      </c>
      <c r="L34" s="24">
        <f t="shared" si="0"/>
        <v>0</v>
      </c>
      <c r="M34" s="24">
        <f t="shared" ref="M34:BM35" si="1">M10*15</f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180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105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120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180</v>
      </c>
      <c r="K35" s="24">
        <f t="shared" si="2"/>
        <v>0</v>
      </c>
      <c r="L35" s="24">
        <f t="shared" si="2"/>
        <v>180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165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135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180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280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320</v>
      </c>
      <c r="BI36" s="24">
        <f t="shared" si="3"/>
        <v>80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280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400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360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360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360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210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270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150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240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240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480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320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440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210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350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175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315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245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245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245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245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M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245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280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385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350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315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360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315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315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455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315</v>
      </c>
      <c r="S50" s="24">
        <f t="shared" si="11"/>
        <v>0</v>
      </c>
      <c r="T50" s="24">
        <f t="shared" si="11"/>
        <v>210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280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135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540</v>
      </c>
      <c r="S51" s="24">
        <f t="shared" si="12"/>
        <v>0</v>
      </c>
      <c r="T51" s="24">
        <f t="shared" si="12"/>
        <v>135</v>
      </c>
      <c r="U51" s="24">
        <f t="shared" si="12"/>
        <v>0</v>
      </c>
      <c r="V51" s="24">
        <f t="shared" si="12"/>
        <v>150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165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45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255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30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735</v>
      </c>
      <c r="I52" s="27">
        <f t="shared" ref="I52:BM52" si="13">SUM(I30:I51)</f>
        <v>0</v>
      </c>
      <c r="J52" s="27">
        <f t="shared" si="13"/>
        <v>525</v>
      </c>
      <c r="K52" s="27">
        <f t="shared" si="13"/>
        <v>0</v>
      </c>
      <c r="L52" s="27">
        <f t="shared" si="13"/>
        <v>1405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2160</v>
      </c>
      <c r="S52" s="27">
        <f t="shared" si="13"/>
        <v>0</v>
      </c>
      <c r="T52" s="27">
        <f t="shared" si="13"/>
        <v>2280</v>
      </c>
      <c r="U52" s="27">
        <f t="shared" si="13"/>
        <v>0</v>
      </c>
      <c r="V52" s="27">
        <f t="shared" si="13"/>
        <v>630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465</v>
      </c>
      <c r="AK52" s="27">
        <f t="shared" si="13"/>
        <v>0</v>
      </c>
      <c r="AL52" s="27">
        <f t="shared" si="13"/>
        <v>735</v>
      </c>
      <c r="AM52" s="27">
        <f t="shared" si="13"/>
        <v>0</v>
      </c>
      <c r="AN52" s="27">
        <f t="shared" si="13"/>
        <v>1390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135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705</v>
      </c>
      <c r="AY52" s="27">
        <f t="shared" si="13"/>
        <v>0</v>
      </c>
      <c r="AZ52" s="27">
        <f t="shared" si="13"/>
        <v>420</v>
      </c>
      <c r="BA52" s="27">
        <f t="shared" si="13"/>
        <v>0</v>
      </c>
      <c r="BB52" s="27">
        <f t="shared" si="13"/>
        <v>1770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255</v>
      </c>
      <c r="BG52" s="27">
        <f t="shared" si="13"/>
        <v>0</v>
      </c>
      <c r="BH52" s="27">
        <f t="shared" si="13"/>
        <v>1625</v>
      </c>
      <c r="BI52" s="27">
        <f t="shared" si="13"/>
        <v>80</v>
      </c>
      <c r="BJ52" s="27">
        <f t="shared" si="13"/>
        <v>1775</v>
      </c>
      <c r="BK52" s="27">
        <f t="shared" si="13"/>
        <v>0</v>
      </c>
      <c r="BL52" s="27">
        <f t="shared" si="13"/>
        <v>0</v>
      </c>
      <c r="BM52" s="27">
        <f t="shared" si="13"/>
        <v>0</v>
      </c>
      <c r="BN52" s="24">
        <f>SUM(F52:BM52)</f>
        <v>17090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77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59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49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56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17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15</v>
      </c>
      <c r="J62" s="8">
        <v>2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36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16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21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16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14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14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15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32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15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23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97</v>
      </c>
      <c r="J76" s="8">
        <v>0</v>
      </c>
    </row>
    <row r="77" spans="6:10" x14ac:dyDescent="0.3">
      <c r="F77" s="32"/>
      <c r="G77" s="33" t="s">
        <v>77</v>
      </c>
      <c r="H77" s="34"/>
      <c r="I77" s="61">
        <f>17090*117.3771</f>
        <v>2005974.639</v>
      </c>
      <c r="J77" s="61"/>
    </row>
  </sheetData>
  <mergeCells count="36"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8BA7A691-9673-4324-AAD5-7A7E4712F9C9}"/>
    <hyperlink ref="C10" r:id="rId2" xr:uid="{29B510B4-74CB-4DE0-8AFA-1B8E59204262}"/>
    <hyperlink ref="C15" r:id="rId3" xr:uid="{48878E9C-6FF0-4B8C-8D62-2215C7D09859}"/>
    <hyperlink ref="C7" r:id="rId4" xr:uid="{4E0D3DAD-91F7-4B32-B360-4BCBF9C19B8E}"/>
    <hyperlink ref="C13" r:id="rId5" xr:uid="{A4DFEC1A-CB8D-41E3-AAA7-EFE476B672F1}"/>
    <hyperlink ref="C23" r:id="rId6" display="mailto:bigcacak@madamecoco.com" xr:uid="{1AB7324A-5DCF-458A-B5CA-036F38AAF9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397A-3342-4751-86DB-D574A55756A9}">
  <dimension ref="A3:BQ79"/>
  <sheetViews>
    <sheetView topLeftCell="A51" workbookViewId="0">
      <selection activeCell="R8" sqref="R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2.554687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5" max="45" width="10.886718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57"/>
      <c r="B3" s="57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58">
        <v>46143</v>
      </c>
      <c r="G4" s="59"/>
      <c r="H4" s="58">
        <v>46144</v>
      </c>
      <c r="I4" s="59"/>
      <c r="J4" s="58">
        <v>46145</v>
      </c>
      <c r="K4" s="59"/>
      <c r="L4" s="58">
        <v>46146</v>
      </c>
      <c r="M4" s="59"/>
      <c r="N4" s="58">
        <v>46147</v>
      </c>
      <c r="O4" s="59"/>
      <c r="P4" s="58">
        <v>46148</v>
      </c>
      <c r="Q4" s="59"/>
      <c r="R4" s="58">
        <v>46149</v>
      </c>
      <c r="S4" s="59"/>
      <c r="T4" s="58">
        <v>46150</v>
      </c>
      <c r="U4" s="59"/>
      <c r="V4" s="58">
        <v>46151</v>
      </c>
      <c r="W4" s="59"/>
      <c r="X4" s="58">
        <v>46152</v>
      </c>
      <c r="Y4" s="59"/>
      <c r="Z4" s="58">
        <v>46153</v>
      </c>
      <c r="AA4" s="59"/>
      <c r="AB4" s="58">
        <v>46154</v>
      </c>
      <c r="AC4" s="59"/>
      <c r="AD4" s="58">
        <v>46155</v>
      </c>
      <c r="AE4" s="59"/>
      <c r="AF4" s="58">
        <v>46156</v>
      </c>
      <c r="AG4" s="59"/>
      <c r="AH4" s="58">
        <v>46157</v>
      </c>
      <c r="AI4" s="59"/>
      <c r="AJ4" s="58">
        <v>46158</v>
      </c>
      <c r="AK4" s="59"/>
      <c r="AL4" s="58">
        <v>46159</v>
      </c>
      <c r="AM4" s="59"/>
      <c r="AN4" s="58">
        <v>46160</v>
      </c>
      <c r="AO4" s="59"/>
      <c r="AP4" s="58">
        <v>46161</v>
      </c>
      <c r="AQ4" s="59"/>
      <c r="AR4" s="58">
        <v>46162</v>
      </c>
      <c r="AS4" s="59"/>
      <c r="AT4" s="58">
        <v>46163</v>
      </c>
      <c r="AU4" s="59"/>
      <c r="AV4" s="58">
        <v>46164</v>
      </c>
      <c r="AW4" s="59"/>
      <c r="AX4" s="58">
        <v>46165</v>
      </c>
      <c r="AY4" s="59"/>
      <c r="AZ4" s="58">
        <v>46166</v>
      </c>
      <c r="BA4" s="59"/>
      <c r="BB4" s="58">
        <v>46167</v>
      </c>
      <c r="BC4" s="59"/>
      <c r="BD4" s="58">
        <v>46168</v>
      </c>
      <c r="BE4" s="59"/>
      <c r="BF4" s="58">
        <v>46169</v>
      </c>
      <c r="BG4" s="59"/>
      <c r="BH4" s="58">
        <v>46170</v>
      </c>
      <c r="BI4" s="59"/>
      <c r="BJ4" s="58">
        <v>46171</v>
      </c>
      <c r="BK4" s="59"/>
      <c r="BL4" s="58">
        <v>46172</v>
      </c>
      <c r="BM4" s="59"/>
      <c r="BN4" s="58">
        <v>46173</v>
      </c>
      <c r="BO4" s="59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  <c r="BN5" s="5" t="s">
        <v>7</v>
      </c>
      <c r="BO5" s="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52"/>
      <c r="I6" s="52"/>
      <c r="J6" s="52"/>
      <c r="K6" s="52"/>
      <c r="L6" s="10"/>
      <c r="M6" s="10"/>
      <c r="N6" s="10"/>
      <c r="O6" s="10"/>
      <c r="P6" s="10"/>
      <c r="Q6" s="10"/>
      <c r="R6" s="10">
        <v>16</v>
      </c>
      <c r="S6" s="10"/>
      <c r="T6" s="10"/>
      <c r="U6" s="10"/>
      <c r="V6" s="52"/>
      <c r="W6" s="52"/>
      <c r="X6" s="52"/>
      <c r="Y6" s="52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52"/>
      <c r="AK6" s="52"/>
      <c r="AL6" s="52"/>
      <c r="AM6" s="5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52"/>
      <c r="AY6" s="52"/>
      <c r="AZ6" s="52"/>
      <c r="BA6" s="52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56"/>
      <c r="BM6" s="56"/>
      <c r="BN6" s="56"/>
      <c r="BO6" s="5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52"/>
      <c r="I7" s="52"/>
      <c r="J7" s="52"/>
      <c r="K7" s="52"/>
      <c r="L7" s="10"/>
      <c r="M7" s="10"/>
      <c r="N7" s="10"/>
      <c r="O7" s="10"/>
      <c r="P7" s="10"/>
      <c r="Q7" s="10"/>
      <c r="R7" s="10">
        <v>18</v>
      </c>
      <c r="S7" s="10"/>
      <c r="T7" s="10"/>
      <c r="U7" s="10"/>
      <c r="V7" s="52"/>
      <c r="W7" s="52"/>
      <c r="X7" s="52"/>
      <c r="Y7" s="52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52"/>
      <c r="AK7" s="52"/>
      <c r="AL7" s="52"/>
      <c r="AM7" s="52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52"/>
      <c r="AY7" s="52"/>
      <c r="AZ7" s="52"/>
      <c r="BA7" s="52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56"/>
      <c r="BM7" s="56"/>
      <c r="BN7" s="56"/>
      <c r="BO7" s="5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52"/>
      <c r="I8" s="52"/>
      <c r="J8" s="52"/>
      <c r="K8" s="52"/>
      <c r="L8" s="10"/>
      <c r="M8" s="10"/>
      <c r="N8" s="10"/>
      <c r="O8" s="10"/>
      <c r="P8" s="10"/>
      <c r="Q8" s="10"/>
      <c r="R8" s="10">
        <v>17</v>
      </c>
      <c r="S8" s="10"/>
      <c r="T8" s="10"/>
      <c r="U8" s="10"/>
      <c r="V8" s="52"/>
      <c r="W8" s="52"/>
      <c r="X8" s="52"/>
      <c r="Y8" s="52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52"/>
      <c r="AK8" s="52"/>
      <c r="AL8" s="52"/>
      <c r="AM8" s="52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52"/>
      <c r="AY8" s="52"/>
      <c r="AZ8" s="52"/>
      <c r="BA8" s="52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56"/>
      <c r="BM8" s="56"/>
      <c r="BN8" s="56"/>
      <c r="BO8" s="5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52"/>
      <c r="I9" s="52"/>
      <c r="J9" s="52"/>
      <c r="K9" s="52"/>
      <c r="L9" s="10"/>
      <c r="M9" s="10"/>
      <c r="N9" s="10"/>
      <c r="O9" s="10"/>
      <c r="P9" s="10"/>
      <c r="Q9" s="10"/>
      <c r="R9" s="10"/>
      <c r="S9" s="10"/>
      <c r="T9" s="10"/>
      <c r="U9" s="10"/>
      <c r="V9" s="52"/>
      <c r="W9" s="52"/>
      <c r="X9" s="52"/>
      <c r="Y9" s="52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52"/>
      <c r="AK9" s="52"/>
      <c r="AL9" s="52"/>
      <c r="AM9" s="52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52"/>
      <c r="AY9" s="52"/>
      <c r="AZ9" s="52"/>
      <c r="BA9" s="52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56"/>
      <c r="BM9" s="56"/>
      <c r="BN9" s="56"/>
      <c r="BO9" s="5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52"/>
      <c r="I10" s="53"/>
      <c r="J10" s="52"/>
      <c r="K10" s="53"/>
      <c r="L10" s="10"/>
      <c r="M10" s="12"/>
      <c r="N10" s="10"/>
      <c r="O10" s="12"/>
      <c r="P10" s="10"/>
      <c r="Q10" s="12"/>
      <c r="R10" s="12"/>
      <c r="S10" s="12"/>
      <c r="T10" s="12"/>
      <c r="U10" s="12"/>
      <c r="V10" s="53"/>
      <c r="W10" s="53"/>
      <c r="X10" s="53"/>
      <c r="Y10" s="53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53"/>
      <c r="AK10" s="53"/>
      <c r="AL10" s="53"/>
      <c r="AM10" s="53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53"/>
      <c r="AY10" s="53"/>
      <c r="AZ10" s="53"/>
      <c r="BA10" s="53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56"/>
      <c r="BM10" s="56"/>
      <c r="BN10" s="56"/>
      <c r="BO10" s="56"/>
    </row>
    <row r="11" spans="1:67" ht="13.8" customHeight="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52"/>
      <c r="I11" s="53"/>
      <c r="J11" s="52"/>
      <c r="K11" s="53"/>
      <c r="L11" s="10"/>
      <c r="M11" s="12"/>
      <c r="N11" s="10"/>
      <c r="O11" s="12"/>
      <c r="P11" s="12"/>
      <c r="Q11" s="12"/>
      <c r="R11" s="12"/>
      <c r="S11" s="12"/>
      <c r="T11" s="12"/>
      <c r="U11" s="12"/>
      <c r="V11" s="53"/>
      <c r="W11" s="53"/>
      <c r="X11" s="53"/>
      <c r="Y11" s="53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3"/>
      <c r="AK11" s="53"/>
      <c r="AL11" s="53"/>
      <c r="AM11" s="53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53"/>
      <c r="AY11" s="53"/>
      <c r="AZ11" s="53"/>
      <c r="BA11" s="53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56"/>
      <c r="BM11" s="56"/>
      <c r="BN11" s="56"/>
      <c r="BO11" s="5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52"/>
      <c r="I12" s="53"/>
      <c r="J12" s="52"/>
      <c r="K12" s="53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53"/>
      <c r="W12" s="53"/>
      <c r="X12" s="53"/>
      <c r="Y12" s="53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53"/>
      <c r="AK12" s="53"/>
      <c r="AL12" s="53"/>
      <c r="AM12" s="53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53"/>
      <c r="AY12" s="53"/>
      <c r="AZ12" s="53"/>
      <c r="BA12" s="53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56"/>
      <c r="BM12" s="56"/>
      <c r="BN12" s="56"/>
      <c r="BO12" s="56"/>
    </row>
    <row r="13" spans="1:67" ht="15" customHeight="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52"/>
      <c r="I13" s="53"/>
      <c r="J13" s="52"/>
      <c r="K13" s="53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53"/>
      <c r="W13" s="53"/>
      <c r="X13" s="53"/>
      <c r="Y13" s="53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3"/>
      <c r="AK13" s="53"/>
      <c r="AL13" s="53"/>
      <c r="AM13" s="53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53"/>
      <c r="AY13" s="53"/>
      <c r="AZ13" s="53"/>
      <c r="BA13" s="53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56"/>
      <c r="BM13" s="56"/>
      <c r="BN13" s="56"/>
      <c r="BO13" s="5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52"/>
      <c r="I14" s="53"/>
      <c r="J14" s="52"/>
      <c r="K14" s="53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53"/>
      <c r="W14" s="53"/>
      <c r="X14" s="53"/>
      <c r="Y14" s="53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53"/>
      <c r="AK14" s="53"/>
      <c r="AL14" s="53"/>
      <c r="AM14" s="53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53"/>
      <c r="AY14" s="53"/>
      <c r="AZ14" s="53"/>
      <c r="BA14" s="53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56"/>
      <c r="BM14" s="56"/>
      <c r="BN14" s="56"/>
      <c r="BO14" s="5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54"/>
      <c r="I15" s="55"/>
      <c r="J15" s="54"/>
      <c r="K15" s="5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55"/>
      <c r="W15" s="55"/>
      <c r="X15" s="55"/>
      <c r="Y15" s="5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55"/>
      <c r="AK15" s="55"/>
      <c r="AL15" s="55"/>
      <c r="AM15" s="5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55"/>
      <c r="AY15" s="55"/>
      <c r="AZ15" s="55"/>
      <c r="BA15" s="5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56"/>
      <c r="BM15" s="56"/>
      <c r="BN15" s="56"/>
      <c r="BO15" s="5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54"/>
      <c r="I16" s="55"/>
      <c r="J16" s="54"/>
      <c r="K16" s="5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55"/>
      <c r="W16" s="55"/>
      <c r="X16" s="55"/>
      <c r="Y16" s="5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55"/>
      <c r="AK16" s="55"/>
      <c r="AL16" s="55"/>
      <c r="AM16" s="5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55"/>
      <c r="AY16" s="55"/>
      <c r="AZ16" s="55"/>
      <c r="BA16" s="5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56"/>
      <c r="BM16" s="56"/>
      <c r="BN16" s="56"/>
      <c r="BO16" s="5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54"/>
      <c r="I17" s="55"/>
      <c r="J17" s="54"/>
      <c r="K17" s="5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55"/>
      <c r="W17" s="55"/>
      <c r="X17" s="55"/>
      <c r="Y17" s="5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55"/>
      <c r="AK17" s="55"/>
      <c r="AL17" s="55"/>
      <c r="AM17" s="5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55"/>
      <c r="AY17" s="55"/>
      <c r="AZ17" s="55"/>
      <c r="BA17" s="5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56"/>
      <c r="BM17" s="56"/>
      <c r="BN17" s="56"/>
      <c r="BO17" s="5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54"/>
      <c r="I18" s="55"/>
      <c r="J18" s="54"/>
      <c r="K18" s="5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55"/>
      <c r="W18" s="55"/>
      <c r="X18" s="55"/>
      <c r="Y18" s="5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55"/>
      <c r="AK18" s="55"/>
      <c r="AL18" s="55"/>
      <c r="AM18" s="5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55"/>
      <c r="AY18" s="55"/>
      <c r="AZ18" s="55"/>
      <c r="BA18" s="5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56"/>
      <c r="BM18" s="56"/>
      <c r="BN18" s="56"/>
      <c r="BO18" s="5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54"/>
      <c r="I19" s="55"/>
      <c r="J19" s="54"/>
      <c r="K19" s="5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55"/>
      <c r="W19" s="55"/>
      <c r="X19" s="55"/>
      <c r="Y19" s="5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55"/>
      <c r="AK19" s="55"/>
      <c r="AL19" s="55"/>
      <c r="AM19" s="5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55"/>
      <c r="AY19" s="55"/>
      <c r="AZ19" s="55"/>
      <c r="BA19" s="5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56"/>
      <c r="BM19" s="56"/>
      <c r="BN19" s="56"/>
      <c r="BO19" s="5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54"/>
      <c r="I20" s="55"/>
      <c r="J20" s="54"/>
      <c r="K20" s="5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55"/>
      <c r="W20" s="55"/>
      <c r="X20" s="55"/>
      <c r="Y20" s="5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55"/>
      <c r="AK20" s="55"/>
      <c r="AL20" s="55"/>
      <c r="AM20" s="5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55"/>
      <c r="AY20" s="55"/>
      <c r="AZ20" s="55"/>
      <c r="BA20" s="5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56"/>
      <c r="BM20" s="56"/>
      <c r="BN20" s="56"/>
      <c r="BO20" s="5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54"/>
      <c r="I21" s="55"/>
      <c r="J21" s="54"/>
      <c r="K21" s="5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55"/>
      <c r="W21" s="55"/>
      <c r="X21" s="55"/>
      <c r="Y21" s="5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55"/>
      <c r="AK21" s="55"/>
      <c r="AL21" s="55"/>
      <c r="AM21" s="5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55"/>
      <c r="AY21" s="55"/>
      <c r="AZ21" s="55"/>
      <c r="BA21" s="5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56"/>
      <c r="BM21" s="56"/>
      <c r="BN21" s="56"/>
      <c r="BO21" s="5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54"/>
      <c r="I22" s="55"/>
      <c r="J22" s="54"/>
      <c r="K22" s="5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55"/>
      <c r="W22" s="55"/>
      <c r="X22" s="55"/>
      <c r="Y22" s="5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55"/>
      <c r="AK22" s="55"/>
      <c r="AL22" s="55"/>
      <c r="AM22" s="5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55"/>
      <c r="AY22" s="55"/>
      <c r="AZ22" s="55"/>
      <c r="BA22" s="5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56"/>
      <c r="BM22" s="56"/>
      <c r="BN22" s="56"/>
      <c r="BO22" s="5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54"/>
      <c r="I23" s="55"/>
      <c r="J23" s="54"/>
      <c r="K23" s="5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55"/>
      <c r="W23" s="55"/>
      <c r="X23" s="55"/>
      <c r="Y23" s="5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55"/>
      <c r="AK23" s="55"/>
      <c r="AL23" s="55"/>
      <c r="AM23" s="5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55"/>
      <c r="AY23" s="55"/>
      <c r="AZ23" s="55"/>
      <c r="BA23" s="5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56"/>
      <c r="BM23" s="56"/>
      <c r="BN23" s="56"/>
      <c r="BO23" s="5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54"/>
      <c r="I24" s="55"/>
      <c r="J24" s="54"/>
      <c r="K24" s="5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55"/>
      <c r="W24" s="55"/>
      <c r="X24" s="55"/>
      <c r="Y24" s="5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55"/>
      <c r="AK24" s="55"/>
      <c r="AL24" s="55"/>
      <c r="AM24" s="5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55"/>
      <c r="AY24" s="55"/>
      <c r="AZ24" s="55"/>
      <c r="BA24" s="5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56"/>
      <c r="BM24" s="56"/>
      <c r="BN24" s="56"/>
      <c r="BO24" s="5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54"/>
      <c r="I25" s="55"/>
      <c r="J25" s="54"/>
      <c r="K25" s="5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55"/>
      <c r="W25" s="55"/>
      <c r="X25" s="55"/>
      <c r="Y25" s="5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55"/>
      <c r="AK25" s="55"/>
      <c r="AL25" s="55"/>
      <c r="AM25" s="5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55"/>
      <c r="AY25" s="55"/>
      <c r="AZ25" s="55"/>
      <c r="BA25" s="5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56"/>
      <c r="BM25" s="56"/>
      <c r="BN25" s="56"/>
      <c r="BO25" s="5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54"/>
      <c r="I26" s="55"/>
      <c r="J26" s="54"/>
      <c r="K26" s="5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55"/>
      <c r="W26" s="55"/>
      <c r="X26" s="55"/>
      <c r="Y26" s="5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55"/>
      <c r="AK26" s="55"/>
      <c r="AL26" s="55"/>
      <c r="AM26" s="5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55"/>
      <c r="AY26" s="55"/>
      <c r="AZ26" s="55"/>
      <c r="BA26" s="5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56"/>
      <c r="BM26" s="56"/>
      <c r="BN26" s="56"/>
      <c r="BO26" s="56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54"/>
      <c r="I27" s="55"/>
      <c r="J27" s="54"/>
      <c r="K27" s="55"/>
      <c r="L27" s="14"/>
      <c r="M27" s="15"/>
      <c r="N27" s="14"/>
      <c r="O27" s="15"/>
      <c r="P27" s="15"/>
      <c r="Q27" s="15"/>
      <c r="R27" s="15"/>
      <c r="S27" s="15"/>
      <c r="T27" s="15"/>
      <c r="U27" s="15"/>
      <c r="V27" s="55"/>
      <c r="W27" s="55"/>
      <c r="X27" s="55"/>
      <c r="Y27" s="5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55"/>
      <c r="AK27" s="55"/>
      <c r="AL27" s="55"/>
      <c r="AM27" s="5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55"/>
      <c r="AY27" s="55"/>
      <c r="AZ27" s="55"/>
      <c r="BA27" s="5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56"/>
      <c r="BM27" s="56"/>
      <c r="BN27" s="56"/>
      <c r="BO27" s="5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60" t="s">
        <v>11</v>
      </c>
      <c r="E30" s="60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240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3">
      <c r="D31" s="60" t="s">
        <v>16</v>
      </c>
      <c r="E31" s="60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270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3">
      <c r="D32" s="60" t="s">
        <v>20</v>
      </c>
      <c r="E32" s="60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255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3">
      <c r="D33" s="60" t="s">
        <v>24</v>
      </c>
      <c r="E33" s="60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3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3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3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3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3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7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3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3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3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M52" si="13">SUM(I30:I51)</f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765</v>
      </c>
      <c r="S52" s="27">
        <f t="shared" si="13"/>
        <v>0</v>
      </c>
      <c r="T52" s="27">
        <f t="shared" si="13"/>
        <v>0</v>
      </c>
      <c r="U52" s="27">
        <f t="shared" si="13"/>
        <v>0</v>
      </c>
      <c r="V52" s="27">
        <f t="shared" si="13"/>
        <v>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0</v>
      </c>
      <c r="BG52" s="27">
        <f t="shared" si="13"/>
        <v>0</v>
      </c>
      <c r="BH52" s="27">
        <f t="shared" si="13"/>
        <v>0</v>
      </c>
      <c r="BI52" s="27">
        <f t="shared" si="13"/>
        <v>0</v>
      </c>
      <c r="BJ52" s="27">
        <f t="shared" si="13"/>
        <v>0</v>
      </c>
      <c r="BK52" s="27">
        <f t="shared" si="13"/>
        <v>0</v>
      </c>
      <c r="BL52" s="27">
        <f t="shared" si="13"/>
        <v>0</v>
      </c>
      <c r="BM52" s="27">
        <f t="shared" si="13"/>
        <v>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/>
      <c r="J55" s="8"/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/>
      <c r="J56" s="8"/>
    </row>
    <row r="57" spans="1:69" x14ac:dyDescent="0.3">
      <c r="F57" s="8" t="s">
        <v>17</v>
      </c>
      <c r="G57" s="8" t="s">
        <v>20</v>
      </c>
      <c r="H57" s="8" t="s">
        <v>12</v>
      </c>
      <c r="I57" s="8"/>
      <c r="J57" s="8"/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/>
      <c r="J58" s="8"/>
    </row>
    <row r="59" spans="1:69" x14ac:dyDescent="0.3">
      <c r="F59" s="8" t="s">
        <v>26</v>
      </c>
      <c r="G59" s="8" t="s">
        <v>29</v>
      </c>
      <c r="H59" s="8" t="s">
        <v>12</v>
      </c>
      <c r="I59" s="8"/>
      <c r="J59" s="8"/>
    </row>
    <row r="60" spans="1:69" x14ac:dyDescent="0.3">
      <c r="F60" s="8" t="s">
        <v>30</v>
      </c>
      <c r="G60" s="8" t="s">
        <v>32</v>
      </c>
      <c r="H60" s="8" t="s">
        <v>25</v>
      </c>
      <c r="I60" s="8"/>
      <c r="J60" s="8"/>
    </row>
    <row r="61" spans="1:69" x14ac:dyDescent="0.3">
      <c r="F61" s="8" t="s">
        <v>33</v>
      </c>
      <c r="G61" s="8" t="s">
        <v>75</v>
      </c>
      <c r="H61" s="8" t="s">
        <v>35</v>
      </c>
      <c r="I61" s="8"/>
      <c r="J61" s="8"/>
    </row>
    <row r="62" spans="1:69" x14ac:dyDescent="0.3">
      <c r="F62" s="8" t="s">
        <v>36</v>
      </c>
      <c r="G62" s="8" t="s">
        <v>38</v>
      </c>
      <c r="H62" s="8" t="s">
        <v>35</v>
      </c>
      <c r="I62" s="8"/>
      <c r="J62" s="8"/>
    </row>
    <row r="63" spans="1:69" x14ac:dyDescent="0.3">
      <c r="F63" s="8" t="s">
        <v>39</v>
      </c>
      <c r="G63" s="8" t="s">
        <v>41</v>
      </c>
      <c r="H63" s="8" t="s">
        <v>42</v>
      </c>
      <c r="I63" s="8"/>
      <c r="J63" s="8"/>
    </row>
    <row r="64" spans="1:69" x14ac:dyDescent="0.3">
      <c r="F64" s="8" t="s">
        <v>43</v>
      </c>
      <c r="G64" s="8" t="s">
        <v>45</v>
      </c>
      <c r="H64" s="8" t="s">
        <v>45</v>
      </c>
      <c r="I64" s="8"/>
      <c r="J64" s="8"/>
    </row>
    <row r="65" spans="1:10" x14ac:dyDescent="0.3">
      <c r="F65" s="8" t="s">
        <v>46</v>
      </c>
      <c r="G65" s="8" t="s">
        <v>47</v>
      </c>
      <c r="H65" s="8" t="s">
        <v>48</v>
      </c>
      <c r="I65" s="8"/>
      <c r="J65" s="8"/>
    </row>
    <row r="66" spans="1:10" x14ac:dyDescent="0.3">
      <c r="F66" s="8" t="s">
        <v>49</v>
      </c>
      <c r="G66" s="8" t="s">
        <v>50</v>
      </c>
      <c r="H66" s="8" t="s">
        <v>50</v>
      </c>
      <c r="I66" s="8"/>
      <c r="J66" s="8"/>
    </row>
    <row r="67" spans="1:10" x14ac:dyDescent="0.3">
      <c r="F67" s="16" t="s">
        <v>51</v>
      </c>
      <c r="G67" s="16" t="s">
        <v>52</v>
      </c>
      <c r="H67" s="16" t="s">
        <v>52</v>
      </c>
      <c r="I67" s="8"/>
      <c r="J67" s="8"/>
    </row>
    <row r="68" spans="1:10" x14ac:dyDescent="0.3">
      <c r="F68" s="16" t="s">
        <v>53</v>
      </c>
      <c r="G68" s="16" t="s">
        <v>54</v>
      </c>
      <c r="H68" s="16" t="s">
        <v>54</v>
      </c>
      <c r="I68" s="8"/>
      <c r="J68" s="8"/>
    </row>
    <row r="69" spans="1:10" x14ac:dyDescent="0.3">
      <c r="F69" s="16" t="s">
        <v>55</v>
      </c>
      <c r="G69" s="16" t="s">
        <v>56</v>
      </c>
      <c r="H69" s="16" t="s">
        <v>56</v>
      </c>
      <c r="I69" s="8"/>
      <c r="J69" s="8"/>
    </row>
    <row r="70" spans="1:10" x14ac:dyDescent="0.3">
      <c r="F70" s="16" t="s">
        <v>57</v>
      </c>
      <c r="G70" s="16" t="s">
        <v>58</v>
      </c>
      <c r="H70" s="16" t="s">
        <v>58</v>
      </c>
      <c r="I70" s="8"/>
      <c r="J70" s="8"/>
    </row>
    <row r="71" spans="1:10" x14ac:dyDescent="0.3">
      <c r="F71" s="16" t="s">
        <v>59</v>
      </c>
      <c r="G71" s="16" t="s">
        <v>60</v>
      </c>
      <c r="H71" s="16" t="s">
        <v>60</v>
      </c>
      <c r="I71" s="31"/>
      <c r="J71" s="8"/>
    </row>
    <row r="72" spans="1:10" x14ac:dyDescent="0.3">
      <c r="F72" s="16" t="s">
        <v>61</v>
      </c>
      <c r="G72" s="16" t="s">
        <v>76</v>
      </c>
      <c r="H72" s="16" t="s">
        <v>64</v>
      </c>
      <c r="I72" s="31"/>
      <c r="J72" s="8"/>
    </row>
    <row r="73" spans="1:10" x14ac:dyDescent="0.3">
      <c r="F73" s="16" t="s">
        <v>65</v>
      </c>
      <c r="G73" s="16" t="s">
        <v>69</v>
      </c>
      <c r="H73" s="16" t="s">
        <v>69</v>
      </c>
      <c r="I73" s="8"/>
      <c r="J73" s="8"/>
    </row>
    <row r="74" spans="1:10" x14ac:dyDescent="0.3">
      <c r="F74" s="16" t="s">
        <v>68</v>
      </c>
      <c r="G74" s="16" t="s">
        <v>67</v>
      </c>
      <c r="H74" s="16" t="s">
        <v>67</v>
      </c>
      <c r="I74" s="8"/>
      <c r="J74" s="8"/>
    </row>
    <row r="75" spans="1:10" x14ac:dyDescent="0.3">
      <c r="F75" s="16" t="s">
        <v>70</v>
      </c>
      <c r="G75" s="16" t="s">
        <v>72</v>
      </c>
      <c r="H75" s="16" t="s">
        <v>72</v>
      </c>
      <c r="I75" s="8"/>
      <c r="J75" s="8"/>
    </row>
    <row r="76" spans="1:10" x14ac:dyDescent="0.3">
      <c r="F76" s="16" t="s">
        <v>78</v>
      </c>
      <c r="G76" s="16" t="s">
        <v>12</v>
      </c>
      <c r="H76" s="16" t="s">
        <v>12</v>
      </c>
      <c r="I76" s="8"/>
      <c r="J76" s="8"/>
    </row>
    <row r="77" spans="1:10" x14ac:dyDescent="0.3">
      <c r="F77" s="32"/>
      <c r="G77" s="33" t="s">
        <v>77</v>
      </c>
      <c r="H77" s="34"/>
      <c r="I77" s="61"/>
      <c r="J77" s="61"/>
    </row>
    <row r="79" spans="1:10" x14ac:dyDescent="0.3">
      <c r="A79" t="s">
        <v>79</v>
      </c>
      <c r="C79" t="s">
        <v>80</v>
      </c>
    </row>
  </sheetData>
  <mergeCells count="37">
    <mergeCell ref="BN4:BO4"/>
    <mergeCell ref="BL4:BM4"/>
    <mergeCell ref="D30:E30"/>
    <mergeCell ref="D31:E31"/>
    <mergeCell ref="D32:E32"/>
    <mergeCell ref="BF4:BG4"/>
    <mergeCell ref="BH4:BI4"/>
    <mergeCell ref="BJ4:BK4"/>
    <mergeCell ref="AL4:AM4"/>
    <mergeCell ref="P4:Q4"/>
    <mergeCell ref="R4:S4"/>
    <mergeCell ref="T4:U4"/>
    <mergeCell ref="V4:W4"/>
    <mergeCell ref="X4:Y4"/>
    <mergeCell ref="Z4:AA4"/>
    <mergeCell ref="N4:O4"/>
    <mergeCell ref="D33:E33"/>
    <mergeCell ref="I77:J77"/>
    <mergeCell ref="AZ4:BA4"/>
    <mergeCell ref="BB4:BC4"/>
    <mergeCell ref="BD4:BE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3:B3"/>
    <mergeCell ref="F4:G4"/>
    <mergeCell ref="H4:I4"/>
    <mergeCell ref="J4:K4"/>
    <mergeCell ref="L4:M4"/>
  </mergeCells>
  <hyperlinks>
    <hyperlink ref="C8" r:id="rId1" xr:uid="{582E3414-1BF2-46A6-B3CB-8D50AF76E415}"/>
    <hyperlink ref="C10" r:id="rId2" xr:uid="{953F9E51-66C7-4D24-A7DC-21DD060FA066}"/>
    <hyperlink ref="C15" r:id="rId3" xr:uid="{7D7B335C-6D1C-4F06-BFE2-9FE99BF23F1C}"/>
    <hyperlink ref="C7" r:id="rId4" xr:uid="{59ECE8B0-6915-4A55-AB3D-ACF295308F75}"/>
    <hyperlink ref="C13" r:id="rId5" xr:uid="{0561E5CD-1410-45A0-941F-EAA9296D9F9A}"/>
    <hyperlink ref="C23" r:id="rId6" display="mailto:bigcacak@madamecoco.com" xr:uid="{BEFBB5CE-F40A-4E3B-A626-6AEAC191D0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</vt:lpstr>
      <vt:lpstr>Februar</vt:lpstr>
      <vt:lpstr>Mart</vt:lpstr>
      <vt:lpstr>April</vt:lpstr>
      <vt:lpstr>Maj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2026-05-07T13:21:43Z</dcterms:modified>
</cp:coreProperties>
</file>