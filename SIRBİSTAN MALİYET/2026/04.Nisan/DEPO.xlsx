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TURQUALITY\SIRBİSTAN\2026\04.Nisan\"/>
    </mc:Choice>
  </mc:AlternateContent>
  <xr:revisionPtr revIDLastSave="0" documentId="13_ncr:1_{13AE0D44-BC95-47CC-B19A-D4E58F460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RIL 2026 " sheetId="98" r:id="rId1"/>
  </sheets>
  <externalReferences>
    <externalReference r:id="rId2"/>
  </externalReferences>
  <definedNames>
    <definedName name="kurs" localSheetId="0">'APRIL 2026 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4" i="98" l="1"/>
  <c r="J54" i="98"/>
  <c r="K53" i="98"/>
  <c r="J53" i="98"/>
  <c r="J52" i="98"/>
  <c r="K52" i="98" s="1"/>
  <c r="J51" i="98"/>
  <c r="K51" i="98" s="1"/>
  <c r="J49" i="98"/>
  <c r="K49" i="98" s="1"/>
  <c r="J48" i="98"/>
  <c r="K48" i="98" s="1"/>
  <c r="I42" i="98"/>
  <c r="H50" i="98" s="1"/>
  <c r="J50" i="98" s="1"/>
  <c r="K50" i="98" s="1"/>
  <c r="H42" i="98"/>
  <c r="H46" i="98" s="1"/>
  <c r="J46" i="98" s="1"/>
  <c r="K46" i="98" s="1"/>
  <c r="E42" i="98"/>
  <c r="H47" i="98" s="1"/>
  <c r="J47" i="98" s="1"/>
  <c r="K47" i="98" s="1"/>
  <c r="D42" i="98"/>
  <c r="H45" i="98" s="1"/>
  <c r="J45" i="98" s="1"/>
  <c r="J11" i="98"/>
  <c r="K11" i="98" s="1"/>
  <c r="J12" i="98" l="1"/>
  <c r="J13" i="98" s="1"/>
  <c r="J14" i="98" s="1"/>
  <c r="K45" i="98"/>
  <c r="K12" i="98" l="1"/>
  <c r="K13" i="98"/>
  <c r="K14" i="98"/>
  <c r="J15" i="98"/>
  <c r="J16" i="98" l="1"/>
  <c r="K15" i="98"/>
  <c r="J17" i="98" l="1"/>
  <c r="K16" i="98"/>
  <c r="K17" i="98" l="1"/>
  <c r="J18" i="98"/>
  <c r="K18" i="98" l="1"/>
  <c r="J19" i="98"/>
  <c r="J20" i="98" l="1"/>
  <c r="K19" i="98"/>
  <c r="J21" i="98" l="1"/>
  <c r="K20" i="98"/>
  <c r="J22" i="98" l="1"/>
  <c r="K21" i="98"/>
  <c r="K22" i="98" l="1"/>
  <c r="J23" i="98"/>
  <c r="J24" i="98" l="1"/>
  <c r="K23" i="98"/>
  <c r="J25" i="98" l="1"/>
  <c r="K24" i="98"/>
  <c r="J26" i="98" l="1"/>
  <c r="K25" i="98"/>
  <c r="K26" i="98" l="1"/>
  <c r="J27" i="98"/>
  <c r="J28" i="98" l="1"/>
  <c r="K27" i="98"/>
  <c r="J29" i="98" l="1"/>
  <c r="K28" i="98"/>
  <c r="J30" i="98" l="1"/>
  <c r="K29" i="98"/>
  <c r="K30" i="98" l="1"/>
  <c r="J31" i="98"/>
  <c r="J32" i="98" l="1"/>
  <c r="K31" i="98"/>
  <c r="J33" i="98" l="1"/>
  <c r="K32" i="98"/>
  <c r="J34" i="98" l="1"/>
  <c r="K33" i="98"/>
  <c r="K34" i="98" l="1"/>
  <c r="J35" i="98"/>
  <c r="J36" i="98" l="1"/>
  <c r="K35" i="98"/>
  <c r="J37" i="98" l="1"/>
  <c r="K36" i="98"/>
  <c r="K37" i="98" l="1"/>
  <c r="J38" i="98"/>
  <c r="K38" i="98" l="1"/>
  <c r="J39" i="98"/>
  <c r="J40" i="98" l="1"/>
  <c r="K39" i="98"/>
  <c r="K40" i="98" l="1"/>
  <c r="K41" i="98" l="1"/>
  <c r="K42" i="98" s="1"/>
  <c r="J55" i="98" s="1"/>
  <c r="J42" i="98"/>
  <c r="K55" i="98" l="1"/>
  <c r="K56" i="98" s="1"/>
  <c r="J56" i="98"/>
</calcChain>
</file>

<file path=xl/sharedStrings.xml><?xml version="1.0" encoding="utf-8"?>
<sst xmlns="http://schemas.openxmlformats.org/spreadsheetml/2006/main" count="85" uniqueCount="82">
  <si>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</si>
  <si>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</si>
  <si>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</si>
  <si>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</si>
  <si>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</si>
  <si>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</si>
  <si>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</si>
  <si>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</si>
  <si>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</si>
  <si>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</si>
  <si>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</si>
  <si>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</si>
  <si>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</si>
  <si>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</si>
  <si>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</si>
  <si>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</si>
  <si>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</si>
  <si>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</si>
  <si>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</si>
  <si>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</si>
  <si>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</si>
  <si>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</si>
  <si>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</si>
  <si>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</si>
  <si>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</si>
  <si>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</si>
  <si>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</si>
  <si>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</si>
  <si>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</si>
  <si>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</si>
  <si>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</si>
  <si>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</si>
  <si>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</si>
  <si>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</si>
  <si>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</si>
  <si>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</si>
  <si>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</si>
  <si>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</si>
  <si>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</si>
  <si>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</si>
  <si>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</si>
  <si>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</si>
  <si>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</si>
  <si>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</si>
  <si>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</si>
  <si>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</si>
  <si>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</si>
  <si>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</si>
  <si>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</si>
  <si>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</si>
  <si>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</si>
  <si>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</si>
  <si>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</si>
  <si>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</si>
  <si>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</si>
  <si>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</si>
  <si>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</si>
  <si>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</si>
  <si>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</si>
  <si>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Inbound Lilly boxes</t>
  </si>
  <si>
    <t>Ooubound Lilly boxes</t>
  </si>
  <si>
    <t>No of boxes Lilly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</si>
  <si>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</si>
  <si>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</si>
  <si>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</si>
  <si>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</si>
  <si>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</si>
  <si>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</si>
  <si>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01.04.2026.</t>
  </si>
  <si>
    <t>30.04.2026.</t>
  </si>
  <si>
    <t>103-WT-235,103-WT-229</t>
  </si>
  <si>
    <t>103-WT-232</t>
  </si>
  <si>
    <t>103-WT-233,IHR2026000000118</t>
  </si>
  <si>
    <t>IHR2026000000120,IHR2026000000123</t>
  </si>
  <si>
    <t>IHR2026000000127</t>
  </si>
  <si>
    <t>IHR2026000000126</t>
  </si>
  <si>
    <t>103-WT-234</t>
  </si>
  <si>
    <t>IHR2026000000133</t>
  </si>
  <si>
    <t>IHR2026000000136</t>
  </si>
  <si>
    <t>ANT2026000000058,ANT2026000000059</t>
  </si>
  <si>
    <t>IHR2026000000139,IHR2026000000143,IHR2026000000145</t>
  </si>
  <si>
    <t>103-WT-236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</si>
</sst>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2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8" fillId="6" borderId="0" applyNumberFormat="0" applyBorder="0" applyAlignment="0" applyProtection="0"/>
    <xf numFmtId="0" fontId="1" fillId="0" borderId="0"/>
    <xf numFmtId="0" fontId="19" fillId="0" borderId="0"/>
  </cellStyleXfs>
  <cellXfs count="8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0" fontId="0" fillId="3" borderId="9" xfId="0" applyFill="1" applyBorder="1"/>
    <xf numFmtId="2" fontId="4" fillId="0" borderId="9" xfId="0" applyNumberFormat="1" applyFont="1" applyBorder="1" applyAlignment="1">
      <alignment horizontal="left"/>
    </xf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7" fillId="2" borderId="12" xfId="0" applyFont="1" applyFill="1" applyBorder="1" applyAlignment="1">
      <alignment wrapText="1"/>
    </xf>
    <xf numFmtId="0" fontId="17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20" fillId="0" borderId="9" xfId="0" applyFont="1" applyBorder="1"/>
    <xf numFmtId="0" fontId="20" fillId="3" borderId="9" xfId="0" applyFont="1" applyFill="1" applyBorder="1"/>
    <xf numFmtId="0" fontId="20" fillId="0" borderId="9" xfId="0" applyFont="1" applyBorder="1" applyAlignment="1">
      <alignment horizontal="center"/>
    </xf>
    <xf numFmtId="0" fontId="16" fillId="3" borderId="9" xfId="0" applyFont="1" applyFill="1" applyBorder="1"/>
    <xf numFmtId="2" fontId="21" fillId="0" borderId="9" xfId="0" applyNumberFormat="1" applyFont="1" applyBorder="1" applyAlignment="1">
      <alignment horizontal="left"/>
    </xf>
    <xf numFmtId="0" fontId="16" fillId="5" borderId="9" xfId="0" applyFont="1" applyFill="1" applyBorder="1" applyAlignment="1">
      <alignment horizontal="left"/>
    </xf>
    <xf numFmtId="0" fontId="16" fillId="0" borderId="9" xfId="0" applyFont="1" applyBorder="1"/>
    <xf numFmtId="0" fontId="16" fillId="0" borderId="9" xfId="5" applyFont="1" applyBorder="1"/>
    <xf numFmtId="1" fontId="21" fillId="0" borderId="9" xfId="0" applyNumberFormat="1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165" fontId="15" fillId="4" borderId="0" xfId="0" applyNumberFormat="1" applyFont="1" applyFill="1"/>
    <xf numFmtId="0" fontId="16" fillId="0" borderId="0" xfId="0" applyFont="1" applyAlignment="1">
      <alignment horizontal="left"/>
    </xf>
    <xf numFmtId="0" fontId="19" fillId="0" borderId="9" xfId="6" applyBorder="1"/>
    <xf numFmtId="0" fontId="19" fillId="0" borderId="0" xfId="6"/>
    <xf numFmtId="0" fontId="19" fillId="0" borderId="9" xfId="6" applyBorder="1" applyAlignment="1">
      <alignment horizontal="center"/>
    </xf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7">
    <cellStyle name="Binlik Ayracı [0]" xfId="2" builtinId="6"/>
    <cellStyle name="Köprü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9252E-C9E4-40D6-9F56-7D4913C3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8AA5-B1D3-4610-847A-A8BB85D20AF8}">
  <dimension ref="A1:L61"/>
  <sheetViews>
    <sheetView tabSelected="1" view="pageBreakPreview" topLeftCell="A16" zoomScale="85" zoomScaleNormal="100" zoomScaleSheetLayoutView="85" workbookViewId="0">
      <selection activeCell="A44" sqref="A44"/>
    </sheetView>
  </sheetViews>
  <sheetFormatPr defaultRowHeight="14.25" x14ac:dyDescent="0.2"/>
  <cols>
    <col min="1" max="1" width="17.5" customWidth="1"/>
    <col min="2" max="2" width="36.375" customWidth="1"/>
    <col min="3" max="3" width="45.625" style="2" bestFit="1" customWidth="1"/>
    <col min="4" max="4" width="10" customWidth="1"/>
    <col min="5" max="5" width="10.5" customWidth="1"/>
    <col min="6" max="6" width="11.875" customWidth="1"/>
    <col min="7" max="7" width="23.25" bestFit="1" customWidth="1"/>
    <col min="8" max="8" width="13" customWidth="1"/>
    <col min="9" max="9" width="14.125" customWidth="1"/>
    <col min="10" max="10" width="13" customWidth="1"/>
    <col min="11" max="11" width="17.5" customWidth="1"/>
    <col min="12" max="12" width="14.5" bestFit="1" customWidth="1"/>
  </cols>
  <sheetData>
    <row r="1" spans="1:11" ht="15" x14ac:dyDescent="0.25">
      <c r="A1" s="1"/>
    </row>
    <row r="2" spans="1:11" ht="15" x14ac:dyDescent="0.25">
      <c r="A2" s="1" t="s">
        <v>36</v>
      </c>
      <c r="E2" s="2"/>
      <c r="F2" t="s">
        <v>39</v>
      </c>
      <c r="I2" s="3"/>
    </row>
    <row r="3" spans="1:11" ht="15" x14ac:dyDescent="0.25">
      <c r="A3" s="1" t="s">
        <v>35</v>
      </c>
      <c r="B3" s="2"/>
      <c r="C3" s="6"/>
      <c r="F3" s="3" t="s">
        <v>68</v>
      </c>
      <c r="H3" s="4"/>
      <c r="I3" s="4"/>
    </row>
    <row r="4" spans="1:11" ht="15" x14ac:dyDescent="0.25">
      <c r="B4" s="2"/>
      <c r="C4" s="6"/>
      <c r="F4" s="3" t="s">
        <v>69</v>
      </c>
      <c r="H4" s="2"/>
      <c r="I4" s="1"/>
    </row>
    <row r="5" spans="1:11" ht="15" x14ac:dyDescent="0.25">
      <c r="B5" s="2"/>
      <c r="C5" s="6"/>
      <c r="G5" s="2"/>
      <c r="H5" s="2"/>
      <c r="I5" s="5"/>
    </row>
    <row r="6" spans="1:11" ht="16.5" x14ac:dyDescent="0.3">
      <c r="A6" t="s">
        <v>37</v>
      </c>
      <c r="B6" s="6"/>
      <c r="C6" s="67">
        <v>117.3771</v>
      </c>
      <c r="F6" t="s">
        <v>38</v>
      </c>
      <c r="G6" s="46">
        <v>2604008521</v>
      </c>
      <c r="H6" s="2"/>
    </row>
    <row r="7" spans="1:11" ht="12" customHeight="1" thickBot="1" x14ac:dyDescent="0.25"/>
    <row r="8" spans="1:11" ht="15" thickBot="1" x14ac:dyDescent="0.25">
      <c r="A8" s="77" t="s">
        <v>42</v>
      </c>
      <c r="B8" s="79" t="s">
        <v>46</v>
      </c>
      <c r="C8" s="80"/>
      <c r="D8" s="80"/>
      <c r="E8" s="81"/>
      <c r="F8" s="79" t="s">
        <v>47</v>
      </c>
      <c r="G8" s="80"/>
      <c r="H8" s="80"/>
      <c r="I8" s="80"/>
      <c r="J8" s="82" t="s">
        <v>40</v>
      </c>
      <c r="K8" s="72" t="s">
        <v>41</v>
      </c>
    </row>
    <row r="9" spans="1:11" ht="26.25" thickBot="1" x14ac:dyDescent="0.25">
      <c r="A9" s="78"/>
      <c r="B9" s="18" t="s">
        <v>44</v>
      </c>
      <c r="C9" s="33" t="s">
        <v>45</v>
      </c>
      <c r="D9" s="54" t="s">
        <v>58</v>
      </c>
      <c r="E9" s="17" t="s">
        <v>61</v>
      </c>
      <c r="F9" s="18" t="s">
        <v>44</v>
      </c>
      <c r="G9" s="43" t="s">
        <v>45</v>
      </c>
      <c r="H9" s="53" t="s">
        <v>43</v>
      </c>
      <c r="I9" s="41" t="s">
        <v>61</v>
      </c>
      <c r="J9" s="83"/>
      <c r="K9" s="73"/>
    </row>
    <row r="10" spans="1:11" x14ac:dyDescent="0.2">
      <c r="A10" s="74" t="s">
        <v>57</v>
      </c>
      <c r="B10" s="75"/>
      <c r="C10" s="34"/>
      <c r="D10" s="8">
        <v>24375</v>
      </c>
      <c r="E10" s="9"/>
      <c r="F10" s="7"/>
      <c r="G10" s="8"/>
      <c r="H10" s="48"/>
      <c r="I10" s="59"/>
      <c r="J10" s="20"/>
      <c r="K10" s="21"/>
    </row>
    <row r="11" spans="1:11" ht="13.5" customHeight="1" x14ac:dyDescent="0.25">
      <c r="A11" s="47" t="s">
        <v>0</v>
      </c>
      <c r="B11" s="57" t="s">
        <v>70</v>
      </c>
      <c r="C11" s="61" t="s">
        <v>71</v>
      </c>
      <c r="D11" s="10">
        <v>123</v>
      </c>
      <c r="E11" s="35"/>
      <c r="F11" s="10"/>
      <c r="G11" s="10"/>
      <c r="H11" s="69">
        <v>0</v>
      </c>
      <c r="I11" s="71"/>
      <c r="J11" s="50">
        <f>D10+D11+E11-H11-I11</f>
        <v>24498</v>
      </c>
      <c r="K11" s="45">
        <f>0.022*J11</f>
        <v>538.95600000000002</v>
      </c>
    </row>
    <row r="12" spans="1:11" ht="14.25" customHeight="1" x14ac:dyDescent="0.25">
      <c r="A12" s="10" t="s">
        <v>1</v>
      </c>
      <c r="B12" s="70"/>
      <c r="C12"/>
      <c r="D12" s="10"/>
      <c r="E12" s="10"/>
      <c r="F12" s="10"/>
      <c r="G12" s="10"/>
      <c r="H12" s="44">
        <v>1153</v>
      </c>
      <c r="I12" s="55"/>
      <c r="J12" s="50">
        <f>J11+D12+E12-H12-I12</f>
        <v>23345</v>
      </c>
      <c r="K12" s="45">
        <f t="shared" ref="K12:K41" si="0">0.022*J12</f>
        <v>513.58999999999992</v>
      </c>
    </row>
    <row r="13" spans="1:11" ht="13.5" customHeight="1" x14ac:dyDescent="0.25">
      <c r="A13" s="10" t="s">
        <v>2</v>
      </c>
      <c r="B13" s="58"/>
      <c r="C13" s="68"/>
      <c r="D13" s="35"/>
      <c r="E13" s="35"/>
      <c r="F13" s="10"/>
      <c r="G13" s="10"/>
      <c r="H13" s="44">
        <v>1575</v>
      </c>
      <c r="I13" s="55"/>
      <c r="J13" s="50">
        <f t="shared" ref="J13:J40" si="1">J12+D13+E13-H13-I13</f>
        <v>21770</v>
      </c>
      <c r="K13" s="45">
        <f t="shared" si="0"/>
        <v>478.94</v>
      </c>
    </row>
    <row r="14" spans="1:11" ht="15" x14ac:dyDescent="0.25">
      <c r="A14" s="10" t="s">
        <v>3</v>
      </c>
      <c r="B14" s="57"/>
      <c r="C14" s="60"/>
      <c r="D14" s="10"/>
      <c r="E14" s="10"/>
      <c r="F14" s="10"/>
      <c r="G14" s="10"/>
      <c r="H14" s="44">
        <v>922</v>
      </c>
      <c r="I14" s="55"/>
      <c r="J14" s="50">
        <f>J13+D14+E14-H14-I14</f>
        <v>20848</v>
      </c>
      <c r="K14" s="45">
        <f t="shared" si="0"/>
        <v>458.65599999999995</v>
      </c>
    </row>
    <row r="15" spans="1:11" ht="15" x14ac:dyDescent="0.25">
      <c r="A15" s="10" t="s">
        <v>4</v>
      </c>
      <c r="B15" s="58"/>
      <c r="C15" s="68"/>
      <c r="D15" s="10"/>
      <c r="E15" s="10"/>
      <c r="F15" s="10"/>
      <c r="G15" s="10"/>
      <c r="H15" s="44">
        <v>0</v>
      </c>
      <c r="I15" s="55"/>
      <c r="J15" s="50">
        <f t="shared" si="1"/>
        <v>20848</v>
      </c>
      <c r="K15" s="45">
        <f t="shared" si="0"/>
        <v>458.65599999999995</v>
      </c>
    </row>
    <row r="16" spans="1:11" ht="15" x14ac:dyDescent="0.25">
      <c r="A16" s="10" t="s">
        <v>5</v>
      </c>
      <c r="B16" s="57" t="s">
        <v>72</v>
      </c>
      <c r="C16" s="62" t="s">
        <v>73</v>
      </c>
      <c r="D16" s="10">
        <v>3433</v>
      </c>
      <c r="E16" s="10"/>
      <c r="F16" s="10"/>
      <c r="G16" s="10"/>
      <c r="H16" s="44">
        <v>0</v>
      </c>
      <c r="I16" s="55"/>
      <c r="J16" s="50">
        <f t="shared" si="1"/>
        <v>24281</v>
      </c>
      <c r="K16" s="45">
        <f t="shared" si="0"/>
        <v>534.18200000000002</v>
      </c>
    </row>
    <row r="17" spans="1:11" ht="15" x14ac:dyDescent="0.25">
      <c r="A17" s="10" t="s">
        <v>6</v>
      </c>
      <c r="B17" s="42"/>
      <c r="C17" s="63"/>
      <c r="D17" s="10"/>
      <c r="E17" s="10"/>
      <c r="F17" s="44"/>
      <c r="G17" s="10"/>
      <c r="H17" s="44">
        <v>1650</v>
      </c>
      <c r="I17" s="55"/>
      <c r="J17" s="50">
        <f>J16+D17+E17-H17-I17</f>
        <v>22631</v>
      </c>
      <c r="K17" s="45">
        <f t="shared" si="0"/>
        <v>497.88199999999995</v>
      </c>
    </row>
    <row r="18" spans="1:11" ht="15" x14ac:dyDescent="0.25">
      <c r="A18" s="10" t="s">
        <v>7</v>
      </c>
      <c r="B18" s="63"/>
      <c r="C18" s="57"/>
      <c r="D18" s="10"/>
      <c r="E18" s="10"/>
      <c r="F18" s="10"/>
      <c r="G18" s="10"/>
      <c r="H18" s="44">
        <v>1768</v>
      </c>
      <c r="I18" s="55"/>
      <c r="J18" s="50">
        <f>J17+D18+E18-H18-I18</f>
        <v>20863</v>
      </c>
      <c r="K18" s="45">
        <f t="shared" si="0"/>
        <v>458.98599999999999</v>
      </c>
    </row>
    <row r="19" spans="1:11" ht="13.5" customHeight="1" x14ac:dyDescent="0.2">
      <c r="A19" s="10" t="s">
        <v>8</v>
      </c>
      <c r="C19"/>
      <c r="D19" s="10"/>
      <c r="E19" s="10"/>
      <c r="F19" s="44"/>
      <c r="G19" s="55"/>
      <c r="H19" s="44">
        <v>629</v>
      </c>
      <c r="I19" s="55"/>
      <c r="J19" s="50">
        <f t="shared" si="1"/>
        <v>20234</v>
      </c>
      <c r="K19" s="45">
        <f t="shared" si="0"/>
        <v>445.14799999999997</v>
      </c>
    </row>
    <row r="20" spans="1:11" ht="15" x14ac:dyDescent="0.25">
      <c r="A20" s="10" t="s">
        <v>9</v>
      </c>
      <c r="B20" s="60"/>
      <c r="C20" s="60"/>
      <c r="D20" s="10"/>
      <c r="E20" s="10"/>
      <c r="F20" s="44"/>
      <c r="G20" s="55"/>
      <c r="H20" s="44">
        <v>0</v>
      </c>
      <c r="I20" s="55"/>
      <c r="J20" s="50">
        <f t="shared" si="1"/>
        <v>20234</v>
      </c>
      <c r="K20" s="45">
        <f t="shared" si="0"/>
        <v>445.14799999999997</v>
      </c>
    </row>
    <row r="21" spans="1:11" ht="15" x14ac:dyDescent="0.25">
      <c r="A21" s="10" t="s">
        <v>10</v>
      </c>
      <c r="B21" s="64"/>
      <c r="C21" s="64"/>
      <c r="D21" s="10"/>
      <c r="E21" s="10"/>
      <c r="F21" s="44"/>
      <c r="G21" s="55"/>
      <c r="H21" s="44">
        <v>0</v>
      </c>
      <c r="I21" s="55"/>
      <c r="J21" s="50">
        <f t="shared" si="1"/>
        <v>20234</v>
      </c>
      <c r="K21" s="45">
        <f t="shared" si="0"/>
        <v>445.14799999999997</v>
      </c>
    </row>
    <row r="22" spans="1:11" ht="15" x14ac:dyDescent="0.25">
      <c r="A22" s="10" t="s">
        <v>11</v>
      </c>
      <c r="B22" s="69"/>
      <c r="C22" s="69"/>
      <c r="D22" s="10"/>
      <c r="E22" s="10"/>
      <c r="F22" s="44"/>
      <c r="G22" s="55"/>
      <c r="H22" s="44">
        <v>0</v>
      </c>
      <c r="I22" s="55"/>
      <c r="J22" s="50">
        <f t="shared" si="1"/>
        <v>20234</v>
      </c>
      <c r="K22" s="45">
        <f t="shared" si="0"/>
        <v>445.14799999999997</v>
      </c>
    </row>
    <row r="23" spans="1:11" x14ac:dyDescent="0.2">
      <c r="A23" s="10" t="s">
        <v>12</v>
      </c>
      <c r="C23"/>
      <c r="D23" s="10"/>
      <c r="E23" s="10"/>
      <c r="F23" s="44"/>
      <c r="G23" s="55"/>
      <c r="H23" s="44">
        <v>0</v>
      </c>
      <c r="I23" s="55"/>
      <c r="J23" s="50">
        <f>J22+D23+E23-H23-I23</f>
        <v>20234</v>
      </c>
      <c r="K23" s="45">
        <f t="shared" si="0"/>
        <v>445.14799999999997</v>
      </c>
    </row>
    <row r="24" spans="1:11" x14ac:dyDescent="0.2">
      <c r="A24" s="10" t="s">
        <v>13</v>
      </c>
      <c r="B24" t="s">
        <v>74</v>
      </c>
      <c r="C24" s="57" t="s">
        <v>75</v>
      </c>
      <c r="D24" s="10">
        <v>2030</v>
      </c>
      <c r="E24" s="10"/>
      <c r="F24" s="44"/>
      <c r="G24" s="55"/>
      <c r="H24" s="44">
        <v>0</v>
      </c>
      <c r="I24" s="55"/>
      <c r="J24" s="50">
        <f t="shared" si="1"/>
        <v>22264</v>
      </c>
      <c r="K24" s="45">
        <f t="shared" si="0"/>
        <v>489.80799999999999</v>
      </c>
    </row>
    <row r="25" spans="1:11" x14ac:dyDescent="0.2">
      <c r="A25" s="10" t="s">
        <v>14</v>
      </c>
      <c r="B25" s="57" t="s">
        <v>76</v>
      </c>
      <c r="C25" t="s">
        <v>77</v>
      </c>
      <c r="D25" s="10">
        <v>1085</v>
      </c>
      <c r="E25" s="10"/>
      <c r="F25" s="44"/>
      <c r="G25" s="55"/>
      <c r="H25" s="44">
        <v>0</v>
      </c>
      <c r="I25" s="55"/>
      <c r="J25" s="50">
        <f t="shared" si="1"/>
        <v>23349</v>
      </c>
      <c r="K25" s="45">
        <f t="shared" si="0"/>
        <v>513.678</v>
      </c>
    </row>
    <row r="26" spans="1:11" ht="13.5" customHeight="1" x14ac:dyDescent="0.25">
      <c r="A26" s="10" t="s">
        <v>15</v>
      </c>
      <c r="B26" s="57"/>
      <c r="C26" s="62"/>
      <c r="D26" s="10"/>
      <c r="E26" s="10"/>
      <c r="F26" s="44"/>
      <c r="G26" s="55"/>
      <c r="H26" s="44">
        <v>623</v>
      </c>
      <c r="I26" s="55"/>
      <c r="J26" s="50">
        <f t="shared" si="1"/>
        <v>22726</v>
      </c>
      <c r="K26" s="45">
        <f t="shared" si="0"/>
        <v>499.97199999999998</v>
      </c>
    </row>
    <row r="27" spans="1:11" x14ac:dyDescent="0.2">
      <c r="A27" s="10" t="s">
        <v>16</v>
      </c>
      <c r="B27" t="s">
        <v>78</v>
      </c>
      <c r="C27" s="42"/>
      <c r="D27" s="10">
        <v>1168</v>
      </c>
      <c r="E27" s="10"/>
      <c r="F27" s="44"/>
      <c r="G27" s="55"/>
      <c r="H27" s="44">
        <v>678</v>
      </c>
      <c r="I27" s="55"/>
      <c r="J27" s="50">
        <f t="shared" si="1"/>
        <v>23216</v>
      </c>
      <c r="K27" s="45">
        <f t="shared" si="0"/>
        <v>510.75199999999995</v>
      </c>
    </row>
    <row r="28" spans="1:11" ht="15" x14ac:dyDescent="0.25">
      <c r="A28" s="10" t="s">
        <v>17</v>
      </c>
      <c r="B28" s="63"/>
      <c r="C28" s="63"/>
      <c r="D28" s="10"/>
      <c r="E28" s="10"/>
      <c r="F28" s="44"/>
      <c r="G28" s="10"/>
      <c r="H28" s="44">
        <v>2185</v>
      </c>
      <c r="I28" s="55"/>
      <c r="J28" s="50">
        <f t="shared" si="1"/>
        <v>21031</v>
      </c>
      <c r="K28" s="45">
        <f t="shared" si="0"/>
        <v>462.68199999999996</v>
      </c>
    </row>
    <row r="29" spans="1:11" ht="15" x14ac:dyDescent="0.25">
      <c r="A29" s="10" t="s">
        <v>18</v>
      </c>
      <c r="B29" s="63"/>
      <c r="C29" s="63"/>
      <c r="D29" s="10"/>
      <c r="E29" s="10"/>
      <c r="F29" s="44"/>
      <c r="G29" s="56"/>
      <c r="H29" s="44">
        <v>0</v>
      </c>
      <c r="I29" s="55"/>
      <c r="J29" s="50">
        <f t="shared" si="1"/>
        <v>21031</v>
      </c>
      <c r="K29" s="45">
        <f t="shared" si="0"/>
        <v>462.68199999999996</v>
      </c>
    </row>
    <row r="30" spans="1:11" x14ac:dyDescent="0.2">
      <c r="A30" s="10" t="s">
        <v>19</v>
      </c>
      <c r="B30" t="s">
        <v>79</v>
      </c>
      <c r="C30" s="57" t="s">
        <v>80</v>
      </c>
      <c r="D30" s="10">
        <v>3078</v>
      </c>
      <c r="E30" s="10"/>
      <c r="F30" s="44"/>
      <c r="G30" s="55"/>
      <c r="H30" s="44"/>
      <c r="I30" s="55">
        <v>1557</v>
      </c>
      <c r="J30" s="50">
        <f>J29+D30+E30-H30-I30</f>
        <v>22552</v>
      </c>
      <c r="K30" s="45">
        <f t="shared" si="0"/>
        <v>496.14399999999995</v>
      </c>
    </row>
    <row r="31" spans="1:11" x14ac:dyDescent="0.2">
      <c r="A31" s="10" t="s">
        <v>20</v>
      </c>
      <c r="B31" s="58"/>
      <c r="C31" s="65"/>
      <c r="D31" s="10"/>
      <c r="E31" s="49"/>
      <c r="F31" s="44"/>
      <c r="G31" s="55"/>
      <c r="H31" s="44">
        <v>0</v>
      </c>
      <c r="I31" s="55"/>
      <c r="J31" s="50">
        <f t="shared" si="1"/>
        <v>22552</v>
      </c>
      <c r="K31" s="45">
        <f t="shared" si="0"/>
        <v>496.14399999999995</v>
      </c>
    </row>
    <row r="32" spans="1:11" x14ac:dyDescent="0.2">
      <c r="A32" s="10" t="s">
        <v>21</v>
      </c>
      <c r="B32" s="57"/>
      <c r="C32" s="57"/>
      <c r="D32" s="10"/>
      <c r="E32" s="10"/>
      <c r="F32" s="44"/>
      <c r="G32" s="55"/>
      <c r="H32" s="44">
        <v>0</v>
      </c>
      <c r="I32" s="55"/>
      <c r="J32" s="50">
        <f>J31+D32+E32-H32-I32</f>
        <v>22552</v>
      </c>
      <c r="K32" s="45">
        <f t="shared" si="0"/>
        <v>496.14399999999995</v>
      </c>
    </row>
    <row r="33" spans="1:12" ht="15" x14ac:dyDescent="0.25">
      <c r="A33" s="10" t="s">
        <v>22</v>
      </c>
      <c r="C33" s="66"/>
      <c r="D33" s="10"/>
      <c r="E33" s="10"/>
      <c r="F33" s="44"/>
      <c r="G33" s="55"/>
      <c r="H33" s="44">
        <v>925</v>
      </c>
      <c r="I33" s="55"/>
      <c r="J33" s="50">
        <f>J32+D33+E33-H33-I33</f>
        <v>21627</v>
      </c>
      <c r="K33" s="45">
        <f t="shared" si="0"/>
        <v>475.79399999999998</v>
      </c>
    </row>
    <row r="34" spans="1:12" x14ac:dyDescent="0.2">
      <c r="A34" s="10" t="s">
        <v>23</v>
      </c>
      <c r="B34" t="s">
        <v>81</v>
      </c>
      <c r="C34"/>
      <c r="D34" s="10">
        <v>34</v>
      </c>
      <c r="E34" s="10"/>
      <c r="F34" s="44"/>
      <c r="G34" s="55"/>
      <c r="H34" s="44">
        <v>673</v>
      </c>
      <c r="I34" s="55"/>
      <c r="J34" s="50">
        <f>J33+D34+E34-H34-I34</f>
        <v>20988</v>
      </c>
      <c r="K34" s="45">
        <f t="shared" si="0"/>
        <v>461.73599999999999</v>
      </c>
    </row>
    <row r="35" spans="1:12" x14ac:dyDescent="0.2">
      <c r="A35" s="10" t="s">
        <v>24</v>
      </c>
      <c r="B35" s="44"/>
      <c r="C35" s="61"/>
      <c r="D35" s="10"/>
      <c r="E35" s="10"/>
      <c r="F35" s="44"/>
      <c r="G35" s="55"/>
      <c r="H35" s="44">
        <v>885</v>
      </c>
      <c r="I35" s="55"/>
      <c r="J35" s="50">
        <f t="shared" si="1"/>
        <v>20103</v>
      </c>
      <c r="K35" s="45">
        <f t="shared" si="0"/>
        <v>442.26599999999996</v>
      </c>
    </row>
    <row r="36" spans="1:12" ht="13.5" customHeight="1" x14ac:dyDescent="0.25">
      <c r="A36" s="10" t="s">
        <v>25</v>
      </c>
      <c r="B36" s="70"/>
      <c r="C36" s="63"/>
      <c r="D36" s="10"/>
      <c r="E36" s="10"/>
      <c r="F36" s="10"/>
      <c r="G36" s="10"/>
      <c r="H36" s="44">
        <v>0</v>
      </c>
      <c r="I36" s="55"/>
      <c r="J36" s="50">
        <f t="shared" si="1"/>
        <v>20103</v>
      </c>
      <c r="K36" s="45">
        <f t="shared" si="0"/>
        <v>442.26599999999996</v>
      </c>
    </row>
    <row r="37" spans="1:12" x14ac:dyDescent="0.2">
      <c r="A37" s="10" t="s">
        <v>26</v>
      </c>
      <c r="B37" s="57"/>
      <c r="C37" s="57"/>
      <c r="D37" s="10"/>
      <c r="E37" s="10"/>
      <c r="F37" s="10"/>
      <c r="G37" s="10"/>
      <c r="H37" s="44">
        <v>1450</v>
      </c>
      <c r="I37" s="55"/>
      <c r="J37" s="50">
        <f t="shared" si="1"/>
        <v>18653</v>
      </c>
      <c r="K37" s="45">
        <f t="shared" si="0"/>
        <v>410.36599999999999</v>
      </c>
    </row>
    <row r="38" spans="1:12" x14ac:dyDescent="0.2">
      <c r="A38" s="10" t="s">
        <v>27</v>
      </c>
      <c r="B38" s="44"/>
      <c r="C38" s="44"/>
      <c r="D38" s="10"/>
      <c r="E38" s="10"/>
      <c r="F38" s="10"/>
      <c r="G38" s="10"/>
      <c r="H38" s="44">
        <v>586</v>
      </c>
      <c r="I38" s="55"/>
      <c r="J38" s="50">
        <f t="shared" si="1"/>
        <v>18067</v>
      </c>
      <c r="K38" s="45">
        <f t="shared" si="0"/>
        <v>397.47399999999999</v>
      </c>
    </row>
    <row r="39" spans="1:12" ht="15" x14ac:dyDescent="0.25">
      <c r="A39" s="10" t="s">
        <v>28</v>
      </c>
      <c r="B39" s="57"/>
      <c r="C39" s="63"/>
      <c r="D39" s="10"/>
      <c r="E39" s="10"/>
      <c r="F39" s="44"/>
      <c r="G39" s="10"/>
      <c r="H39" s="44">
        <v>1050</v>
      </c>
      <c r="I39" s="55"/>
      <c r="J39" s="50">
        <f t="shared" si="1"/>
        <v>17017</v>
      </c>
      <c r="K39" s="45">
        <f t="shared" si="0"/>
        <v>374.37399999999997</v>
      </c>
    </row>
    <row r="40" spans="1:12" ht="15" x14ac:dyDescent="0.25">
      <c r="A40" s="10" t="s">
        <v>29</v>
      </c>
      <c r="B40" s="57"/>
      <c r="C40" s="63"/>
      <c r="D40" s="10"/>
      <c r="E40" s="10"/>
      <c r="F40" s="44"/>
      <c r="G40" s="10"/>
      <c r="H40" s="44">
        <v>0</v>
      </c>
      <c r="I40" s="55"/>
      <c r="J40" s="50">
        <f t="shared" si="1"/>
        <v>17017</v>
      </c>
      <c r="K40" s="45">
        <f t="shared" si="0"/>
        <v>374.37399999999997</v>
      </c>
    </row>
    <row r="41" spans="1:12" ht="15" x14ac:dyDescent="0.25">
      <c r="A41" s="10" t="s">
        <v>30</v>
      </c>
      <c r="B41" s="57"/>
      <c r="C41" s="63"/>
      <c r="D41" s="10"/>
      <c r="E41" s="10"/>
      <c r="F41" s="44"/>
      <c r="G41" s="10"/>
      <c r="H41" s="55"/>
      <c r="I41" s="55"/>
      <c r="J41" s="50">
        <v>0</v>
      </c>
      <c r="K41" s="45">
        <f t="shared" si="0"/>
        <v>0</v>
      </c>
    </row>
    <row r="42" spans="1:12" ht="15.75" thickBot="1" x14ac:dyDescent="0.3">
      <c r="A42" s="76"/>
      <c r="B42" s="76"/>
      <c r="C42" s="51" t="s">
        <v>31</v>
      </c>
      <c r="D42" s="52">
        <f>SUM(D11:D41)</f>
        <v>10951</v>
      </c>
      <c r="E42" s="52">
        <f>SUM(E11:E41)</f>
        <v>0</v>
      </c>
      <c r="F42" s="51">
        <v>0</v>
      </c>
      <c r="G42" s="51"/>
      <c r="H42" s="52">
        <f>SUM(H10:H41)</f>
        <v>16752</v>
      </c>
      <c r="I42" s="52">
        <f>SUM(I11:I41)</f>
        <v>1557</v>
      </c>
      <c r="J42" s="40">
        <f>AVERAGE(J11:J41)</f>
        <v>20487.16129032258</v>
      </c>
      <c r="K42" s="19">
        <f>SUM(K11:K41)</f>
        <v>13972.244000000001</v>
      </c>
    </row>
    <row r="43" spans="1:12" ht="12" customHeight="1" x14ac:dyDescent="0.2"/>
    <row r="44" spans="1:12" x14ac:dyDescent="0.2">
      <c r="C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</row>
    <row r="45" spans="1:12" x14ac:dyDescent="0.2">
      <c r="E45" s="22" t="s">
        <v>48</v>
      </c>
      <c r="F45" s="23"/>
      <c r="G45" s="23"/>
      <c r="H45" s="24">
        <f>D42+E42</f>
        <v>10951</v>
      </c>
      <c r="I45" s="36">
        <v>0.31</v>
      </c>
      <c r="J45" s="28">
        <f>H45*I45</f>
        <v>3394.81</v>
      </c>
      <c r="K45" s="30">
        <f>kurs*J45</f>
        <v>398472.95285100001</v>
      </c>
    </row>
    <row r="46" spans="1:12" x14ac:dyDescent="0.2">
      <c r="E46" s="22" t="s">
        <v>49</v>
      </c>
      <c r="F46" s="23"/>
      <c r="G46" s="23"/>
      <c r="H46" s="24">
        <f>H42</f>
        <v>16752</v>
      </c>
      <c r="I46" s="36">
        <v>0.22</v>
      </c>
      <c r="J46" s="28">
        <f>H46*I46</f>
        <v>3685.44</v>
      </c>
      <c r="K46" s="30">
        <f t="shared" ref="K46" si="2">kurs*J46</f>
        <v>432586.25942399999</v>
      </c>
      <c r="L46" s="38"/>
    </row>
    <row r="47" spans="1:12" x14ac:dyDescent="0.2">
      <c r="E47" s="22" t="s">
        <v>59</v>
      </c>
      <c r="F47" s="23"/>
      <c r="G47" s="23"/>
      <c r="H47" s="24">
        <f>E42</f>
        <v>0</v>
      </c>
      <c r="I47" s="36">
        <v>0.28999999999999998</v>
      </c>
      <c r="J47" s="28">
        <f t="shared" ref="J47:J53" si="3">H47*I47</f>
        <v>0</v>
      </c>
      <c r="K47" s="30">
        <f t="shared" ref="K47:K50" si="4">kurs*J47</f>
        <v>0</v>
      </c>
    </row>
    <row r="48" spans="1:12" x14ac:dyDescent="0.2">
      <c r="E48" s="22" t="s">
        <v>63</v>
      </c>
      <c r="F48" s="23"/>
      <c r="G48" s="23"/>
      <c r="H48" s="24">
        <v>0</v>
      </c>
      <c r="I48" s="36">
        <v>1.65</v>
      </c>
      <c r="J48" s="28">
        <f t="shared" si="3"/>
        <v>0</v>
      </c>
      <c r="K48" s="30">
        <f t="shared" ref="K48:K49" si="5">kurs*J48</f>
        <v>0</v>
      </c>
    </row>
    <row r="49" spans="3:12" x14ac:dyDescent="0.2">
      <c r="E49" s="22" t="s">
        <v>64</v>
      </c>
      <c r="F49" s="23"/>
      <c r="G49" s="23"/>
      <c r="H49" s="24">
        <v>0</v>
      </c>
      <c r="I49" s="36">
        <v>1.65</v>
      </c>
      <c r="J49" s="28">
        <f t="shared" si="3"/>
        <v>0</v>
      </c>
      <c r="K49" s="30">
        <f t="shared" si="5"/>
        <v>0</v>
      </c>
    </row>
    <row r="50" spans="3:12" x14ac:dyDescent="0.2">
      <c r="E50" s="25" t="s">
        <v>60</v>
      </c>
      <c r="F50" s="26"/>
      <c r="G50" s="26"/>
      <c r="H50" s="27">
        <f>I42</f>
        <v>1557</v>
      </c>
      <c r="I50" s="37">
        <v>0.2</v>
      </c>
      <c r="J50" s="28">
        <f t="shared" si="3"/>
        <v>311.40000000000003</v>
      </c>
      <c r="K50" s="30">
        <f t="shared" si="4"/>
        <v>36551.228940000001</v>
      </c>
    </row>
    <row r="51" spans="3:12" x14ac:dyDescent="0.2">
      <c r="E51" s="25" t="s">
        <v>62</v>
      </c>
      <c r="F51" s="26"/>
      <c r="G51" s="26"/>
      <c r="H51" s="27">
        <v>0</v>
      </c>
      <c r="I51" s="37">
        <v>0.12</v>
      </c>
      <c r="J51" s="28">
        <f t="shared" si="3"/>
        <v>0</v>
      </c>
      <c r="K51" s="30">
        <f>kurs*J51</f>
        <v>0</v>
      </c>
    </row>
    <row r="52" spans="3:12" x14ac:dyDescent="0.2">
      <c r="E52" s="25" t="s">
        <v>65</v>
      </c>
      <c r="F52" s="26"/>
      <c r="G52" s="26"/>
      <c r="H52" s="27">
        <v>0</v>
      </c>
      <c r="I52" s="37">
        <v>0.08</v>
      </c>
      <c r="J52" s="28">
        <f t="shared" si="3"/>
        <v>0</v>
      </c>
      <c r="K52" s="30">
        <f>kurs*J52</f>
        <v>0</v>
      </c>
    </row>
    <row r="53" spans="3:12" x14ac:dyDescent="0.2">
      <c r="E53" s="25" t="s">
        <v>66</v>
      </c>
      <c r="F53" s="26"/>
      <c r="G53" s="26"/>
      <c r="H53" s="27">
        <v>0</v>
      </c>
      <c r="I53" s="37">
        <v>200</v>
      </c>
      <c r="J53" s="28">
        <f t="shared" si="3"/>
        <v>0</v>
      </c>
      <c r="K53" s="30">
        <f>kurs*J53</f>
        <v>0</v>
      </c>
    </row>
    <row r="54" spans="3:12" x14ac:dyDescent="0.2">
      <c r="E54" s="25" t="s">
        <v>67</v>
      </c>
      <c r="F54" s="26"/>
      <c r="G54" s="26"/>
      <c r="H54" s="27">
        <v>0</v>
      </c>
      <c r="I54" s="37">
        <v>200</v>
      </c>
      <c r="J54" s="28">
        <f>H54*I54</f>
        <v>0</v>
      </c>
      <c r="K54" s="30">
        <f>kurs*J54</f>
        <v>0</v>
      </c>
    </row>
    <row r="55" spans="3:12" x14ac:dyDescent="0.2">
      <c r="E55" s="25" t="s">
        <v>50</v>
      </c>
      <c r="F55" s="26"/>
      <c r="G55" s="26"/>
      <c r="H55" s="26"/>
      <c r="I55" s="37"/>
      <c r="J55" s="29">
        <f>K42</f>
        <v>13972.244000000001</v>
      </c>
      <c r="K55" s="30">
        <f>kurs*J55</f>
        <v>1640021.4812124001</v>
      </c>
      <c r="L55" s="38"/>
    </row>
    <row r="56" spans="3:12" ht="15" x14ac:dyDescent="0.25">
      <c r="E56" s="11"/>
      <c r="I56" t="s">
        <v>51</v>
      </c>
      <c r="J56" s="32">
        <f>SUM(J45:J55)</f>
        <v>21363.894</v>
      </c>
      <c r="K56" s="31">
        <f>SUM(K45:K55)</f>
        <v>2507631.9224274</v>
      </c>
      <c r="L56" s="39"/>
    </row>
    <row r="57" spans="3:12" ht="13.5" customHeight="1" x14ac:dyDescent="0.25">
      <c r="F57" s="12"/>
      <c r="G57" s="13" t="s">
        <v>32</v>
      </c>
    </row>
    <row r="58" spans="3:12" ht="11.25" customHeight="1" x14ac:dyDescent="0.2"/>
    <row r="59" spans="3:12" x14ac:dyDescent="0.2">
      <c r="H59" s="14"/>
      <c r="I59" s="14"/>
      <c r="J59" s="15"/>
      <c r="K59" s="14"/>
    </row>
    <row r="60" spans="3:12" x14ac:dyDescent="0.2">
      <c r="C60" s="2" t="s">
        <v>34</v>
      </c>
      <c r="H60" s="14"/>
      <c r="I60" s="14"/>
      <c r="J60" s="14"/>
      <c r="K60" s="14"/>
    </row>
    <row r="61" spans="3:12" ht="12.75" customHeight="1" x14ac:dyDescent="0.2">
      <c r="C61" s="2" t="s">
        <v>33</v>
      </c>
      <c r="H61" s="14"/>
      <c r="I61" s="16"/>
      <c r="J61" s="14"/>
      <c r="K61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APRIL 2026 </vt:lpstr>
      <vt:lpstr>'APRIL 2026 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Özkan Yaman</cp:lastModifiedBy>
  <cp:lastPrinted>2026-05-05T13:39:41Z</cp:lastPrinted>
  <dcterms:created xsi:type="dcterms:W3CDTF">2019-12-02T09:28:44Z</dcterms:created>
  <dcterms:modified xsi:type="dcterms:W3CDTF">2026-05-11T10:36:09Z</dcterms:modified>
</cp:coreProperties>
</file>