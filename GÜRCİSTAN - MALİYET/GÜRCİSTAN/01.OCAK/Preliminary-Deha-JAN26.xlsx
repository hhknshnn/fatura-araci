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wworld.sharepoint.com/sites/TBI_Logistics-LogisticsDept/Freigegebene Dokumente/Logistics Dept/Clients/Madam Coco/2026/"/>
    </mc:Choice>
  </mc:AlternateContent>
  <xr:revisionPtr revIDLastSave="9" documentId="8_{FDC826A8-3F3C-4165-B822-C507D512A29A}" xr6:coauthVersionLast="47" xr6:coauthVersionMax="47" xr10:uidLastSave="{B2D20F9A-C846-4D13-B91C-E861283822D0}"/>
  <bookViews>
    <workbookView xWindow="-120" yWindow="-120" windowWidth="29040" windowHeight="17640" xr2:uid="{5A69EFF8-FF88-4B71-BF41-531BD8C5BFD5}"/>
  </bookViews>
  <sheets>
    <sheet name="January" sheetId="1" r:id="rId1"/>
  </sheets>
  <definedNames>
    <definedName name="_xlnm._FilterDatabase" localSheetId="0" hidden="1">January!$A$1:$H$168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6" i="1" l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P32" i="1"/>
  <c r="F32" i="1"/>
  <c r="N31" i="1"/>
  <c r="P31" i="1" s="1"/>
  <c r="F31" i="1"/>
  <c r="P30" i="1"/>
  <c r="F30" i="1"/>
  <c r="N29" i="1"/>
  <c r="P29" i="1" s="1"/>
  <c r="F29" i="1"/>
  <c r="P28" i="1"/>
  <c r="F28" i="1"/>
  <c r="P27" i="1"/>
  <c r="F27" i="1"/>
  <c r="N26" i="1"/>
  <c r="P26" i="1" s="1"/>
  <c r="F26" i="1"/>
  <c r="N25" i="1"/>
  <c r="P25" i="1" s="1"/>
  <c r="F25" i="1"/>
  <c r="N24" i="1"/>
  <c r="P24" i="1" s="1"/>
  <c r="F24" i="1"/>
  <c r="N23" i="1"/>
  <c r="P23" i="1" s="1"/>
  <c r="F23" i="1"/>
  <c r="F22" i="1"/>
  <c r="N21" i="1"/>
  <c r="F21" i="1"/>
  <c r="P20" i="1"/>
  <c r="F20" i="1"/>
  <c r="P19" i="1"/>
  <c r="F19" i="1"/>
  <c r="P18" i="1"/>
  <c r="F18" i="1"/>
  <c r="P17" i="1"/>
  <c r="F17" i="1"/>
  <c r="P16" i="1"/>
  <c r="F16" i="1"/>
  <c r="P15" i="1"/>
  <c r="F15" i="1"/>
  <c r="P14" i="1"/>
  <c r="F14" i="1"/>
  <c r="P13" i="1"/>
  <c r="F13" i="1"/>
  <c r="P12" i="1"/>
  <c r="F12" i="1"/>
  <c r="P11" i="1"/>
  <c r="F11" i="1"/>
  <c r="P10" i="1"/>
  <c r="F10" i="1"/>
  <c r="P9" i="1"/>
  <c r="F9" i="1"/>
  <c r="P8" i="1"/>
  <c r="F8" i="1"/>
  <c r="P7" i="1"/>
  <c r="F7" i="1"/>
  <c r="P6" i="1"/>
  <c r="F6" i="1"/>
  <c r="P5" i="1"/>
  <c r="F5" i="1"/>
  <c r="P4" i="1"/>
  <c r="F4" i="1"/>
  <c r="P3" i="1"/>
  <c r="F3" i="1"/>
  <c r="P2" i="1"/>
  <c r="F2" i="1"/>
  <c r="F97" i="1" s="1"/>
  <c r="N22" i="1" l="1"/>
  <c r="P22" i="1" s="1"/>
  <c r="P21" i="1"/>
  <c r="P33" i="1" s="1"/>
</calcChain>
</file>

<file path=xl/sharedStrings.xml><?xml version="1.0" encoding="utf-8"?>
<sst xmlns="http://schemas.openxmlformats.org/spreadsheetml/2006/main" count="392" uniqueCount="57">
  <si>
    <t>Type of Service</t>
  </si>
  <si>
    <t>Order Reference</t>
  </si>
  <si>
    <t>Unit</t>
  </si>
  <si>
    <t>QTY</t>
  </si>
  <si>
    <t>Prices, Without VAT, In GEL</t>
  </si>
  <si>
    <t>Amount in GEL</t>
  </si>
  <si>
    <t>Date</t>
  </si>
  <si>
    <t>CITY</t>
  </si>
  <si>
    <t>Pallet Quantity</t>
  </si>
  <si>
    <t xml:space="preserve">TRANSPORTATION </t>
  </si>
  <si>
    <t>EUP</t>
  </si>
  <si>
    <t>Tbilisi</t>
  </si>
  <si>
    <t>OUTBOUND</t>
  </si>
  <si>
    <t>-</t>
  </si>
  <si>
    <t>Batumi</t>
  </si>
  <si>
    <t>INBOUND</t>
  </si>
  <si>
    <t>RELOCATION</t>
  </si>
  <si>
    <t>Zugdidi</t>
  </si>
  <si>
    <t>Kutaisi</t>
  </si>
  <si>
    <t>Rustavi</t>
  </si>
  <si>
    <t>IHR851</t>
  </si>
  <si>
    <t>IHR867</t>
  </si>
  <si>
    <t>ANT317</t>
  </si>
  <si>
    <t>IHR856</t>
  </si>
  <si>
    <t>ANT331</t>
  </si>
  <si>
    <t>IHR855</t>
  </si>
  <si>
    <t>Reconstruction</t>
  </si>
  <si>
    <t>ANT317/IHR867</t>
  </si>
  <si>
    <t>IHR851/IHR867/IHR855</t>
  </si>
  <si>
    <t>IHR877</t>
  </si>
  <si>
    <t>IHR851/IHR856/ANT331/IHR877</t>
  </si>
  <si>
    <t>Transfer galeria to vake</t>
  </si>
  <si>
    <t>ANT317/ANT331/IHR877</t>
  </si>
  <si>
    <t>Gori</t>
  </si>
  <si>
    <t>IHR855/IHR877</t>
  </si>
  <si>
    <t>IHR867/ANT317/IHR877/IHR855</t>
  </si>
  <si>
    <t xml:space="preserve">IHR855/transfer </t>
  </si>
  <si>
    <t>IHR001</t>
  </si>
  <si>
    <t>IHR002</t>
  </si>
  <si>
    <t>IHR011</t>
  </si>
  <si>
    <t>IHR001/IHR002/IHR011</t>
  </si>
  <si>
    <t>IHR006</t>
  </si>
  <si>
    <t>IHR001/IHR002/IHR011/IHR006</t>
  </si>
  <si>
    <t>IHR011/IHR006</t>
  </si>
  <si>
    <t>ANT004</t>
  </si>
  <si>
    <t>ANT004/IHR006</t>
  </si>
  <si>
    <t>ANT011</t>
  </si>
  <si>
    <t>IHR013</t>
  </si>
  <si>
    <t>ANT011/IHR013/ANT004</t>
  </si>
  <si>
    <t>ANT011/ANT004</t>
  </si>
  <si>
    <t>ANT004/IHR001/IHR013</t>
  </si>
  <si>
    <t>IHR015</t>
  </si>
  <si>
    <t>ANT015</t>
  </si>
  <si>
    <t>IHR019</t>
  </si>
  <si>
    <t>26/20/15/14-1-2026</t>
  </si>
  <si>
    <t xml:space="preserve">Gldani </t>
  </si>
  <si>
    <t>6/8/13/14/20/22/27/29-1-2026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</si>
</sst>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[$GEL]\ * #,##0_-;\-[$GEL]\ * #,##0_-;_-[$GEL]\ * &quot;-&quot;??_-;_-@_-"/>
  </numFmts>
  <fonts count="9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9"/>
      <name val="Arial"/>
      <family val="2"/>
      <charset val="238"/>
    </font>
    <font>
      <b/>
      <sz val="10"/>
      <name val="Arial"/>
      <family val="2"/>
      <charset val="238"/>
    </font>
    <font>
      <sz val="9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rgb="FF00000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4" fontId="4" fillId="0" borderId="4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6" fillId="0" borderId="0" xfId="0" applyFont="1"/>
    <xf numFmtId="0" fontId="4" fillId="0" borderId="5" xfId="0" applyFont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4" fontId="4" fillId="0" borderId="10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/>
    </xf>
    <xf numFmtId="14" fontId="8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2" fillId="3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9388-77B0-4EBB-A92F-0DA0536381C7}">
  <dimension ref="A1:P149"/>
  <sheetViews>
    <sheetView tabSelected="1" topLeftCell="A4" zoomScale="85" zoomScaleNormal="85" workbookViewId="0">
      <selection activeCell="K36" sqref="K36"/>
    </sheetView>
  </sheetViews>
  <sheetFormatPr defaultRowHeight="14.25" x14ac:dyDescent="0.2"/>
  <cols>
    <col min="1" max="1" width="30.125" style="44" customWidth="1"/>
    <col min="2" max="2" width="61" style="44" bestFit="1" customWidth="1"/>
    <col min="3" max="3" width="9" style="44"/>
    <col min="4" max="6" width="9" style="43"/>
    <col min="7" max="7" width="21.75" style="20" bestFit="1" customWidth="1"/>
    <col min="8" max="8" width="9.625" style="20" bestFit="1" customWidth="1"/>
    <col min="13" max="13" width="9.125" style="32" bestFit="1" customWidth="1"/>
    <col min="14" max="16" width="9" style="32"/>
  </cols>
  <sheetData>
    <row r="1" spans="1:16" ht="51.75" thickBot="1" x14ac:dyDescent="0.25">
      <c r="A1" s="45" t="s">
        <v>0</v>
      </c>
      <c r="B1" s="45" t="s">
        <v>1</v>
      </c>
      <c r="C1" s="46" t="s">
        <v>2</v>
      </c>
      <c r="D1" s="46" t="s">
        <v>3</v>
      </c>
      <c r="E1" s="47" t="s">
        <v>4</v>
      </c>
      <c r="F1" s="47" t="s">
        <v>5</v>
      </c>
      <c r="G1" s="45" t="s">
        <v>6</v>
      </c>
      <c r="H1" s="48" t="s">
        <v>7</v>
      </c>
      <c r="M1" s="3" t="s">
        <v>6</v>
      </c>
      <c r="N1" s="3" t="s">
        <v>8</v>
      </c>
      <c r="O1" s="3" t="s">
        <v>4</v>
      </c>
      <c r="P1" s="3" t="s">
        <v>5</v>
      </c>
    </row>
    <row r="2" spans="1:16" x14ac:dyDescent="0.2">
      <c r="A2" s="4" t="s">
        <v>9</v>
      </c>
      <c r="B2" s="4" t="s">
        <v>22</v>
      </c>
      <c r="C2" s="4" t="s">
        <v>10</v>
      </c>
      <c r="D2" s="4">
        <v>2</v>
      </c>
      <c r="E2" s="5">
        <v>81.89</v>
      </c>
      <c r="F2" s="5">
        <f t="shared" ref="F2:F65" si="0">ROUND(D2*E2,2)</f>
        <v>163.78</v>
      </c>
      <c r="G2" s="6">
        <v>46027</v>
      </c>
      <c r="H2" s="7" t="s">
        <v>11</v>
      </c>
      <c r="M2" s="8">
        <v>46023</v>
      </c>
      <c r="N2" s="9">
        <v>121</v>
      </c>
      <c r="O2" s="10">
        <v>1.41</v>
      </c>
      <c r="P2" s="10">
        <f t="shared" ref="P2:P32" si="1">ROUND(O2*N2,2)</f>
        <v>170.61</v>
      </c>
    </row>
    <row r="3" spans="1:16" x14ac:dyDescent="0.2">
      <c r="A3" s="4" t="s">
        <v>9</v>
      </c>
      <c r="B3" s="4" t="s">
        <v>21</v>
      </c>
      <c r="C3" s="4" t="s">
        <v>10</v>
      </c>
      <c r="D3" s="4">
        <v>7</v>
      </c>
      <c r="E3" s="5">
        <v>81.89</v>
      </c>
      <c r="F3" s="5">
        <f t="shared" si="0"/>
        <v>573.23</v>
      </c>
      <c r="G3" s="6">
        <v>46027</v>
      </c>
      <c r="H3" s="7" t="s">
        <v>11</v>
      </c>
      <c r="M3" s="8">
        <v>46024</v>
      </c>
      <c r="N3" s="9">
        <v>121</v>
      </c>
      <c r="O3" s="10">
        <v>1.41</v>
      </c>
      <c r="P3" s="10">
        <f t="shared" si="1"/>
        <v>170.61</v>
      </c>
    </row>
    <row r="4" spans="1:16" ht="15" thickBot="1" x14ac:dyDescent="0.25">
      <c r="A4" s="11" t="s">
        <v>12</v>
      </c>
      <c r="B4" s="11" t="s">
        <v>27</v>
      </c>
      <c r="C4" s="11" t="s">
        <v>10</v>
      </c>
      <c r="D4" s="11">
        <v>9</v>
      </c>
      <c r="E4" s="12">
        <v>15.7</v>
      </c>
      <c r="F4" s="12">
        <f t="shared" si="0"/>
        <v>141.30000000000001</v>
      </c>
      <c r="G4" s="13">
        <v>46027</v>
      </c>
      <c r="H4" s="13" t="s">
        <v>11</v>
      </c>
      <c r="M4" s="8">
        <v>46025</v>
      </c>
      <c r="N4" s="9">
        <v>121</v>
      </c>
      <c r="O4" s="10">
        <v>1.41</v>
      </c>
      <c r="P4" s="10">
        <f t="shared" si="1"/>
        <v>170.61</v>
      </c>
    </row>
    <row r="5" spans="1:16" x14ac:dyDescent="0.2">
      <c r="A5" s="4" t="s">
        <v>9</v>
      </c>
      <c r="B5" s="4" t="s">
        <v>20</v>
      </c>
      <c r="C5" s="4" t="s">
        <v>10</v>
      </c>
      <c r="D5" s="4">
        <v>2</v>
      </c>
      <c r="E5" s="5">
        <v>81.89</v>
      </c>
      <c r="F5" s="5">
        <f t="shared" si="0"/>
        <v>163.78</v>
      </c>
      <c r="G5" s="6">
        <v>46028</v>
      </c>
      <c r="H5" s="7" t="s">
        <v>11</v>
      </c>
      <c r="M5" s="8">
        <v>46026</v>
      </c>
      <c r="N5" s="9">
        <v>121</v>
      </c>
      <c r="O5" s="10">
        <v>1.41</v>
      </c>
      <c r="P5" s="10">
        <f t="shared" si="1"/>
        <v>170.61</v>
      </c>
    </row>
    <row r="6" spans="1:16" x14ac:dyDescent="0.2">
      <c r="A6" s="4" t="s">
        <v>9</v>
      </c>
      <c r="B6" s="4" t="s">
        <v>21</v>
      </c>
      <c r="C6" s="4" t="s">
        <v>10</v>
      </c>
      <c r="D6" s="4">
        <v>3</v>
      </c>
      <c r="E6" s="5">
        <v>81.89</v>
      </c>
      <c r="F6" s="5">
        <f t="shared" si="0"/>
        <v>245.67</v>
      </c>
      <c r="G6" s="6">
        <v>46028</v>
      </c>
      <c r="H6" s="7" t="s">
        <v>11</v>
      </c>
      <c r="M6" s="8">
        <v>46027</v>
      </c>
      <c r="N6" s="9">
        <v>112</v>
      </c>
      <c r="O6" s="10">
        <v>1.41</v>
      </c>
      <c r="P6" s="10">
        <f t="shared" si="1"/>
        <v>157.91999999999999</v>
      </c>
    </row>
    <row r="7" spans="1:16" x14ac:dyDescent="0.2">
      <c r="A7" s="4" t="s">
        <v>9</v>
      </c>
      <c r="B7" s="4" t="s">
        <v>25</v>
      </c>
      <c r="C7" s="4" t="s">
        <v>10</v>
      </c>
      <c r="D7" s="4">
        <v>6</v>
      </c>
      <c r="E7" s="5">
        <v>81.89</v>
      </c>
      <c r="F7" s="5">
        <f t="shared" si="0"/>
        <v>491.34</v>
      </c>
      <c r="G7" s="6">
        <v>46028</v>
      </c>
      <c r="H7" s="7" t="s">
        <v>11</v>
      </c>
      <c r="M7" s="8">
        <v>46028</v>
      </c>
      <c r="N7" s="9">
        <v>101</v>
      </c>
      <c r="O7" s="10">
        <v>1.41</v>
      </c>
      <c r="P7" s="10">
        <f t="shared" si="1"/>
        <v>142.41</v>
      </c>
    </row>
    <row r="8" spans="1:16" ht="15" thickBot="1" x14ac:dyDescent="0.25">
      <c r="A8" s="11" t="s">
        <v>12</v>
      </c>
      <c r="B8" s="11" t="s">
        <v>28</v>
      </c>
      <c r="C8" s="11" t="s">
        <v>10</v>
      </c>
      <c r="D8" s="11">
        <v>11</v>
      </c>
      <c r="E8" s="12">
        <v>15.7</v>
      </c>
      <c r="F8" s="12">
        <f t="shared" si="0"/>
        <v>172.7</v>
      </c>
      <c r="G8" s="13">
        <v>46028</v>
      </c>
      <c r="H8" s="13" t="s">
        <v>11</v>
      </c>
      <c r="M8" s="8">
        <v>46029</v>
      </c>
      <c r="N8" s="9">
        <v>101</v>
      </c>
      <c r="O8" s="10">
        <v>1.41</v>
      </c>
      <c r="P8" s="10">
        <f t="shared" si="1"/>
        <v>142.41</v>
      </c>
    </row>
    <row r="9" spans="1:16" x14ac:dyDescent="0.2">
      <c r="A9" s="4" t="s">
        <v>9</v>
      </c>
      <c r="B9" s="4" t="s">
        <v>20</v>
      </c>
      <c r="C9" s="4" t="s">
        <v>10</v>
      </c>
      <c r="D9" s="4">
        <v>2</v>
      </c>
      <c r="E9" s="5">
        <v>81.89</v>
      </c>
      <c r="F9" s="5">
        <f t="shared" si="0"/>
        <v>163.78</v>
      </c>
      <c r="G9" s="6">
        <v>46030</v>
      </c>
      <c r="H9" s="7" t="s">
        <v>11</v>
      </c>
      <c r="M9" s="8">
        <v>46030</v>
      </c>
      <c r="N9" s="9">
        <v>93</v>
      </c>
      <c r="O9" s="10">
        <v>1.41</v>
      </c>
      <c r="P9" s="10">
        <f t="shared" si="1"/>
        <v>131.13</v>
      </c>
    </row>
    <row r="10" spans="1:16" x14ac:dyDescent="0.2">
      <c r="A10" s="4" t="s">
        <v>9</v>
      </c>
      <c r="B10" s="4" t="s">
        <v>23</v>
      </c>
      <c r="C10" s="4" t="s">
        <v>10</v>
      </c>
      <c r="D10" s="4">
        <v>1</v>
      </c>
      <c r="E10" s="5">
        <v>81.89</v>
      </c>
      <c r="F10" s="5">
        <f t="shared" si="0"/>
        <v>81.89</v>
      </c>
      <c r="G10" s="6">
        <v>46030</v>
      </c>
      <c r="H10" s="7" t="s">
        <v>11</v>
      </c>
      <c r="M10" s="8">
        <v>46031</v>
      </c>
      <c r="N10" s="9">
        <v>83</v>
      </c>
      <c r="O10" s="10">
        <v>1.41</v>
      </c>
      <c r="P10" s="10">
        <f t="shared" si="1"/>
        <v>117.03</v>
      </c>
    </row>
    <row r="11" spans="1:16" x14ac:dyDescent="0.2">
      <c r="A11" s="4" t="s">
        <v>9</v>
      </c>
      <c r="B11" s="4" t="s">
        <v>24</v>
      </c>
      <c r="C11" s="4" t="s">
        <v>10</v>
      </c>
      <c r="D11" s="4">
        <v>2</v>
      </c>
      <c r="E11" s="5">
        <v>81.89</v>
      </c>
      <c r="F11" s="5">
        <f t="shared" si="0"/>
        <v>163.78</v>
      </c>
      <c r="G11" s="6">
        <v>46030</v>
      </c>
      <c r="H11" s="7" t="s">
        <v>11</v>
      </c>
      <c r="M11" s="8">
        <v>46032</v>
      </c>
      <c r="N11" s="9">
        <v>83</v>
      </c>
      <c r="O11" s="10">
        <v>1.41</v>
      </c>
      <c r="P11" s="10">
        <f t="shared" si="1"/>
        <v>117.03</v>
      </c>
    </row>
    <row r="12" spans="1:16" x14ac:dyDescent="0.2">
      <c r="A12" s="4" t="s">
        <v>9</v>
      </c>
      <c r="B12" s="4" t="s">
        <v>29</v>
      </c>
      <c r="C12" s="4" t="s">
        <v>10</v>
      </c>
      <c r="D12" s="4">
        <v>3</v>
      </c>
      <c r="E12" s="5">
        <v>81.89</v>
      </c>
      <c r="F12" s="5">
        <f t="shared" si="0"/>
        <v>245.67</v>
      </c>
      <c r="G12" s="6">
        <v>46030</v>
      </c>
      <c r="H12" s="7" t="s">
        <v>11</v>
      </c>
      <c r="M12" s="8">
        <v>46033</v>
      </c>
      <c r="N12" s="9">
        <v>83</v>
      </c>
      <c r="O12" s="10">
        <v>1.41</v>
      </c>
      <c r="P12" s="10">
        <f t="shared" si="1"/>
        <v>117.03</v>
      </c>
    </row>
    <row r="13" spans="1:16" ht="15" thickBot="1" x14ac:dyDescent="0.25">
      <c r="A13" s="11" t="s">
        <v>12</v>
      </c>
      <c r="B13" s="11" t="s">
        <v>30</v>
      </c>
      <c r="C13" s="11" t="s">
        <v>10</v>
      </c>
      <c r="D13" s="11">
        <v>8</v>
      </c>
      <c r="E13" s="12">
        <v>15.7</v>
      </c>
      <c r="F13" s="12">
        <f t="shared" si="0"/>
        <v>125.6</v>
      </c>
      <c r="G13" s="13">
        <v>46030</v>
      </c>
      <c r="H13" s="13" t="s">
        <v>11</v>
      </c>
      <c r="M13" s="8">
        <v>46034</v>
      </c>
      <c r="N13" s="9">
        <v>76</v>
      </c>
      <c r="O13" s="10">
        <v>1.41</v>
      </c>
      <c r="P13" s="10">
        <f t="shared" si="1"/>
        <v>107.16</v>
      </c>
    </row>
    <row r="14" spans="1:16" x14ac:dyDescent="0.2">
      <c r="A14" s="4" t="s">
        <v>9</v>
      </c>
      <c r="B14" s="4" t="s">
        <v>25</v>
      </c>
      <c r="C14" s="4" t="s">
        <v>10</v>
      </c>
      <c r="D14" s="4">
        <v>10</v>
      </c>
      <c r="E14" s="5">
        <v>81.89</v>
      </c>
      <c r="F14" s="5">
        <f t="shared" si="0"/>
        <v>818.9</v>
      </c>
      <c r="G14" s="6">
        <v>46031</v>
      </c>
      <c r="H14" s="7" t="s">
        <v>11</v>
      </c>
      <c r="M14" s="8">
        <v>46035</v>
      </c>
      <c r="N14" s="9">
        <v>181</v>
      </c>
      <c r="O14" s="10">
        <v>1.41</v>
      </c>
      <c r="P14" s="10">
        <f t="shared" si="1"/>
        <v>255.21</v>
      </c>
    </row>
    <row r="15" spans="1:16" ht="15" thickBot="1" x14ac:dyDescent="0.25">
      <c r="A15" s="11" t="s">
        <v>12</v>
      </c>
      <c r="B15" s="11" t="s">
        <v>25</v>
      </c>
      <c r="C15" s="11" t="s">
        <v>10</v>
      </c>
      <c r="D15" s="11">
        <v>10</v>
      </c>
      <c r="E15" s="12">
        <v>15.7</v>
      </c>
      <c r="F15" s="12">
        <f t="shared" si="0"/>
        <v>157</v>
      </c>
      <c r="G15" s="13">
        <v>46031</v>
      </c>
      <c r="H15" s="13" t="s">
        <v>11</v>
      </c>
      <c r="M15" s="8">
        <v>46036</v>
      </c>
      <c r="N15" s="9">
        <v>171</v>
      </c>
      <c r="O15" s="10">
        <v>1.41</v>
      </c>
      <c r="P15" s="10">
        <f t="shared" si="1"/>
        <v>241.11</v>
      </c>
    </row>
    <row r="16" spans="1:16" ht="15" thickBot="1" x14ac:dyDescent="0.25">
      <c r="A16" s="14" t="s">
        <v>31</v>
      </c>
      <c r="B16" s="15"/>
      <c r="C16" s="14" t="s">
        <v>10</v>
      </c>
      <c r="D16" s="16">
        <v>3</v>
      </c>
      <c r="E16" s="5">
        <v>81.89</v>
      </c>
      <c r="F16" s="12">
        <f t="shared" si="0"/>
        <v>245.67</v>
      </c>
      <c r="G16" s="17">
        <v>46031</v>
      </c>
      <c r="H16" s="18" t="s">
        <v>13</v>
      </c>
      <c r="M16" s="8">
        <v>46037</v>
      </c>
      <c r="N16" s="9">
        <v>160</v>
      </c>
      <c r="O16" s="10">
        <v>1.41</v>
      </c>
      <c r="P16" s="10">
        <f t="shared" si="1"/>
        <v>225.6</v>
      </c>
    </row>
    <row r="17" spans="1:16" x14ac:dyDescent="0.2">
      <c r="A17" s="4" t="s">
        <v>9</v>
      </c>
      <c r="B17" s="4" t="s">
        <v>22</v>
      </c>
      <c r="C17" s="4" t="s">
        <v>10</v>
      </c>
      <c r="D17" s="4">
        <v>2</v>
      </c>
      <c r="E17" s="5">
        <v>94.17</v>
      </c>
      <c r="F17" s="5">
        <f t="shared" si="0"/>
        <v>188.34</v>
      </c>
      <c r="G17" s="6">
        <v>46034</v>
      </c>
      <c r="H17" s="7" t="s">
        <v>19</v>
      </c>
      <c r="M17" s="8">
        <v>46038</v>
      </c>
      <c r="N17" s="9">
        <v>170</v>
      </c>
      <c r="O17" s="10">
        <v>1.41</v>
      </c>
      <c r="P17" s="10">
        <f t="shared" si="1"/>
        <v>239.7</v>
      </c>
    </row>
    <row r="18" spans="1:16" x14ac:dyDescent="0.2">
      <c r="A18" s="4" t="s">
        <v>9</v>
      </c>
      <c r="B18" s="4" t="s">
        <v>24</v>
      </c>
      <c r="C18" s="4" t="s">
        <v>10</v>
      </c>
      <c r="D18" s="4">
        <v>1</v>
      </c>
      <c r="E18" s="5">
        <v>94.17</v>
      </c>
      <c r="F18" s="5">
        <f t="shared" si="0"/>
        <v>94.17</v>
      </c>
      <c r="G18" s="6">
        <v>46034</v>
      </c>
      <c r="H18" s="7" t="s">
        <v>19</v>
      </c>
      <c r="M18" s="8">
        <v>46039</v>
      </c>
      <c r="N18" s="9">
        <v>170</v>
      </c>
      <c r="O18" s="10">
        <v>1.41</v>
      </c>
      <c r="P18" s="10">
        <f t="shared" si="1"/>
        <v>239.7</v>
      </c>
    </row>
    <row r="19" spans="1:16" x14ac:dyDescent="0.2">
      <c r="A19" s="4" t="s">
        <v>9</v>
      </c>
      <c r="B19" s="4" t="s">
        <v>29</v>
      </c>
      <c r="C19" s="4" t="s">
        <v>10</v>
      </c>
      <c r="D19" s="4">
        <v>2</v>
      </c>
      <c r="E19" s="5">
        <v>81.89</v>
      </c>
      <c r="F19" s="5">
        <f t="shared" si="0"/>
        <v>163.78</v>
      </c>
      <c r="G19" s="6">
        <v>46034</v>
      </c>
      <c r="H19" s="7" t="s">
        <v>11</v>
      </c>
      <c r="M19" s="8">
        <v>46040</v>
      </c>
      <c r="N19" s="9">
        <v>170</v>
      </c>
      <c r="O19" s="10">
        <v>1.41</v>
      </c>
      <c r="P19" s="10">
        <f t="shared" si="1"/>
        <v>239.7</v>
      </c>
    </row>
    <row r="20" spans="1:16" x14ac:dyDescent="0.2">
      <c r="A20" s="4" t="s">
        <v>9</v>
      </c>
      <c r="B20" s="4" t="s">
        <v>24</v>
      </c>
      <c r="C20" s="4" t="s">
        <v>10</v>
      </c>
      <c r="D20" s="4">
        <v>2</v>
      </c>
      <c r="E20" s="5">
        <v>81.89</v>
      </c>
      <c r="F20" s="5">
        <f t="shared" si="0"/>
        <v>163.78</v>
      </c>
      <c r="G20" s="6">
        <v>46034</v>
      </c>
      <c r="H20" s="7" t="s">
        <v>11</v>
      </c>
      <c r="M20" s="8">
        <v>46041</v>
      </c>
      <c r="N20" s="9">
        <v>170</v>
      </c>
      <c r="O20" s="10">
        <v>1.41</v>
      </c>
      <c r="P20" s="10">
        <f t="shared" si="1"/>
        <v>239.7</v>
      </c>
    </row>
    <row r="21" spans="1:16" ht="15" thickBot="1" x14ac:dyDescent="0.25">
      <c r="A21" s="11" t="s">
        <v>12</v>
      </c>
      <c r="B21" s="11" t="s">
        <v>32</v>
      </c>
      <c r="C21" s="11" t="s">
        <v>10</v>
      </c>
      <c r="D21" s="11">
        <v>7</v>
      </c>
      <c r="E21" s="12">
        <v>15.7</v>
      </c>
      <c r="F21" s="12">
        <f t="shared" si="0"/>
        <v>109.9</v>
      </c>
      <c r="G21" s="13">
        <v>46034</v>
      </c>
      <c r="H21" s="13" t="s">
        <v>11</v>
      </c>
      <c r="M21" s="8">
        <v>46042</v>
      </c>
      <c r="N21" s="9">
        <f>N20-29</f>
        <v>141</v>
      </c>
      <c r="O21" s="10">
        <v>1.41</v>
      </c>
      <c r="P21" s="10">
        <f t="shared" si="1"/>
        <v>198.81</v>
      </c>
    </row>
    <row r="22" spans="1:16" x14ac:dyDescent="0.2">
      <c r="A22" s="4" t="s">
        <v>9</v>
      </c>
      <c r="B22" s="4" t="s">
        <v>25</v>
      </c>
      <c r="C22" s="4" t="s">
        <v>10</v>
      </c>
      <c r="D22" s="4">
        <v>1</v>
      </c>
      <c r="E22" s="5">
        <v>400</v>
      </c>
      <c r="F22" s="5">
        <f t="shared" si="0"/>
        <v>400</v>
      </c>
      <c r="G22" s="6">
        <v>46035</v>
      </c>
      <c r="H22" s="7" t="s">
        <v>14</v>
      </c>
      <c r="M22" s="8">
        <v>46043</v>
      </c>
      <c r="N22" s="9">
        <f>N21-25</f>
        <v>116</v>
      </c>
      <c r="O22" s="10">
        <v>1.41</v>
      </c>
      <c r="P22" s="10">
        <f t="shared" si="1"/>
        <v>163.56</v>
      </c>
    </row>
    <row r="23" spans="1:16" x14ac:dyDescent="0.2">
      <c r="A23" s="4" t="s">
        <v>9</v>
      </c>
      <c r="B23" s="4" t="s">
        <v>29</v>
      </c>
      <c r="C23" s="4" t="s">
        <v>10</v>
      </c>
      <c r="D23" s="4">
        <v>4</v>
      </c>
      <c r="E23" s="5">
        <v>400</v>
      </c>
      <c r="F23" s="5">
        <f t="shared" si="0"/>
        <v>1600</v>
      </c>
      <c r="G23" s="6">
        <v>46035</v>
      </c>
      <c r="H23" s="7" t="s">
        <v>14</v>
      </c>
      <c r="M23" s="8">
        <v>46044</v>
      </c>
      <c r="N23" s="9">
        <f>134+27</f>
        <v>161</v>
      </c>
      <c r="O23" s="10">
        <v>1.41</v>
      </c>
      <c r="P23" s="10">
        <f t="shared" si="1"/>
        <v>227.01</v>
      </c>
    </row>
    <row r="24" spans="1:16" x14ac:dyDescent="0.2">
      <c r="A24" s="4" t="s">
        <v>9</v>
      </c>
      <c r="B24" s="4" t="s">
        <v>29</v>
      </c>
      <c r="C24" s="4" t="s">
        <v>10</v>
      </c>
      <c r="D24" s="4">
        <v>4</v>
      </c>
      <c r="E24" s="5">
        <v>190</v>
      </c>
      <c r="F24" s="5">
        <f t="shared" si="0"/>
        <v>760</v>
      </c>
      <c r="G24" s="6">
        <v>46035</v>
      </c>
      <c r="H24" s="7" t="s">
        <v>33</v>
      </c>
      <c r="M24" s="8">
        <v>46045</v>
      </c>
      <c r="N24" s="9">
        <f>123+27</f>
        <v>150</v>
      </c>
      <c r="O24" s="10">
        <v>1.41</v>
      </c>
      <c r="P24" s="10">
        <f t="shared" si="1"/>
        <v>211.5</v>
      </c>
    </row>
    <row r="25" spans="1:16" x14ac:dyDescent="0.2">
      <c r="A25" s="4" t="s">
        <v>9</v>
      </c>
      <c r="B25" s="4" t="s">
        <v>25</v>
      </c>
      <c r="C25" s="4" t="s">
        <v>10</v>
      </c>
      <c r="D25" s="4">
        <v>3</v>
      </c>
      <c r="E25" s="5">
        <v>81.89</v>
      </c>
      <c r="F25" s="5">
        <f t="shared" si="0"/>
        <v>245.67</v>
      </c>
      <c r="G25" s="6">
        <v>46035</v>
      </c>
      <c r="H25" s="7" t="s">
        <v>11</v>
      </c>
      <c r="M25" s="8">
        <v>46046</v>
      </c>
      <c r="N25" s="9">
        <f t="shared" ref="N25:N26" si="2">123+27</f>
        <v>150</v>
      </c>
      <c r="O25" s="10">
        <v>1.41</v>
      </c>
      <c r="P25" s="10">
        <f t="shared" si="1"/>
        <v>211.5</v>
      </c>
    </row>
    <row r="26" spans="1:16" x14ac:dyDescent="0.2">
      <c r="A26" s="4" t="s">
        <v>9</v>
      </c>
      <c r="B26" s="4" t="s">
        <v>29</v>
      </c>
      <c r="C26" s="4" t="s">
        <v>10</v>
      </c>
      <c r="D26" s="4">
        <v>3</v>
      </c>
      <c r="E26" s="5">
        <v>81.89</v>
      </c>
      <c r="F26" s="5">
        <f t="shared" si="0"/>
        <v>245.67</v>
      </c>
      <c r="G26" s="6">
        <v>46035</v>
      </c>
      <c r="H26" s="7" t="s">
        <v>11</v>
      </c>
      <c r="M26" s="8">
        <v>46047</v>
      </c>
      <c r="N26" s="9">
        <f t="shared" si="2"/>
        <v>150</v>
      </c>
      <c r="O26" s="10">
        <v>1.41</v>
      </c>
      <c r="P26" s="10">
        <f t="shared" si="1"/>
        <v>211.5</v>
      </c>
    </row>
    <row r="27" spans="1:16" x14ac:dyDescent="0.2">
      <c r="A27" s="19" t="s">
        <v>9</v>
      </c>
      <c r="B27" s="20" t="s">
        <v>29</v>
      </c>
      <c r="C27" s="19" t="s">
        <v>10</v>
      </c>
      <c r="D27" s="19">
        <v>6</v>
      </c>
      <c r="E27" s="21">
        <v>94.17</v>
      </c>
      <c r="F27" s="21">
        <f t="shared" si="0"/>
        <v>565.02</v>
      </c>
      <c r="G27" s="6">
        <v>46035</v>
      </c>
      <c r="H27" s="7" t="s">
        <v>19</v>
      </c>
      <c r="M27" s="8">
        <v>46048</v>
      </c>
      <c r="N27" s="9">
        <v>142</v>
      </c>
      <c r="O27" s="10">
        <v>1.41</v>
      </c>
      <c r="P27" s="10">
        <f t="shared" si="1"/>
        <v>200.22</v>
      </c>
    </row>
    <row r="28" spans="1:16" ht="15" thickBot="1" x14ac:dyDescent="0.25">
      <c r="A28" s="22" t="s">
        <v>12</v>
      </c>
      <c r="B28" s="22" t="s">
        <v>34</v>
      </c>
      <c r="C28" s="22" t="s">
        <v>10</v>
      </c>
      <c r="D28" s="22">
        <v>21</v>
      </c>
      <c r="E28" s="23">
        <v>15.7</v>
      </c>
      <c r="F28" s="23">
        <f t="shared" si="0"/>
        <v>329.7</v>
      </c>
      <c r="G28" s="13">
        <v>46035</v>
      </c>
      <c r="H28" s="13" t="s">
        <v>13</v>
      </c>
      <c r="M28" s="8">
        <v>46049</v>
      </c>
      <c r="N28" s="9">
        <v>151</v>
      </c>
      <c r="O28" s="10">
        <v>1.41</v>
      </c>
      <c r="P28" s="10">
        <f t="shared" si="1"/>
        <v>212.91</v>
      </c>
    </row>
    <row r="29" spans="1:16" x14ac:dyDescent="0.2">
      <c r="A29" s="24" t="s">
        <v>9</v>
      </c>
      <c r="B29" s="24" t="s">
        <v>29</v>
      </c>
      <c r="C29" s="19" t="s">
        <v>10</v>
      </c>
      <c r="D29" s="24">
        <v>6</v>
      </c>
      <c r="E29" s="25">
        <v>94.17</v>
      </c>
      <c r="F29" s="25">
        <f t="shared" si="0"/>
        <v>565.02</v>
      </c>
      <c r="G29" s="26">
        <v>46036</v>
      </c>
      <c r="H29" s="7" t="s">
        <v>19</v>
      </c>
      <c r="M29" s="8">
        <v>46050</v>
      </c>
      <c r="N29" s="9">
        <f>105+27</f>
        <v>132</v>
      </c>
      <c r="O29" s="10">
        <v>1.41</v>
      </c>
      <c r="P29" s="10">
        <f t="shared" si="1"/>
        <v>186.12</v>
      </c>
    </row>
    <row r="30" spans="1:16" x14ac:dyDescent="0.2">
      <c r="A30" s="19" t="s">
        <v>9</v>
      </c>
      <c r="B30" s="19" t="s">
        <v>25</v>
      </c>
      <c r="C30" s="19" t="s">
        <v>10</v>
      </c>
      <c r="D30" s="19">
        <v>4</v>
      </c>
      <c r="E30" s="21">
        <v>81.89</v>
      </c>
      <c r="F30" s="21">
        <f t="shared" si="0"/>
        <v>327.56</v>
      </c>
      <c r="G30" s="7">
        <v>46036</v>
      </c>
      <c r="H30" s="7" t="s">
        <v>11</v>
      </c>
      <c r="M30" s="8">
        <v>46051</v>
      </c>
      <c r="N30" s="9">
        <v>121</v>
      </c>
      <c r="O30" s="10">
        <v>1.41</v>
      </c>
      <c r="P30" s="10">
        <f t="shared" si="1"/>
        <v>170.61</v>
      </c>
    </row>
    <row r="31" spans="1:16" ht="15" thickBot="1" x14ac:dyDescent="0.25">
      <c r="A31" s="22" t="s">
        <v>12</v>
      </c>
      <c r="B31" s="22" t="s">
        <v>34</v>
      </c>
      <c r="C31" s="22" t="s">
        <v>10</v>
      </c>
      <c r="D31" s="22">
        <v>10</v>
      </c>
      <c r="E31" s="23">
        <v>15.7</v>
      </c>
      <c r="F31" s="23">
        <f t="shared" si="0"/>
        <v>157</v>
      </c>
      <c r="G31" s="13">
        <v>46036</v>
      </c>
      <c r="H31" s="13" t="s">
        <v>13</v>
      </c>
      <c r="M31" s="8">
        <v>46052</v>
      </c>
      <c r="N31" s="9">
        <f>121-8</f>
        <v>113</v>
      </c>
      <c r="O31" s="10">
        <v>1.41</v>
      </c>
      <c r="P31" s="10">
        <f t="shared" si="1"/>
        <v>159.33000000000001</v>
      </c>
    </row>
    <row r="32" spans="1:16" x14ac:dyDescent="0.2">
      <c r="A32" s="4" t="s">
        <v>9</v>
      </c>
      <c r="B32" s="27" t="s">
        <v>21</v>
      </c>
      <c r="C32" s="28" t="s">
        <v>10</v>
      </c>
      <c r="D32" s="28">
        <v>5</v>
      </c>
      <c r="E32" s="29">
        <v>81.89</v>
      </c>
      <c r="F32" s="5">
        <f t="shared" si="0"/>
        <v>409.45</v>
      </c>
      <c r="G32" s="30">
        <v>46037</v>
      </c>
      <c r="H32" s="31" t="s">
        <v>11</v>
      </c>
      <c r="M32" s="8">
        <v>46053</v>
      </c>
      <c r="N32" s="9">
        <v>113</v>
      </c>
      <c r="O32" s="10">
        <v>1.41</v>
      </c>
      <c r="P32" s="10">
        <f t="shared" si="1"/>
        <v>159.33000000000001</v>
      </c>
    </row>
    <row r="33" spans="1:16" x14ac:dyDescent="0.2">
      <c r="A33" s="4" t="s">
        <v>9</v>
      </c>
      <c r="B33" s="19" t="s">
        <v>22</v>
      </c>
      <c r="C33" s="19" t="s">
        <v>10</v>
      </c>
      <c r="D33" s="4">
        <v>1</v>
      </c>
      <c r="E33" s="5">
        <v>81.89</v>
      </c>
      <c r="F33" s="5">
        <f t="shared" si="0"/>
        <v>81.89</v>
      </c>
      <c r="G33" s="7">
        <v>46037</v>
      </c>
      <c r="H33" s="7" t="s">
        <v>11</v>
      </c>
      <c r="P33" s="49">
        <f>SUM(P2:P32)</f>
        <v>5707.6799999999985</v>
      </c>
    </row>
    <row r="34" spans="1:16" x14ac:dyDescent="0.2">
      <c r="A34" s="4" t="s">
        <v>9</v>
      </c>
      <c r="B34" s="19" t="s">
        <v>29</v>
      </c>
      <c r="C34" s="19" t="s">
        <v>10</v>
      </c>
      <c r="D34" s="4">
        <v>1</v>
      </c>
      <c r="E34" s="5">
        <v>81.89</v>
      </c>
      <c r="F34" s="5">
        <f t="shared" si="0"/>
        <v>81.89</v>
      </c>
      <c r="G34" s="7">
        <v>46037</v>
      </c>
      <c r="H34" s="7" t="s">
        <v>11</v>
      </c>
    </row>
    <row r="35" spans="1:16" x14ac:dyDescent="0.2">
      <c r="A35" s="19" t="s">
        <v>9</v>
      </c>
      <c r="B35" s="19" t="s">
        <v>25</v>
      </c>
      <c r="C35" s="19" t="s">
        <v>10</v>
      </c>
      <c r="D35" s="4">
        <v>4</v>
      </c>
      <c r="E35" s="5">
        <v>400</v>
      </c>
      <c r="F35" s="5">
        <f t="shared" si="0"/>
        <v>1600</v>
      </c>
      <c r="G35" s="7">
        <v>46037</v>
      </c>
      <c r="H35" s="7" t="s">
        <v>14</v>
      </c>
    </row>
    <row r="36" spans="1:16" ht="15" thickBot="1" x14ac:dyDescent="0.25">
      <c r="A36" s="22" t="s">
        <v>12</v>
      </c>
      <c r="B36" s="22" t="s">
        <v>35</v>
      </c>
      <c r="C36" s="22" t="s">
        <v>10</v>
      </c>
      <c r="D36" s="11">
        <v>11</v>
      </c>
      <c r="E36" s="12">
        <v>15.7</v>
      </c>
      <c r="F36" s="12">
        <f t="shared" si="0"/>
        <v>172.7</v>
      </c>
      <c r="G36" s="13">
        <v>46037</v>
      </c>
      <c r="H36" s="13" t="s">
        <v>13</v>
      </c>
    </row>
    <row r="37" spans="1:16" x14ac:dyDescent="0.2">
      <c r="A37" s="19" t="s">
        <v>9</v>
      </c>
      <c r="B37" s="19" t="s">
        <v>25</v>
      </c>
      <c r="C37" s="19" t="s">
        <v>10</v>
      </c>
      <c r="D37" s="4">
        <v>5</v>
      </c>
      <c r="E37" s="5">
        <v>81.89</v>
      </c>
      <c r="F37" s="5">
        <f t="shared" si="0"/>
        <v>409.45</v>
      </c>
      <c r="G37" s="7">
        <v>46038</v>
      </c>
      <c r="H37" s="7" t="s">
        <v>11</v>
      </c>
    </row>
    <row r="38" spans="1:16" ht="15" thickBot="1" x14ac:dyDescent="0.25">
      <c r="A38" s="22" t="s">
        <v>12</v>
      </c>
      <c r="B38" s="22" t="s">
        <v>36</v>
      </c>
      <c r="C38" s="22" t="s">
        <v>10</v>
      </c>
      <c r="D38" s="11">
        <v>8</v>
      </c>
      <c r="E38" s="12">
        <v>15.7</v>
      </c>
      <c r="F38" s="12">
        <f t="shared" si="0"/>
        <v>125.6</v>
      </c>
      <c r="G38" s="13">
        <v>46038</v>
      </c>
      <c r="H38" s="13" t="s">
        <v>11</v>
      </c>
    </row>
    <row r="39" spans="1:16" x14ac:dyDescent="0.2">
      <c r="A39" s="4" t="s">
        <v>9</v>
      </c>
      <c r="B39" s="19" t="s">
        <v>37</v>
      </c>
      <c r="C39" s="24" t="s">
        <v>10</v>
      </c>
      <c r="D39" s="33">
        <v>7</v>
      </c>
      <c r="E39" s="34">
        <v>400</v>
      </c>
      <c r="F39" s="34">
        <f t="shared" si="0"/>
        <v>2800</v>
      </c>
      <c r="G39" s="26">
        <v>46042</v>
      </c>
      <c r="H39" s="26" t="s">
        <v>14</v>
      </c>
    </row>
    <row r="40" spans="1:16" x14ac:dyDescent="0.2">
      <c r="A40" s="4" t="s">
        <v>9</v>
      </c>
      <c r="B40" s="19" t="s">
        <v>37</v>
      </c>
      <c r="C40" s="19" t="s">
        <v>10</v>
      </c>
      <c r="D40" s="4">
        <v>3</v>
      </c>
      <c r="E40" s="5">
        <v>190</v>
      </c>
      <c r="F40" s="5">
        <f t="shared" si="0"/>
        <v>570</v>
      </c>
      <c r="G40" s="7">
        <v>46042</v>
      </c>
      <c r="H40" s="7" t="s">
        <v>33</v>
      </c>
    </row>
    <row r="41" spans="1:16" x14ac:dyDescent="0.2">
      <c r="A41" s="19" t="s">
        <v>9</v>
      </c>
      <c r="B41" s="19" t="s">
        <v>38</v>
      </c>
      <c r="C41" s="19" t="s">
        <v>10</v>
      </c>
      <c r="D41" s="4">
        <v>3</v>
      </c>
      <c r="E41" s="5">
        <v>190</v>
      </c>
      <c r="F41" s="5">
        <f t="shared" si="0"/>
        <v>570</v>
      </c>
      <c r="G41" s="7">
        <v>46042</v>
      </c>
      <c r="H41" s="7" t="s">
        <v>33</v>
      </c>
    </row>
    <row r="42" spans="1:16" x14ac:dyDescent="0.2">
      <c r="A42" s="4" t="s">
        <v>9</v>
      </c>
      <c r="B42" s="28" t="s">
        <v>39</v>
      </c>
      <c r="C42" s="19" t="s">
        <v>10</v>
      </c>
      <c r="D42" s="4">
        <v>1</v>
      </c>
      <c r="E42" s="5">
        <v>190</v>
      </c>
      <c r="F42" s="5">
        <f t="shared" si="0"/>
        <v>190</v>
      </c>
      <c r="G42" s="7">
        <v>46042</v>
      </c>
      <c r="H42" s="7" t="s">
        <v>33</v>
      </c>
    </row>
    <row r="43" spans="1:16" x14ac:dyDescent="0.2">
      <c r="A43" s="4" t="s">
        <v>9</v>
      </c>
      <c r="B43" s="19" t="s">
        <v>38</v>
      </c>
      <c r="C43" s="19" t="s">
        <v>10</v>
      </c>
      <c r="D43" s="4">
        <v>6</v>
      </c>
      <c r="E43" s="5">
        <v>81.89</v>
      </c>
      <c r="F43" s="5">
        <f t="shared" si="0"/>
        <v>491.34</v>
      </c>
      <c r="G43" s="7">
        <v>46042</v>
      </c>
      <c r="H43" s="7" t="s">
        <v>11</v>
      </c>
    </row>
    <row r="44" spans="1:16" x14ac:dyDescent="0.2">
      <c r="A44" s="19" t="s">
        <v>9</v>
      </c>
      <c r="B44" s="19" t="s">
        <v>37</v>
      </c>
      <c r="C44" s="19" t="s">
        <v>10</v>
      </c>
      <c r="D44" s="4">
        <v>9</v>
      </c>
      <c r="E44" s="5">
        <v>81.89</v>
      </c>
      <c r="F44" s="5">
        <f t="shared" si="0"/>
        <v>737.01</v>
      </c>
      <c r="G44" s="7">
        <v>46042</v>
      </c>
      <c r="H44" s="7" t="s">
        <v>11</v>
      </c>
    </row>
    <row r="45" spans="1:16" ht="15" thickBot="1" x14ac:dyDescent="0.25">
      <c r="A45" s="22" t="s">
        <v>12</v>
      </c>
      <c r="B45" s="22" t="s">
        <v>40</v>
      </c>
      <c r="C45" s="22" t="s">
        <v>10</v>
      </c>
      <c r="D45" s="11">
        <v>29</v>
      </c>
      <c r="E45" s="12">
        <v>15.7</v>
      </c>
      <c r="F45" s="12">
        <f t="shared" si="0"/>
        <v>455.3</v>
      </c>
      <c r="G45" s="13">
        <v>46042</v>
      </c>
      <c r="H45" s="13" t="s">
        <v>13</v>
      </c>
    </row>
    <row r="46" spans="1:16" x14ac:dyDescent="0.2">
      <c r="A46" s="28" t="s">
        <v>9</v>
      </c>
      <c r="B46" s="19" t="s">
        <v>37</v>
      </c>
      <c r="C46" s="24" t="s">
        <v>10</v>
      </c>
      <c r="D46" s="33">
        <v>2</v>
      </c>
      <c r="E46" s="34">
        <v>300</v>
      </c>
      <c r="F46" s="5">
        <f t="shared" si="0"/>
        <v>600</v>
      </c>
      <c r="G46" s="26">
        <v>46043</v>
      </c>
      <c r="H46" s="31" t="s">
        <v>18</v>
      </c>
    </row>
    <row r="47" spans="1:16" x14ac:dyDescent="0.2">
      <c r="A47" s="19" t="s">
        <v>9</v>
      </c>
      <c r="B47" s="19" t="s">
        <v>38</v>
      </c>
      <c r="C47" s="19" t="s">
        <v>10</v>
      </c>
      <c r="D47" s="4">
        <v>2</v>
      </c>
      <c r="E47" s="5">
        <v>300</v>
      </c>
      <c r="F47" s="5">
        <f t="shared" si="0"/>
        <v>600</v>
      </c>
      <c r="G47" s="7">
        <v>46043</v>
      </c>
      <c r="H47" s="31" t="s">
        <v>18</v>
      </c>
    </row>
    <row r="48" spans="1:16" x14ac:dyDescent="0.2">
      <c r="A48" s="19" t="s">
        <v>9</v>
      </c>
      <c r="B48" s="19" t="s">
        <v>41</v>
      </c>
      <c r="C48" s="19" t="s">
        <v>10</v>
      </c>
      <c r="D48" s="4">
        <v>2</v>
      </c>
      <c r="E48" s="5">
        <v>300</v>
      </c>
      <c r="F48" s="5">
        <f t="shared" si="0"/>
        <v>600</v>
      </c>
      <c r="G48" s="7">
        <v>46043</v>
      </c>
      <c r="H48" s="31" t="s">
        <v>18</v>
      </c>
    </row>
    <row r="49" spans="1:8" x14ac:dyDescent="0.2">
      <c r="A49" s="19" t="s">
        <v>9</v>
      </c>
      <c r="B49" s="19" t="s">
        <v>37</v>
      </c>
      <c r="C49" s="19" t="s">
        <v>10</v>
      </c>
      <c r="D49" s="4">
        <v>6</v>
      </c>
      <c r="E49" s="5">
        <v>81.89</v>
      </c>
      <c r="F49" s="5">
        <f t="shared" si="0"/>
        <v>491.34</v>
      </c>
      <c r="G49" s="7">
        <v>46043</v>
      </c>
      <c r="H49" s="31" t="s">
        <v>11</v>
      </c>
    </row>
    <row r="50" spans="1:8" x14ac:dyDescent="0.2">
      <c r="A50" s="19" t="s">
        <v>9</v>
      </c>
      <c r="B50" s="19" t="s">
        <v>38</v>
      </c>
      <c r="C50" s="19" t="s">
        <v>10</v>
      </c>
      <c r="D50" s="4">
        <v>5</v>
      </c>
      <c r="E50" s="5">
        <v>81.89</v>
      </c>
      <c r="F50" s="5">
        <f t="shared" si="0"/>
        <v>409.45</v>
      </c>
      <c r="G50" s="7">
        <v>46043</v>
      </c>
      <c r="H50" s="31" t="s">
        <v>11</v>
      </c>
    </row>
    <row r="51" spans="1:8" x14ac:dyDescent="0.2">
      <c r="A51" s="19" t="s">
        <v>9</v>
      </c>
      <c r="B51" s="19" t="s">
        <v>37</v>
      </c>
      <c r="C51" s="19" t="s">
        <v>10</v>
      </c>
      <c r="D51" s="4">
        <v>1</v>
      </c>
      <c r="E51" s="5">
        <v>400</v>
      </c>
      <c r="F51" s="5">
        <f t="shared" si="0"/>
        <v>400</v>
      </c>
      <c r="G51" s="7">
        <v>46043</v>
      </c>
      <c r="H51" s="31" t="s">
        <v>17</v>
      </c>
    </row>
    <row r="52" spans="1:8" x14ac:dyDescent="0.2">
      <c r="A52" s="19" t="s">
        <v>9</v>
      </c>
      <c r="B52" s="19" t="s">
        <v>38</v>
      </c>
      <c r="C52" s="19" t="s">
        <v>10</v>
      </c>
      <c r="D52" s="4">
        <v>3</v>
      </c>
      <c r="E52" s="5">
        <v>400</v>
      </c>
      <c r="F52" s="5">
        <f t="shared" si="0"/>
        <v>1200</v>
      </c>
      <c r="G52" s="7">
        <v>46043</v>
      </c>
      <c r="H52" s="31" t="s">
        <v>17</v>
      </c>
    </row>
    <row r="53" spans="1:8" x14ac:dyDescent="0.2">
      <c r="A53" s="19" t="s">
        <v>9</v>
      </c>
      <c r="B53" s="19" t="s">
        <v>41</v>
      </c>
      <c r="C53" s="19" t="s">
        <v>10</v>
      </c>
      <c r="D53" s="4">
        <v>2</v>
      </c>
      <c r="E53" s="5">
        <v>400</v>
      </c>
      <c r="F53" s="5">
        <f t="shared" si="0"/>
        <v>800</v>
      </c>
      <c r="G53" s="7">
        <v>46043</v>
      </c>
      <c r="H53" s="31" t="s">
        <v>17</v>
      </c>
    </row>
    <row r="54" spans="1:8" x14ac:dyDescent="0.2">
      <c r="A54" s="19" t="s">
        <v>9</v>
      </c>
      <c r="B54" s="27" t="s">
        <v>39</v>
      </c>
      <c r="C54" s="19" t="s">
        <v>10</v>
      </c>
      <c r="D54" s="4">
        <v>2</v>
      </c>
      <c r="E54" s="5">
        <v>400</v>
      </c>
      <c r="F54" s="5">
        <f t="shared" si="0"/>
        <v>800</v>
      </c>
      <c r="G54" s="7">
        <v>46043</v>
      </c>
      <c r="H54" s="31" t="s">
        <v>17</v>
      </c>
    </row>
    <row r="55" spans="1:8" ht="15" thickBot="1" x14ac:dyDescent="0.25">
      <c r="A55" s="22" t="s">
        <v>12</v>
      </c>
      <c r="B55" s="22" t="s">
        <v>42</v>
      </c>
      <c r="C55" s="11" t="s">
        <v>10</v>
      </c>
      <c r="D55" s="11">
        <v>25</v>
      </c>
      <c r="E55" s="12">
        <v>15.7</v>
      </c>
      <c r="F55" s="12">
        <f t="shared" si="0"/>
        <v>392.5</v>
      </c>
      <c r="G55" s="35">
        <v>46043</v>
      </c>
      <c r="H55" s="13" t="s">
        <v>13</v>
      </c>
    </row>
    <row r="56" spans="1:8" x14ac:dyDescent="0.2">
      <c r="A56" s="28" t="s">
        <v>9</v>
      </c>
      <c r="B56" s="19" t="s">
        <v>38</v>
      </c>
      <c r="C56" s="24" t="s">
        <v>10</v>
      </c>
      <c r="D56" s="33">
        <v>3</v>
      </c>
      <c r="E56" s="34">
        <v>400</v>
      </c>
      <c r="F56" s="5">
        <f t="shared" si="0"/>
        <v>1200</v>
      </c>
      <c r="G56" s="26">
        <v>46044</v>
      </c>
      <c r="H56" s="31" t="s">
        <v>14</v>
      </c>
    </row>
    <row r="57" spans="1:8" x14ac:dyDescent="0.2">
      <c r="A57" s="36" t="s">
        <v>9</v>
      </c>
      <c r="B57" s="19" t="s">
        <v>39</v>
      </c>
      <c r="C57" s="19" t="s">
        <v>10</v>
      </c>
      <c r="D57" s="4">
        <v>2</v>
      </c>
      <c r="E57" s="5">
        <v>400</v>
      </c>
      <c r="F57" s="5">
        <f t="shared" si="0"/>
        <v>800</v>
      </c>
      <c r="G57" s="7">
        <v>46044</v>
      </c>
      <c r="H57" s="7" t="s">
        <v>14</v>
      </c>
    </row>
    <row r="58" spans="1:8" x14ac:dyDescent="0.2">
      <c r="A58" s="36" t="s">
        <v>9</v>
      </c>
      <c r="B58" s="19" t="s">
        <v>41</v>
      </c>
      <c r="C58" s="19" t="s">
        <v>10</v>
      </c>
      <c r="D58" s="4">
        <v>2</v>
      </c>
      <c r="E58" s="5">
        <v>190</v>
      </c>
      <c r="F58" s="5">
        <f t="shared" si="0"/>
        <v>380</v>
      </c>
      <c r="G58" s="7">
        <v>46044</v>
      </c>
      <c r="H58" s="7" t="s">
        <v>33</v>
      </c>
    </row>
    <row r="59" spans="1:8" x14ac:dyDescent="0.2">
      <c r="A59" s="36" t="s">
        <v>9</v>
      </c>
      <c r="B59" s="19" t="s">
        <v>37</v>
      </c>
      <c r="C59" s="19" t="s">
        <v>10</v>
      </c>
      <c r="D59" s="4">
        <v>3</v>
      </c>
      <c r="E59" s="5">
        <v>81.89</v>
      </c>
      <c r="F59" s="5">
        <f t="shared" si="0"/>
        <v>245.67</v>
      </c>
      <c r="G59" s="7">
        <v>46044</v>
      </c>
      <c r="H59" s="7" t="s">
        <v>11</v>
      </c>
    </row>
    <row r="60" spans="1:8" x14ac:dyDescent="0.2">
      <c r="A60" s="36" t="s">
        <v>9</v>
      </c>
      <c r="B60" s="19" t="s">
        <v>41</v>
      </c>
      <c r="C60" s="19" t="s">
        <v>10</v>
      </c>
      <c r="D60" s="4">
        <v>3</v>
      </c>
      <c r="E60" s="5">
        <v>81.89</v>
      </c>
      <c r="F60" s="5">
        <f t="shared" si="0"/>
        <v>245.67</v>
      </c>
      <c r="G60" s="7">
        <v>46044</v>
      </c>
      <c r="H60" s="7" t="s">
        <v>11</v>
      </c>
    </row>
    <row r="61" spans="1:8" x14ac:dyDescent="0.2">
      <c r="A61" s="36" t="s">
        <v>9</v>
      </c>
      <c r="B61" s="19" t="s">
        <v>38</v>
      </c>
      <c r="C61" s="19" t="s">
        <v>10</v>
      </c>
      <c r="D61" s="4">
        <v>4</v>
      </c>
      <c r="E61" s="5">
        <v>81.89</v>
      </c>
      <c r="F61" s="5">
        <f t="shared" si="0"/>
        <v>327.56</v>
      </c>
      <c r="G61" s="7">
        <v>46044</v>
      </c>
      <c r="H61" s="7" t="s">
        <v>11</v>
      </c>
    </row>
    <row r="62" spans="1:8" ht="15" thickBot="1" x14ac:dyDescent="0.25">
      <c r="A62" s="22" t="s">
        <v>12</v>
      </c>
      <c r="B62" s="22" t="s">
        <v>42</v>
      </c>
      <c r="C62" s="11" t="s">
        <v>10</v>
      </c>
      <c r="D62" s="11">
        <v>17</v>
      </c>
      <c r="E62" s="12">
        <v>15.7</v>
      </c>
      <c r="F62" s="12">
        <f t="shared" si="0"/>
        <v>266.89999999999998</v>
      </c>
      <c r="G62" s="35">
        <v>46044</v>
      </c>
      <c r="H62" s="13" t="s">
        <v>13</v>
      </c>
    </row>
    <row r="63" spans="1:8" x14ac:dyDescent="0.2">
      <c r="A63" s="36" t="s">
        <v>9</v>
      </c>
      <c r="B63" s="19" t="s">
        <v>41</v>
      </c>
      <c r="C63" s="19" t="s">
        <v>10</v>
      </c>
      <c r="D63" s="4">
        <v>9</v>
      </c>
      <c r="E63" s="5">
        <v>81.89</v>
      </c>
      <c r="F63" s="5">
        <f t="shared" si="0"/>
        <v>737.01</v>
      </c>
      <c r="G63" s="7">
        <v>46045</v>
      </c>
      <c r="H63" s="7" t="s">
        <v>11</v>
      </c>
    </row>
    <row r="64" spans="1:8" x14ac:dyDescent="0.2">
      <c r="A64" s="36" t="s">
        <v>9</v>
      </c>
      <c r="B64" s="19" t="s">
        <v>39</v>
      </c>
      <c r="C64" s="19" t="s">
        <v>10</v>
      </c>
      <c r="D64" s="4">
        <v>2</v>
      </c>
      <c r="E64" s="5">
        <v>300</v>
      </c>
      <c r="F64" s="5">
        <f t="shared" si="0"/>
        <v>600</v>
      </c>
      <c r="G64" s="7">
        <v>46045</v>
      </c>
      <c r="H64" s="7" t="s">
        <v>18</v>
      </c>
    </row>
    <row r="65" spans="1:9" ht="15" thickBot="1" x14ac:dyDescent="0.25">
      <c r="A65" s="22" t="s">
        <v>12</v>
      </c>
      <c r="B65" s="22" t="s">
        <v>43</v>
      </c>
      <c r="C65" s="11" t="s">
        <v>10</v>
      </c>
      <c r="D65" s="11">
        <v>11</v>
      </c>
      <c r="E65" s="12">
        <v>15.7</v>
      </c>
      <c r="F65" s="12">
        <f t="shared" si="0"/>
        <v>172.7</v>
      </c>
      <c r="G65" s="35">
        <v>46045</v>
      </c>
      <c r="H65" s="13" t="s">
        <v>13</v>
      </c>
    </row>
    <row r="66" spans="1:9" x14ac:dyDescent="0.2">
      <c r="A66" s="36" t="s">
        <v>9</v>
      </c>
      <c r="B66" s="19" t="s">
        <v>44</v>
      </c>
      <c r="C66" s="19" t="s">
        <v>10</v>
      </c>
      <c r="D66" s="19">
        <v>4</v>
      </c>
      <c r="E66" s="5">
        <v>81.89</v>
      </c>
      <c r="F66" s="5">
        <f t="shared" ref="F66:F96" si="3">ROUND(D66*E66,2)</f>
        <v>327.56</v>
      </c>
      <c r="G66" s="7">
        <v>46048</v>
      </c>
      <c r="H66" s="7" t="s">
        <v>11</v>
      </c>
    </row>
    <row r="67" spans="1:9" x14ac:dyDescent="0.2">
      <c r="A67" s="19" t="s">
        <v>9</v>
      </c>
      <c r="B67" s="19" t="s">
        <v>41</v>
      </c>
      <c r="C67" s="19" t="s">
        <v>10</v>
      </c>
      <c r="D67" s="19">
        <v>2</v>
      </c>
      <c r="E67" s="5">
        <v>81.89</v>
      </c>
      <c r="F67" s="5">
        <f t="shared" si="3"/>
        <v>163.78</v>
      </c>
      <c r="G67" s="7">
        <v>46048</v>
      </c>
      <c r="H67" s="7" t="s">
        <v>11</v>
      </c>
    </row>
    <row r="68" spans="1:9" ht="15" thickBot="1" x14ac:dyDescent="0.25">
      <c r="A68" s="22" t="s">
        <v>12</v>
      </c>
      <c r="B68" s="22" t="s">
        <v>45</v>
      </c>
      <c r="C68" s="11" t="s">
        <v>10</v>
      </c>
      <c r="D68" s="11">
        <v>6</v>
      </c>
      <c r="E68" s="12">
        <v>15.7</v>
      </c>
      <c r="F68" s="12">
        <f t="shared" si="3"/>
        <v>94.2</v>
      </c>
      <c r="G68" s="35">
        <v>46048</v>
      </c>
      <c r="H68" s="13" t="s">
        <v>11</v>
      </c>
    </row>
    <row r="69" spans="1:9" x14ac:dyDescent="0.2">
      <c r="A69" s="36" t="s">
        <v>9</v>
      </c>
      <c r="B69" s="4" t="s">
        <v>46</v>
      </c>
      <c r="C69" s="4" t="s">
        <v>10</v>
      </c>
      <c r="D69" s="4">
        <v>3</v>
      </c>
      <c r="E69" s="5">
        <v>400</v>
      </c>
      <c r="F69" s="5">
        <f t="shared" si="3"/>
        <v>1200</v>
      </c>
      <c r="G69" s="7">
        <v>46049</v>
      </c>
      <c r="H69" s="24" t="s">
        <v>14</v>
      </c>
    </row>
    <row r="70" spans="1:9" x14ac:dyDescent="0.2">
      <c r="A70" s="36" t="s">
        <v>9</v>
      </c>
      <c r="B70" s="4" t="s">
        <v>47</v>
      </c>
      <c r="C70" s="4" t="s">
        <v>10</v>
      </c>
      <c r="D70" s="4">
        <v>1</v>
      </c>
      <c r="E70" s="5">
        <v>190</v>
      </c>
      <c r="F70" s="5">
        <f t="shared" si="3"/>
        <v>190</v>
      </c>
      <c r="G70" s="7">
        <v>46049</v>
      </c>
      <c r="H70" s="19" t="s">
        <v>33</v>
      </c>
    </row>
    <row r="71" spans="1:9" x14ac:dyDescent="0.2">
      <c r="A71" s="36" t="s">
        <v>9</v>
      </c>
      <c r="B71" s="4" t="s">
        <v>46</v>
      </c>
      <c r="C71" s="4" t="s">
        <v>10</v>
      </c>
      <c r="D71" s="4">
        <v>3</v>
      </c>
      <c r="E71" s="5">
        <v>190</v>
      </c>
      <c r="F71" s="5">
        <f t="shared" si="3"/>
        <v>570</v>
      </c>
      <c r="G71" s="7">
        <v>46049</v>
      </c>
      <c r="H71" s="19" t="s">
        <v>33</v>
      </c>
    </row>
    <row r="72" spans="1:9" x14ac:dyDescent="0.2">
      <c r="A72" s="36" t="s">
        <v>9</v>
      </c>
      <c r="B72" s="4" t="s">
        <v>44</v>
      </c>
      <c r="C72" s="4" t="s">
        <v>10</v>
      </c>
      <c r="D72" s="4">
        <v>8</v>
      </c>
      <c r="E72" s="5">
        <v>81.89</v>
      </c>
      <c r="F72" s="5">
        <f t="shared" si="3"/>
        <v>655.12</v>
      </c>
      <c r="G72" s="7">
        <v>46049</v>
      </c>
      <c r="H72" s="19" t="s">
        <v>11</v>
      </c>
    </row>
    <row r="73" spans="1:9" ht="15" thickBot="1" x14ac:dyDescent="0.25">
      <c r="A73" s="22" t="s">
        <v>12</v>
      </c>
      <c r="B73" s="22" t="s">
        <v>48</v>
      </c>
      <c r="C73" s="22" t="s">
        <v>10</v>
      </c>
      <c r="D73" s="11">
        <v>15</v>
      </c>
      <c r="E73" s="12">
        <v>15.7</v>
      </c>
      <c r="F73" s="12">
        <f t="shared" si="3"/>
        <v>235.5</v>
      </c>
      <c r="G73" s="37">
        <v>46049</v>
      </c>
      <c r="H73" s="13" t="s">
        <v>13</v>
      </c>
      <c r="I73" s="38"/>
    </row>
    <row r="74" spans="1:9" x14ac:dyDescent="0.2">
      <c r="A74" s="36" t="s">
        <v>9</v>
      </c>
      <c r="B74" s="4" t="s">
        <v>46</v>
      </c>
      <c r="C74" s="4" t="s">
        <v>10</v>
      </c>
      <c r="D74" s="4">
        <v>4</v>
      </c>
      <c r="E74" s="5">
        <v>300</v>
      </c>
      <c r="F74" s="5">
        <f t="shared" si="3"/>
        <v>1200</v>
      </c>
      <c r="G74" s="7">
        <v>46050</v>
      </c>
      <c r="H74" s="24" t="s">
        <v>18</v>
      </c>
    </row>
    <row r="75" spans="1:9" x14ac:dyDescent="0.2">
      <c r="A75" s="36" t="s">
        <v>9</v>
      </c>
      <c r="B75" s="4" t="s">
        <v>46</v>
      </c>
      <c r="C75" s="4" t="s">
        <v>10</v>
      </c>
      <c r="D75" s="4">
        <v>4</v>
      </c>
      <c r="E75" s="5">
        <v>400</v>
      </c>
      <c r="F75" s="5">
        <f t="shared" si="3"/>
        <v>1600</v>
      </c>
      <c r="G75" s="7">
        <v>46050</v>
      </c>
      <c r="H75" s="19" t="s">
        <v>17</v>
      </c>
    </row>
    <row r="76" spans="1:9" x14ac:dyDescent="0.2">
      <c r="A76" s="36" t="s">
        <v>9</v>
      </c>
      <c r="B76" s="4" t="s">
        <v>44</v>
      </c>
      <c r="C76" s="4" t="s">
        <v>10</v>
      </c>
      <c r="D76" s="4">
        <v>8</v>
      </c>
      <c r="E76" s="5">
        <v>81.89</v>
      </c>
      <c r="F76" s="5">
        <f t="shared" si="3"/>
        <v>655.12</v>
      </c>
      <c r="G76" s="7">
        <v>46050</v>
      </c>
      <c r="H76" s="19" t="s">
        <v>11</v>
      </c>
    </row>
    <row r="77" spans="1:9" ht="15" thickBot="1" x14ac:dyDescent="0.25">
      <c r="A77" s="22" t="s">
        <v>12</v>
      </c>
      <c r="B77" s="22" t="s">
        <v>49</v>
      </c>
      <c r="C77" s="22" t="s">
        <v>10</v>
      </c>
      <c r="D77" s="11">
        <v>16</v>
      </c>
      <c r="E77" s="12">
        <v>15.7</v>
      </c>
      <c r="F77" s="12">
        <f t="shared" si="3"/>
        <v>251.2</v>
      </c>
      <c r="G77" s="37">
        <v>46050</v>
      </c>
      <c r="H77" s="13" t="s">
        <v>13</v>
      </c>
    </row>
    <row r="78" spans="1:9" x14ac:dyDescent="0.2">
      <c r="A78" s="36" t="s">
        <v>9</v>
      </c>
      <c r="B78" s="4" t="s">
        <v>46</v>
      </c>
      <c r="C78" s="19" t="s">
        <v>10</v>
      </c>
      <c r="D78" s="19">
        <v>2</v>
      </c>
      <c r="E78" s="5">
        <v>81.89</v>
      </c>
      <c r="F78" s="5">
        <f t="shared" si="3"/>
        <v>163.78</v>
      </c>
      <c r="G78" s="7">
        <v>46051</v>
      </c>
      <c r="H78" s="7" t="s">
        <v>14</v>
      </c>
    </row>
    <row r="79" spans="1:9" x14ac:dyDescent="0.2">
      <c r="A79" s="19" t="s">
        <v>9</v>
      </c>
      <c r="B79" s="4" t="s">
        <v>44</v>
      </c>
      <c r="C79" s="19" t="s">
        <v>10</v>
      </c>
      <c r="D79" s="19">
        <v>9</v>
      </c>
      <c r="E79" s="5">
        <v>81.89</v>
      </c>
      <c r="F79" s="5">
        <f t="shared" si="3"/>
        <v>737.01</v>
      </c>
      <c r="G79" s="7">
        <v>46051</v>
      </c>
      <c r="H79" s="7" t="s">
        <v>11</v>
      </c>
    </row>
    <row r="80" spans="1:9" ht="15" thickBot="1" x14ac:dyDescent="0.25">
      <c r="A80" s="22" t="s">
        <v>12</v>
      </c>
      <c r="B80" s="22" t="s">
        <v>45</v>
      </c>
      <c r="C80" s="11" t="s">
        <v>10</v>
      </c>
      <c r="D80" s="11">
        <v>11</v>
      </c>
      <c r="E80" s="12">
        <v>15.7</v>
      </c>
      <c r="F80" s="12">
        <f t="shared" si="3"/>
        <v>172.7</v>
      </c>
      <c r="G80" s="35">
        <v>46051</v>
      </c>
      <c r="H80" s="13" t="s">
        <v>13</v>
      </c>
    </row>
    <row r="81" spans="1:8" x14ac:dyDescent="0.2">
      <c r="A81" s="36" t="s">
        <v>9</v>
      </c>
      <c r="B81" s="39" t="s">
        <v>44</v>
      </c>
      <c r="C81" s="4" t="s">
        <v>10</v>
      </c>
      <c r="D81" s="4">
        <v>2</v>
      </c>
      <c r="E81" s="5">
        <v>81.89</v>
      </c>
      <c r="F81" s="5">
        <f t="shared" si="3"/>
        <v>163.78</v>
      </c>
      <c r="G81" s="7">
        <v>46052</v>
      </c>
      <c r="H81" s="24" t="s">
        <v>11</v>
      </c>
    </row>
    <row r="82" spans="1:8" x14ac:dyDescent="0.2">
      <c r="A82" s="36" t="s">
        <v>9</v>
      </c>
      <c r="B82" s="4" t="s">
        <v>37</v>
      </c>
      <c r="C82" s="4" t="s">
        <v>10</v>
      </c>
      <c r="D82" s="4">
        <v>3</v>
      </c>
      <c r="E82" s="5">
        <v>81.89</v>
      </c>
      <c r="F82" s="5">
        <f t="shared" si="3"/>
        <v>245.67</v>
      </c>
      <c r="G82" s="7">
        <v>46052</v>
      </c>
      <c r="H82" s="19" t="s">
        <v>11</v>
      </c>
    </row>
    <row r="83" spans="1:8" x14ac:dyDescent="0.2">
      <c r="A83" s="36" t="s">
        <v>9</v>
      </c>
      <c r="B83" s="4" t="s">
        <v>47</v>
      </c>
      <c r="C83" s="4" t="s">
        <v>10</v>
      </c>
      <c r="D83" s="4">
        <v>3</v>
      </c>
      <c r="E83" s="5">
        <v>94.17</v>
      </c>
      <c r="F83" s="5">
        <f t="shared" si="3"/>
        <v>282.51</v>
      </c>
      <c r="G83" s="7">
        <v>46052</v>
      </c>
      <c r="H83" s="19" t="s">
        <v>19</v>
      </c>
    </row>
    <row r="84" spans="1:8" ht="15" thickBot="1" x14ac:dyDescent="0.25">
      <c r="A84" s="22" t="s">
        <v>12</v>
      </c>
      <c r="B84" s="22" t="s">
        <v>50</v>
      </c>
      <c r="C84" s="11" t="s">
        <v>10</v>
      </c>
      <c r="D84" s="11">
        <v>8</v>
      </c>
      <c r="E84" s="12">
        <v>15.7</v>
      </c>
      <c r="F84" s="12">
        <f t="shared" si="3"/>
        <v>125.6</v>
      </c>
      <c r="G84" s="35">
        <v>46052</v>
      </c>
      <c r="H84" s="13" t="s">
        <v>13</v>
      </c>
    </row>
    <row r="85" spans="1:8" ht="15" thickBot="1" x14ac:dyDescent="0.25">
      <c r="A85" s="40" t="s">
        <v>15</v>
      </c>
      <c r="B85" s="40" t="s">
        <v>37</v>
      </c>
      <c r="C85" s="40" t="s">
        <v>10</v>
      </c>
      <c r="D85" s="40">
        <v>34</v>
      </c>
      <c r="E85" s="41">
        <v>12.33</v>
      </c>
      <c r="F85" s="41">
        <f t="shared" si="3"/>
        <v>419.22</v>
      </c>
      <c r="G85" s="42">
        <v>46034</v>
      </c>
      <c r="H85" s="40" t="s">
        <v>13</v>
      </c>
    </row>
    <row r="86" spans="1:8" ht="15" thickBot="1" x14ac:dyDescent="0.25">
      <c r="A86" s="40" t="s">
        <v>15</v>
      </c>
      <c r="B86" s="40" t="s">
        <v>38</v>
      </c>
      <c r="C86" s="40" t="s">
        <v>10</v>
      </c>
      <c r="D86" s="40">
        <v>34</v>
      </c>
      <c r="E86" s="41">
        <v>12.33</v>
      </c>
      <c r="F86" s="41">
        <f t="shared" si="3"/>
        <v>419.22</v>
      </c>
      <c r="G86" s="42">
        <v>46034</v>
      </c>
      <c r="H86" s="40" t="s">
        <v>13</v>
      </c>
    </row>
    <row r="87" spans="1:8" ht="15" thickBot="1" x14ac:dyDescent="0.25">
      <c r="A87" s="40" t="s">
        <v>15</v>
      </c>
      <c r="B87" s="40" t="s">
        <v>44</v>
      </c>
      <c r="C87" s="40" t="s">
        <v>10</v>
      </c>
      <c r="D87" s="40">
        <v>31</v>
      </c>
      <c r="E87" s="41">
        <v>12.33</v>
      </c>
      <c r="F87" s="41">
        <f t="shared" si="3"/>
        <v>382.23</v>
      </c>
      <c r="G87" s="42">
        <v>46034</v>
      </c>
      <c r="H87" s="40" t="s">
        <v>13</v>
      </c>
    </row>
    <row r="88" spans="1:8" ht="15" thickBot="1" x14ac:dyDescent="0.25">
      <c r="A88" s="40" t="s">
        <v>15</v>
      </c>
      <c r="B88" s="40" t="s">
        <v>41</v>
      </c>
      <c r="C88" s="40" t="s">
        <v>10</v>
      </c>
      <c r="D88" s="40">
        <v>23</v>
      </c>
      <c r="E88" s="41">
        <v>12.33</v>
      </c>
      <c r="F88" s="41">
        <f t="shared" si="3"/>
        <v>283.58999999999997</v>
      </c>
      <c r="G88" s="42">
        <v>46034</v>
      </c>
      <c r="H88" s="40" t="s">
        <v>13</v>
      </c>
    </row>
    <row r="89" spans="1:8" ht="15" thickBot="1" x14ac:dyDescent="0.25">
      <c r="A89" s="40" t="s">
        <v>15</v>
      </c>
      <c r="B89" s="43" t="s">
        <v>39</v>
      </c>
      <c r="C89" s="40" t="s">
        <v>10</v>
      </c>
      <c r="D89" s="40">
        <v>19</v>
      </c>
      <c r="E89" s="41">
        <v>12.33</v>
      </c>
      <c r="F89" s="41">
        <f t="shared" si="3"/>
        <v>234.27</v>
      </c>
      <c r="G89" s="42">
        <v>46036</v>
      </c>
      <c r="H89" s="40" t="s">
        <v>13</v>
      </c>
    </row>
    <row r="90" spans="1:8" ht="15" thickBot="1" x14ac:dyDescent="0.25">
      <c r="A90" s="40" t="s">
        <v>15</v>
      </c>
      <c r="B90" s="40" t="s">
        <v>47</v>
      </c>
      <c r="C90" s="40" t="s">
        <v>10</v>
      </c>
      <c r="D90" s="40">
        <v>30</v>
      </c>
      <c r="E90" s="41">
        <v>12.33</v>
      </c>
      <c r="F90" s="41">
        <f t="shared" si="3"/>
        <v>369.9</v>
      </c>
      <c r="G90" s="42">
        <v>46042</v>
      </c>
      <c r="H90" s="40" t="s">
        <v>13</v>
      </c>
    </row>
    <row r="91" spans="1:8" ht="15" thickBot="1" x14ac:dyDescent="0.25">
      <c r="A91" s="40" t="s">
        <v>15</v>
      </c>
      <c r="B91" s="40" t="s">
        <v>46</v>
      </c>
      <c r="C91" s="40" t="s">
        <v>10</v>
      </c>
      <c r="D91" s="40">
        <v>23</v>
      </c>
      <c r="E91" s="41">
        <v>12.33</v>
      </c>
      <c r="F91" s="41">
        <f t="shared" si="3"/>
        <v>283.58999999999997</v>
      </c>
      <c r="G91" s="42">
        <v>46042</v>
      </c>
      <c r="H91" s="40" t="s">
        <v>13</v>
      </c>
    </row>
    <row r="92" spans="1:8" ht="15" thickBot="1" x14ac:dyDescent="0.25">
      <c r="A92" s="40" t="s">
        <v>15</v>
      </c>
      <c r="B92" s="40" t="s">
        <v>51</v>
      </c>
      <c r="C92" s="40" t="s">
        <v>10</v>
      </c>
      <c r="D92" s="40">
        <v>8</v>
      </c>
      <c r="E92" s="41">
        <v>12.33</v>
      </c>
      <c r="F92" s="41">
        <f t="shared" si="3"/>
        <v>98.64</v>
      </c>
      <c r="G92" s="42">
        <v>46042</v>
      </c>
      <c r="H92" s="40" t="s">
        <v>13</v>
      </c>
    </row>
    <row r="93" spans="1:8" ht="15" thickBot="1" x14ac:dyDescent="0.25">
      <c r="A93" s="40" t="s">
        <v>15</v>
      </c>
      <c r="B93" s="40" t="s">
        <v>52</v>
      </c>
      <c r="C93" s="40" t="s">
        <v>10</v>
      </c>
      <c r="D93" s="40">
        <v>18</v>
      </c>
      <c r="E93" s="41">
        <v>12.33</v>
      </c>
      <c r="F93" s="41">
        <f t="shared" si="3"/>
        <v>221.94</v>
      </c>
      <c r="G93" s="42">
        <v>46048</v>
      </c>
      <c r="H93" s="40" t="s">
        <v>13</v>
      </c>
    </row>
    <row r="94" spans="1:8" ht="15" thickBot="1" x14ac:dyDescent="0.25">
      <c r="A94" s="40" t="s">
        <v>15</v>
      </c>
      <c r="B94" s="40" t="s">
        <v>53</v>
      </c>
      <c r="C94" s="40" t="s">
        <v>10</v>
      </c>
      <c r="D94" s="40">
        <v>5</v>
      </c>
      <c r="E94" s="41">
        <v>12.33</v>
      </c>
      <c r="F94" s="41">
        <f t="shared" si="3"/>
        <v>61.65</v>
      </c>
      <c r="G94" s="42">
        <v>46048</v>
      </c>
      <c r="H94" s="40" t="s">
        <v>13</v>
      </c>
    </row>
    <row r="95" spans="1:8" ht="15" thickBot="1" x14ac:dyDescent="0.25">
      <c r="A95" s="2" t="s">
        <v>16</v>
      </c>
      <c r="B95" s="40" t="s">
        <v>54</v>
      </c>
      <c r="C95" s="40" t="s">
        <v>10</v>
      </c>
      <c r="D95" s="40">
        <v>10</v>
      </c>
      <c r="E95" s="41">
        <v>500</v>
      </c>
      <c r="F95" s="41">
        <f t="shared" si="3"/>
        <v>5000</v>
      </c>
      <c r="G95" s="40"/>
      <c r="H95" s="40" t="s">
        <v>13</v>
      </c>
    </row>
    <row r="96" spans="1:8" ht="15" thickBot="1" x14ac:dyDescent="0.25">
      <c r="A96" s="1" t="s">
        <v>26</v>
      </c>
      <c r="B96" s="40" t="s">
        <v>55</v>
      </c>
      <c r="C96" s="40" t="s">
        <v>10</v>
      </c>
      <c r="D96" s="40">
        <v>8</v>
      </c>
      <c r="E96" s="41">
        <v>120</v>
      </c>
      <c r="F96" s="41">
        <f t="shared" si="3"/>
        <v>960</v>
      </c>
      <c r="G96" s="40" t="s">
        <v>56</v>
      </c>
      <c r="H96" s="40" t="s">
        <v>13</v>
      </c>
    </row>
    <row r="97" spans="6:6" x14ac:dyDescent="0.2">
      <c r="F97" s="50">
        <f>SUM(F2:F96)</f>
        <v>47600.909999999996</v>
      </c>
    </row>
    <row r="149" ht="16.5" customHeight="1" x14ac:dyDescent="0.2"/>
  </sheetData>
  <autoFilter ref="A1:H168" xr:uid="{0AD33A20-0F62-4FAA-8CED-784BCFFB8FA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D91384F4C68A4E8007C66A1463D36D" ma:contentTypeVersion="15" ma:contentTypeDescription="Ein neues Dokument erstellen." ma:contentTypeScope="" ma:versionID="1514eb2b3614e91e4eeb8b68cc949eb7">
  <xsd:schema xmlns:xsd="http://www.w3.org/2001/XMLSchema" xmlns:xs="http://www.w3.org/2001/XMLSchema" xmlns:p="http://schemas.microsoft.com/office/2006/metadata/properties" xmlns:ns2="57a10020-32d3-4608-aace-8f9616ab88ec" xmlns:ns3="4c650207-ef22-4bbe-969a-0cda62cdda1a" targetNamespace="http://schemas.microsoft.com/office/2006/metadata/properties" ma:root="true" ma:fieldsID="dec57e1a3801ba702724f8a615378935" ns2:_="" ns3:_="">
    <xsd:import namespace="57a10020-32d3-4608-aace-8f9616ab88ec"/>
    <xsd:import namespace="4c650207-ef22-4bbe-969a-0cda62cdda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10020-32d3-4608-aace-8f9616ab88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5e923dd0-dda7-49ea-a147-70e5745050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650207-ef22-4bbe-969a-0cda62cdda1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a10020-32d3-4608-aace-8f9616ab88e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8F0ABB-1C52-497A-9071-DA9CDC91F0E8}"/>
</file>

<file path=customXml/itemProps2.xml><?xml version="1.0" encoding="utf-8"?>
<ds:datastoreItem xmlns:ds="http://schemas.openxmlformats.org/officeDocument/2006/customXml" ds:itemID="{BB92907C-7BF7-40C8-AB5C-07233B59F1ED}">
  <ds:schemaRefs>
    <ds:schemaRef ds:uri="http://schemas.microsoft.com/office/2006/metadata/properties"/>
    <ds:schemaRef ds:uri="http://schemas.microsoft.com/office/infopath/2007/PartnerControls"/>
    <ds:schemaRef ds:uri="57a10020-32d3-4608-aace-8f9616ab88ec"/>
  </ds:schemaRefs>
</ds:datastoreItem>
</file>

<file path=customXml/itemProps3.xml><?xml version="1.0" encoding="utf-8"?>
<ds:datastoreItem xmlns:ds="http://schemas.openxmlformats.org/officeDocument/2006/customXml" ds:itemID="{8A627302-20D8-44A7-8772-8C830850CE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</vt:lpstr>
    </vt:vector>
  </TitlesOfParts>
  <Company>GW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Rusudan Kerauli rke210</dc:creator>
  <cp:lastModifiedBy>Rusudan Kerauli rke210</cp:lastModifiedBy>
  <dcterms:created xsi:type="dcterms:W3CDTF">2026-01-08T10:42:32Z</dcterms:created>
  <dcterms:modified xsi:type="dcterms:W3CDTF">2026-02-03T10:31:01Z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0x0101005DD91384F4C68A4E8007C66A1463D36D</vt:lpwstr>
  </property>
</Properties>
</file>