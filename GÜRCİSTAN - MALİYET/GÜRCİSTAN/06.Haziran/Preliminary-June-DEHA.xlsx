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s210\AppData\Local\Microsoft\Windows\INetCache\Content.Outlook\YHU646UU\"/>
    </mc:Choice>
  </mc:AlternateContent>
  <xr:revisionPtr revIDLastSave="0" documentId="13_ncr:1_{DF2F8410-3DB8-46D3-BF36-4F782AF4E1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N32" i="1"/>
  <c r="L31" i="1"/>
  <c r="N31" i="1" s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<sst xmlns="http://schemas.openxmlformats.org/spreadsheetml/2006/main" count="288" uniqueCount="41">
  <si>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</si>
  <si>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</si>
  <si>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</si>
  <si>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</si>
  <si>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</si>
  <si>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</si>
  <si>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</si>
  <si>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</si>
  <si>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TRANSPORTATION</t>
  </si>
  <si>
    <t>EUP</t>
  </si>
  <si>
    <t>Tbilisi</t>
  </si>
  <si>
    <t>OUTBOUND</t>
  </si>
  <si>
    <t>-</t>
  </si>
  <si>
    <t>Batumi</t>
  </si>
  <si>
    <t>INBOUND</t>
  </si>
  <si>
    <t>Rustavi</t>
  </si>
  <si>
    <t>Gori</t>
  </si>
  <si>
    <t>Zugdidi</t>
  </si>
  <si>
    <t>Kutaisi</t>
  </si>
  <si>
    <t>RELOCATION</t>
  </si>
  <si>
    <t>IHR175</t>
  </si>
  <si>
    <t>IHR178&amp;ANT077</t>
  </si>
  <si>
    <t>Pallet Quantity</t>
  </si>
  <si>
    <t>IHR190</t>
  </si>
  <si>
    <t>ANT077</t>
  </si>
  <si>
    <t>IHR175&amp;ANT077</t>
  </si>
  <si>
    <t>IHR194&amp;ANT081</t>
  </si>
  <si>
    <t xml:space="preserve">Materials (IHR178&amp;IHR-033&amp;IHR132-IHR133) </t>
  </si>
  <si>
    <t>ANT081&amp;IHR194</t>
  </si>
  <si>
    <t>ANT081</t>
  </si>
  <si>
    <t>ANT084&amp;IHR203</t>
  </si>
  <si>
    <t>IHR198</t>
  </si>
  <si>
    <t>IHR194</t>
  </si>
  <si>
    <t>IHR175&amp;IHR178</t>
  </si>
  <si>
    <t>IHR198&amp;ANT084</t>
  </si>
  <si>
    <t>IHR203</t>
  </si>
  <si>
    <t>IHR203&amp;IHR198</t>
  </si>
  <si>
    <t>Transfer From Galerea To Vake</t>
  </si>
  <si>
    <t>IHR194&amp;IHR198</t>
  </si>
  <si>
    <t>IHR194&amp;IHR198&amp;IHR203</t>
  </si>
  <si>
    <t>ANT095&amp;IHR221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</si>
</sst>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/>
    <xf numFmtId="0" fontId="3" fillId="0" borderId="5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5" fillId="4" borderId="13" xfId="0" applyFont="1" applyFill="1" applyBorder="1"/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activeCell="F72" sqref="F72"/>
    </sheetView>
  </sheetViews>
  <sheetFormatPr defaultRowHeight="15" x14ac:dyDescent="0.25"/>
  <cols>
    <col min="1" max="1" width="42.42578125" customWidth="1"/>
    <col min="2" max="2" width="58.85546875" customWidth="1"/>
    <col min="7" max="7" width="15.7109375" bestFit="1" customWidth="1"/>
    <col min="8" max="8" width="13.5703125" customWidth="1"/>
    <col min="9" max="9" width="40.28515625" bestFit="1" customWidth="1"/>
    <col min="11" max="11" width="9.140625" style="4"/>
    <col min="12" max="14" width="9.140625" style="21"/>
  </cols>
  <sheetData>
    <row r="1" spans="1:14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/>
      <c r="K1" s="1" t="s">
        <v>6</v>
      </c>
      <c r="L1" s="1" t="s">
        <v>22</v>
      </c>
      <c r="M1" s="1" t="s">
        <v>4</v>
      </c>
      <c r="N1" s="1" t="s">
        <v>5</v>
      </c>
    </row>
    <row r="2" spans="1:14" ht="15.75" thickBot="1" x14ac:dyDescent="0.3">
      <c r="A2" s="9" t="s">
        <v>14</v>
      </c>
      <c r="B2" s="11" t="s">
        <v>23</v>
      </c>
      <c r="C2" s="11" t="s">
        <v>9</v>
      </c>
      <c r="D2" s="11">
        <v>23</v>
      </c>
      <c r="E2" s="12">
        <v>12.33</v>
      </c>
      <c r="F2" s="12">
        <v>283.58999999999997</v>
      </c>
      <c r="G2" s="13">
        <v>46174</v>
      </c>
      <c r="H2" s="13" t="s">
        <v>12</v>
      </c>
      <c r="K2" s="26">
        <v>46174</v>
      </c>
      <c r="L2" s="27">
        <v>90</v>
      </c>
      <c r="M2" s="28">
        <v>1.41</v>
      </c>
      <c r="N2" s="29">
        <f>ROUND(M2*L2,2)</f>
        <v>126.9</v>
      </c>
    </row>
    <row r="3" spans="1:14" x14ac:dyDescent="0.25">
      <c r="A3" s="6" t="s">
        <v>8</v>
      </c>
      <c r="B3" s="15" t="s">
        <v>21</v>
      </c>
      <c r="C3" s="15" t="s">
        <v>9</v>
      </c>
      <c r="D3" s="15">
        <v>2</v>
      </c>
      <c r="E3" s="16">
        <v>400</v>
      </c>
      <c r="F3" s="16">
        <v>800</v>
      </c>
      <c r="G3" s="17">
        <v>46174</v>
      </c>
      <c r="H3" s="17" t="s">
        <v>13</v>
      </c>
      <c r="K3" s="26">
        <v>46175</v>
      </c>
      <c r="L3" s="27">
        <v>90</v>
      </c>
      <c r="M3" s="28">
        <v>1.41</v>
      </c>
      <c r="N3" s="29">
        <f t="shared" ref="N3:N31" si="0">ROUND(M3*L3,2)</f>
        <v>126.9</v>
      </c>
    </row>
    <row r="4" spans="1:14" x14ac:dyDescent="0.25">
      <c r="A4" s="6" t="s">
        <v>8</v>
      </c>
      <c r="B4" s="6" t="s">
        <v>24</v>
      </c>
      <c r="C4" s="6" t="s">
        <v>9</v>
      </c>
      <c r="D4" s="6">
        <v>3</v>
      </c>
      <c r="E4" s="7">
        <v>81.89</v>
      </c>
      <c r="F4" s="7">
        <v>245.67</v>
      </c>
      <c r="G4" s="8">
        <v>46174</v>
      </c>
      <c r="H4" s="8" t="s">
        <v>10</v>
      </c>
      <c r="K4" s="26">
        <v>46176</v>
      </c>
      <c r="L4" s="27">
        <v>76</v>
      </c>
      <c r="M4" s="28">
        <v>1.41</v>
      </c>
      <c r="N4" s="29">
        <f t="shared" si="0"/>
        <v>107.16</v>
      </c>
    </row>
    <row r="5" spans="1:14" x14ac:dyDescent="0.25">
      <c r="A5" s="6" t="s">
        <v>8</v>
      </c>
      <c r="B5" s="6" t="s">
        <v>24</v>
      </c>
      <c r="C5" s="15" t="s">
        <v>9</v>
      </c>
      <c r="D5" s="15">
        <v>2</v>
      </c>
      <c r="E5" s="16">
        <v>81.89</v>
      </c>
      <c r="F5" s="16">
        <v>163.78</v>
      </c>
      <c r="G5" s="8">
        <v>46174</v>
      </c>
      <c r="H5" s="17" t="s">
        <v>10</v>
      </c>
      <c r="K5" s="26">
        <v>46177</v>
      </c>
      <c r="L5" s="27">
        <v>67</v>
      </c>
      <c r="M5" s="28">
        <v>1.41</v>
      </c>
      <c r="N5" s="29">
        <f t="shared" si="0"/>
        <v>94.47</v>
      </c>
    </row>
    <row r="6" spans="1:14" ht="15.75" thickBot="1" x14ac:dyDescent="0.3">
      <c r="A6" s="9" t="s">
        <v>11</v>
      </c>
      <c r="B6" s="11" t="s">
        <v>21</v>
      </c>
      <c r="C6" s="11" t="s">
        <v>9</v>
      </c>
      <c r="D6" s="11">
        <v>7</v>
      </c>
      <c r="E6" s="12">
        <v>15.7</v>
      </c>
      <c r="F6" s="12">
        <v>109.9</v>
      </c>
      <c r="G6" s="13">
        <v>46174</v>
      </c>
      <c r="H6" s="13" t="s">
        <v>12</v>
      </c>
      <c r="K6" s="26">
        <v>46178</v>
      </c>
      <c r="L6" s="27">
        <v>67</v>
      </c>
      <c r="M6" s="28">
        <v>1.41</v>
      </c>
      <c r="N6" s="29">
        <f t="shared" si="0"/>
        <v>94.47</v>
      </c>
    </row>
    <row r="7" spans="1:14" x14ac:dyDescent="0.25">
      <c r="A7" s="6" t="s">
        <v>8</v>
      </c>
      <c r="B7" s="19" t="s">
        <v>20</v>
      </c>
      <c r="C7" s="15" t="s">
        <v>9</v>
      </c>
      <c r="D7" s="15">
        <v>2</v>
      </c>
      <c r="E7" s="16">
        <v>300</v>
      </c>
      <c r="F7" s="16">
        <v>600</v>
      </c>
      <c r="G7" s="17">
        <v>46176</v>
      </c>
      <c r="H7" s="17" t="s">
        <v>18</v>
      </c>
      <c r="K7" s="26">
        <v>46179</v>
      </c>
      <c r="L7" s="27">
        <v>67</v>
      </c>
      <c r="M7" s="28">
        <v>1.41</v>
      </c>
      <c r="N7" s="29">
        <f t="shared" si="0"/>
        <v>94.47</v>
      </c>
    </row>
    <row r="8" spans="1:14" x14ac:dyDescent="0.25">
      <c r="A8" s="6" t="s">
        <v>8</v>
      </c>
      <c r="B8" s="6" t="s">
        <v>25</v>
      </c>
      <c r="C8" s="6" t="s">
        <v>9</v>
      </c>
      <c r="D8" s="6">
        <v>4</v>
      </c>
      <c r="E8" s="7">
        <v>400</v>
      </c>
      <c r="F8" s="7">
        <v>1600</v>
      </c>
      <c r="G8" s="17">
        <v>46176</v>
      </c>
      <c r="H8" s="8" t="s">
        <v>17</v>
      </c>
      <c r="K8" s="26">
        <v>46180</v>
      </c>
      <c r="L8" s="27">
        <v>67</v>
      </c>
      <c r="M8" s="28">
        <v>1.41</v>
      </c>
      <c r="N8" s="29">
        <f t="shared" si="0"/>
        <v>94.47</v>
      </c>
    </row>
    <row r="9" spans="1:14" x14ac:dyDescent="0.25">
      <c r="A9" s="18" t="s">
        <v>8</v>
      </c>
      <c r="B9" s="6" t="s">
        <v>20</v>
      </c>
      <c r="C9" s="6" t="s">
        <v>9</v>
      </c>
      <c r="D9" s="6">
        <v>5</v>
      </c>
      <c r="E9" s="7">
        <v>81.89</v>
      </c>
      <c r="F9" s="7">
        <v>409.45</v>
      </c>
      <c r="G9" s="17">
        <v>46176</v>
      </c>
      <c r="H9" s="8" t="s">
        <v>10</v>
      </c>
      <c r="K9" s="26">
        <v>46181</v>
      </c>
      <c r="L9" s="27">
        <v>83</v>
      </c>
      <c r="M9" s="28">
        <v>1.41</v>
      </c>
      <c r="N9" s="29">
        <f t="shared" si="0"/>
        <v>117.03</v>
      </c>
    </row>
    <row r="10" spans="1:14" x14ac:dyDescent="0.25">
      <c r="A10" s="6" t="s">
        <v>8</v>
      </c>
      <c r="B10" s="18" t="s">
        <v>20</v>
      </c>
      <c r="C10" s="6" t="s">
        <v>9</v>
      </c>
      <c r="D10" s="6">
        <v>3</v>
      </c>
      <c r="E10" s="7">
        <v>81.89</v>
      </c>
      <c r="F10" s="7">
        <v>245.67</v>
      </c>
      <c r="G10" s="17">
        <v>46176</v>
      </c>
      <c r="H10" s="8" t="s">
        <v>10</v>
      </c>
      <c r="K10" s="26">
        <v>46182</v>
      </c>
      <c r="L10" s="27">
        <v>77</v>
      </c>
      <c r="M10" s="28">
        <v>1.41</v>
      </c>
      <c r="N10" s="29">
        <f t="shared" si="0"/>
        <v>108.57</v>
      </c>
    </row>
    <row r="11" spans="1:14" ht="15.75" thickBot="1" x14ac:dyDescent="0.3">
      <c r="A11" s="9" t="s">
        <v>11</v>
      </c>
      <c r="B11" s="10" t="s">
        <v>25</v>
      </c>
      <c r="C11" s="11" t="s">
        <v>9</v>
      </c>
      <c r="D11" s="11">
        <v>14</v>
      </c>
      <c r="E11" s="12">
        <v>15.7</v>
      </c>
      <c r="F11" s="12">
        <v>219.8</v>
      </c>
      <c r="G11" s="13">
        <v>46176</v>
      </c>
      <c r="H11" s="13" t="s">
        <v>12</v>
      </c>
      <c r="K11" s="26">
        <v>46183</v>
      </c>
      <c r="L11" s="27">
        <v>61</v>
      </c>
      <c r="M11" s="28">
        <v>1.41</v>
      </c>
      <c r="N11" s="29">
        <f t="shared" si="0"/>
        <v>86.01</v>
      </c>
    </row>
    <row r="12" spans="1:14" x14ac:dyDescent="0.25">
      <c r="A12" s="19" t="s">
        <v>8</v>
      </c>
      <c r="B12" s="19" t="s">
        <v>20</v>
      </c>
      <c r="C12" s="15" t="s">
        <v>9</v>
      </c>
      <c r="D12" s="15">
        <v>4</v>
      </c>
      <c r="E12" s="16">
        <v>81.89</v>
      </c>
      <c r="F12" s="16">
        <v>327.56</v>
      </c>
      <c r="G12" s="17">
        <v>46177</v>
      </c>
      <c r="H12" s="17" t="s">
        <v>10</v>
      </c>
      <c r="K12" s="26">
        <v>46184</v>
      </c>
      <c r="L12" s="27">
        <v>57</v>
      </c>
      <c r="M12" s="28">
        <v>1.41</v>
      </c>
      <c r="N12" s="29">
        <f t="shared" si="0"/>
        <v>80.37</v>
      </c>
    </row>
    <row r="13" spans="1:14" x14ac:dyDescent="0.25">
      <c r="A13" s="19" t="s">
        <v>8</v>
      </c>
      <c r="B13" s="19" t="s">
        <v>20</v>
      </c>
      <c r="C13" s="6" t="s">
        <v>9</v>
      </c>
      <c r="D13" s="6">
        <v>2</v>
      </c>
      <c r="E13" s="7">
        <v>81.89</v>
      </c>
      <c r="F13" s="7">
        <v>163.78</v>
      </c>
      <c r="G13" s="8">
        <v>46177</v>
      </c>
      <c r="H13" s="8" t="s">
        <v>10</v>
      </c>
      <c r="K13" s="26">
        <v>46185</v>
      </c>
      <c r="L13" s="27">
        <v>53</v>
      </c>
      <c r="M13" s="28">
        <v>1.41</v>
      </c>
      <c r="N13" s="29">
        <f t="shared" si="0"/>
        <v>74.73</v>
      </c>
    </row>
    <row r="14" spans="1:14" x14ac:dyDescent="0.25">
      <c r="A14" s="19" t="s">
        <v>8</v>
      </c>
      <c r="B14" s="19" t="s">
        <v>20</v>
      </c>
      <c r="C14" s="6" t="s">
        <v>9</v>
      </c>
      <c r="D14" s="6">
        <v>1</v>
      </c>
      <c r="E14" s="7">
        <v>190</v>
      </c>
      <c r="F14" s="7">
        <v>190</v>
      </c>
      <c r="G14" s="8">
        <v>46177</v>
      </c>
      <c r="H14" s="8" t="s">
        <v>16</v>
      </c>
      <c r="K14" s="26">
        <v>46186</v>
      </c>
      <c r="L14" s="27">
        <v>53</v>
      </c>
      <c r="M14" s="28">
        <v>1.41</v>
      </c>
      <c r="N14" s="29">
        <f t="shared" si="0"/>
        <v>74.73</v>
      </c>
    </row>
    <row r="15" spans="1:14" x14ac:dyDescent="0.25">
      <c r="A15" s="19" t="s">
        <v>8</v>
      </c>
      <c r="B15" s="19" t="s">
        <v>20</v>
      </c>
      <c r="C15" s="6" t="s">
        <v>9</v>
      </c>
      <c r="D15" s="6">
        <v>2</v>
      </c>
      <c r="E15" s="7">
        <v>94.17</v>
      </c>
      <c r="F15" s="7">
        <v>188.34</v>
      </c>
      <c r="G15" s="8">
        <v>46177</v>
      </c>
      <c r="H15" s="5" t="s">
        <v>15</v>
      </c>
      <c r="K15" s="26">
        <v>46187</v>
      </c>
      <c r="L15" s="27">
        <v>53</v>
      </c>
      <c r="M15" s="28">
        <v>1.41</v>
      </c>
      <c r="N15" s="29">
        <f t="shared" si="0"/>
        <v>74.73</v>
      </c>
    </row>
    <row r="16" spans="1:14" ht="15.75" thickBot="1" x14ac:dyDescent="0.3">
      <c r="A16" s="9" t="s">
        <v>11</v>
      </c>
      <c r="B16" s="10" t="s">
        <v>20</v>
      </c>
      <c r="C16" s="11" t="s">
        <v>9</v>
      </c>
      <c r="D16" s="11">
        <v>9</v>
      </c>
      <c r="E16" s="12">
        <v>15.7</v>
      </c>
      <c r="F16" s="12">
        <v>141.30000000000001</v>
      </c>
      <c r="G16" s="13">
        <v>46177</v>
      </c>
      <c r="H16" s="9" t="s">
        <v>12</v>
      </c>
      <c r="K16" s="26">
        <v>46188</v>
      </c>
      <c r="L16" s="27">
        <v>113</v>
      </c>
      <c r="M16" s="28">
        <v>1.41</v>
      </c>
      <c r="N16" s="29">
        <f t="shared" si="0"/>
        <v>159.33000000000001</v>
      </c>
    </row>
    <row r="17" spans="1:14" ht="15.75" thickBot="1" x14ac:dyDescent="0.3">
      <c r="A17" s="22" t="s">
        <v>14</v>
      </c>
      <c r="B17" s="30" t="s">
        <v>26</v>
      </c>
      <c r="C17" s="23" t="s">
        <v>9</v>
      </c>
      <c r="D17" s="23">
        <v>34</v>
      </c>
      <c r="E17" s="24">
        <v>12.33</v>
      </c>
      <c r="F17" s="24">
        <v>419.22</v>
      </c>
      <c r="G17" s="25">
        <v>46181</v>
      </c>
      <c r="H17" s="22" t="s">
        <v>12</v>
      </c>
      <c r="K17" s="26">
        <v>46189</v>
      </c>
      <c r="L17" s="27">
        <v>100</v>
      </c>
      <c r="M17" s="28">
        <v>1.41</v>
      </c>
      <c r="N17" s="29">
        <f t="shared" si="0"/>
        <v>141</v>
      </c>
    </row>
    <row r="18" spans="1:14" x14ac:dyDescent="0.25">
      <c r="A18" s="20" t="s">
        <v>8</v>
      </c>
      <c r="B18" s="19" t="s">
        <v>27</v>
      </c>
      <c r="C18" s="15" t="s">
        <v>9</v>
      </c>
      <c r="D18" s="15">
        <v>18</v>
      </c>
      <c r="E18" s="31">
        <v>81.89</v>
      </c>
      <c r="F18" s="32">
        <v>1474.02</v>
      </c>
      <c r="G18" s="33">
        <v>46181</v>
      </c>
      <c r="H18" s="14" t="s">
        <v>10</v>
      </c>
      <c r="K18" s="26">
        <v>46190</v>
      </c>
      <c r="L18" s="27">
        <v>93</v>
      </c>
      <c r="M18" s="28">
        <v>1.41</v>
      </c>
      <c r="N18" s="29">
        <f t="shared" si="0"/>
        <v>131.13</v>
      </c>
    </row>
    <row r="19" spans="1:14" ht="15.75" thickBot="1" x14ac:dyDescent="0.3">
      <c r="A19" s="9" t="s">
        <v>11</v>
      </c>
      <c r="B19" s="10" t="s">
        <v>27</v>
      </c>
      <c r="C19" s="11" t="s">
        <v>9</v>
      </c>
      <c r="D19" s="11">
        <v>18</v>
      </c>
      <c r="E19" s="12">
        <v>15.7</v>
      </c>
      <c r="F19" s="34">
        <v>282.60000000000002</v>
      </c>
      <c r="G19" s="13">
        <v>46181</v>
      </c>
      <c r="H19" s="9" t="s">
        <v>12</v>
      </c>
      <c r="K19" s="26">
        <v>46191</v>
      </c>
      <c r="L19" s="27">
        <v>89</v>
      </c>
      <c r="M19" s="28">
        <v>1.41</v>
      </c>
      <c r="N19" s="29">
        <f t="shared" si="0"/>
        <v>125.49</v>
      </c>
    </row>
    <row r="20" spans="1:14" x14ac:dyDescent="0.25">
      <c r="A20" s="20" t="s">
        <v>8</v>
      </c>
      <c r="B20" s="15" t="s">
        <v>23</v>
      </c>
      <c r="C20" s="15" t="s">
        <v>9</v>
      </c>
      <c r="D20" s="15">
        <v>5</v>
      </c>
      <c r="E20" s="16">
        <v>81.89</v>
      </c>
      <c r="F20" s="31">
        <v>409.45</v>
      </c>
      <c r="G20" s="17">
        <v>46182</v>
      </c>
      <c r="H20" s="17" t="s">
        <v>10</v>
      </c>
      <c r="K20" s="26">
        <v>46192</v>
      </c>
      <c r="L20" s="27">
        <v>83</v>
      </c>
      <c r="M20" s="28">
        <v>1.41</v>
      </c>
      <c r="N20" s="29">
        <f t="shared" si="0"/>
        <v>117.03</v>
      </c>
    </row>
    <row r="21" spans="1:14" x14ac:dyDescent="0.25">
      <c r="A21" s="20" t="s">
        <v>8</v>
      </c>
      <c r="B21" s="20" t="s">
        <v>23</v>
      </c>
      <c r="C21" s="6" t="s">
        <v>9</v>
      </c>
      <c r="D21" s="6">
        <v>1</v>
      </c>
      <c r="E21" s="7">
        <v>81.89</v>
      </c>
      <c r="F21" s="7">
        <v>81.89</v>
      </c>
      <c r="G21" s="8">
        <v>46182</v>
      </c>
      <c r="H21" s="8" t="s">
        <v>10</v>
      </c>
      <c r="K21" s="26">
        <v>46193</v>
      </c>
      <c r="L21" s="27">
        <v>83</v>
      </c>
      <c r="M21" s="28">
        <v>1.41</v>
      </c>
      <c r="N21" s="29">
        <f t="shared" si="0"/>
        <v>117.03</v>
      </c>
    </row>
    <row r="22" spans="1:14" ht="15.75" thickBot="1" x14ac:dyDescent="0.3">
      <c r="A22" s="9" t="s">
        <v>11</v>
      </c>
      <c r="B22" s="10" t="s">
        <v>23</v>
      </c>
      <c r="C22" s="11" t="s">
        <v>9</v>
      </c>
      <c r="D22" s="11">
        <v>6</v>
      </c>
      <c r="E22" s="12">
        <v>15.7</v>
      </c>
      <c r="F22" s="34">
        <v>94.2</v>
      </c>
      <c r="G22" s="13">
        <v>46182</v>
      </c>
      <c r="H22" s="13" t="s">
        <v>12</v>
      </c>
      <c r="K22" s="26">
        <v>46194</v>
      </c>
      <c r="L22" s="27">
        <v>83</v>
      </c>
      <c r="M22" s="28">
        <v>1.41</v>
      </c>
      <c r="N22" s="29">
        <f t="shared" si="0"/>
        <v>117.03</v>
      </c>
    </row>
    <row r="23" spans="1:14" x14ac:dyDescent="0.25">
      <c r="A23" s="6" t="s">
        <v>8</v>
      </c>
      <c r="B23" s="15" t="s">
        <v>23</v>
      </c>
      <c r="C23" s="15" t="s">
        <v>9</v>
      </c>
      <c r="D23" s="15">
        <v>4</v>
      </c>
      <c r="E23" s="16">
        <v>81.89</v>
      </c>
      <c r="F23" s="31">
        <v>327.56</v>
      </c>
      <c r="G23" s="17">
        <v>46183</v>
      </c>
      <c r="H23" s="17" t="s">
        <v>10</v>
      </c>
      <c r="K23" s="26">
        <v>46195</v>
      </c>
      <c r="L23" s="27">
        <v>83</v>
      </c>
      <c r="M23" s="28">
        <v>1.41</v>
      </c>
      <c r="N23" s="29">
        <f t="shared" si="0"/>
        <v>117.03</v>
      </c>
    </row>
    <row r="24" spans="1:14" x14ac:dyDescent="0.25">
      <c r="A24" s="6" t="s">
        <v>8</v>
      </c>
      <c r="B24" s="6" t="s">
        <v>23</v>
      </c>
      <c r="C24" s="6" t="s">
        <v>9</v>
      </c>
      <c r="D24" s="6">
        <v>3</v>
      </c>
      <c r="E24" s="7">
        <v>94.17</v>
      </c>
      <c r="F24" s="7">
        <v>282.51</v>
      </c>
      <c r="G24" s="17">
        <v>46183</v>
      </c>
      <c r="H24" s="8" t="s">
        <v>15</v>
      </c>
      <c r="K24" s="26">
        <v>46196</v>
      </c>
      <c r="L24" s="27">
        <v>83</v>
      </c>
      <c r="M24" s="28">
        <v>1.41</v>
      </c>
      <c r="N24" s="29">
        <f t="shared" si="0"/>
        <v>117.03</v>
      </c>
    </row>
    <row r="25" spans="1:14" x14ac:dyDescent="0.25">
      <c r="A25" s="6" t="s">
        <v>8</v>
      </c>
      <c r="B25" s="6" t="s">
        <v>23</v>
      </c>
      <c r="C25" s="6" t="s">
        <v>9</v>
      </c>
      <c r="D25" s="6">
        <v>3</v>
      </c>
      <c r="E25" s="7">
        <v>190</v>
      </c>
      <c r="F25" s="7">
        <v>570</v>
      </c>
      <c r="G25" s="17">
        <v>46183</v>
      </c>
      <c r="H25" s="8" t="s">
        <v>16</v>
      </c>
      <c r="K25" s="26">
        <v>46197</v>
      </c>
      <c r="L25" s="27">
        <v>70</v>
      </c>
      <c r="M25" s="28">
        <v>1.41</v>
      </c>
      <c r="N25" s="29">
        <f t="shared" si="0"/>
        <v>98.7</v>
      </c>
    </row>
    <row r="26" spans="1:14" x14ac:dyDescent="0.25">
      <c r="A26" s="6" t="s">
        <v>8</v>
      </c>
      <c r="B26" s="18" t="s">
        <v>23</v>
      </c>
      <c r="C26" s="6" t="s">
        <v>9</v>
      </c>
      <c r="D26" s="6">
        <v>3</v>
      </c>
      <c r="E26" s="7">
        <v>400</v>
      </c>
      <c r="F26" s="7">
        <v>1200</v>
      </c>
      <c r="G26" s="17">
        <v>46183</v>
      </c>
      <c r="H26" s="8" t="s">
        <v>17</v>
      </c>
      <c r="K26" s="26">
        <v>46198</v>
      </c>
      <c r="L26" s="27">
        <v>62</v>
      </c>
      <c r="M26" s="28">
        <v>1.41</v>
      </c>
      <c r="N26" s="29">
        <f t="shared" si="0"/>
        <v>87.42</v>
      </c>
    </row>
    <row r="27" spans="1:14" x14ac:dyDescent="0.25">
      <c r="A27" s="6" t="s">
        <v>8</v>
      </c>
      <c r="B27" s="18" t="s">
        <v>23</v>
      </c>
      <c r="C27" s="6" t="s">
        <v>9</v>
      </c>
      <c r="D27" s="6">
        <v>3</v>
      </c>
      <c r="E27" s="7">
        <v>300</v>
      </c>
      <c r="F27" s="7">
        <v>900</v>
      </c>
      <c r="G27" s="17">
        <v>46183</v>
      </c>
      <c r="H27" s="8" t="s">
        <v>18</v>
      </c>
      <c r="K27" s="26">
        <v>46199</v>
      </c>
      <c r="L27" s="27">
        <v>52</v>
      </c>
      <c r="M27" s="28">
        <v>1.41</v>
      </c>
      <c r="N27" s="29">
        <f t="shared" si="0"/>
        <v>73.319999999999993</v>
      </c>
    </row>
    <row r="28" spans="1:14" ht="15.75" thickBot="1" x14ac:dyDescent="0.3">
      <c r="A28" s="9" t="s">
        <v>11</v>
      </c>
      <c r="B28" s="10" t="s">
        <v>23</v>
      </c>
      <c r="C28" s="11" t="s">
        <v>9</v>
      </c>
      <c r="D28" s="11">
        <v>16</v>
      </c>
      <c r="E28" s="12">
        <v>15.7</v>
      </c>
      <c r="F28" s="34">
        <v>251.2</v>
      </c>
      <c r="G28" s="13">
        <v>46183</v>
      </c>
      <c r="H28" s="13" t="s">
        <v>12</v>
      </c>
      <c r="K28" s="26">
        <v>46200</v>
      </c>
      <c r="L28" s="27">
        <v>52</v>
      </c>
      <c r="M28" s="28">
        <v>1.41</v>
      </c>
      <c r="N28" s="29">
        <f t="shared" si="0"/>
        <v>73.319999999999993</v>
      </c>
    </row>
    <row r="29" spans="1:14" x14ac:dyDescent="0.25">
      <c r="A29" s="18" t="s">
        <v>8</v>
      </c>
      <c r="B29" s="15" t="s">
        <v>20</v>
      </c>
      <c r="C29" s="15" t="s">
        <v>9</v>
      </c>
      <c r="D29" s="15">
        <v>4</v>
      </c>
      <c r="E29" s="16">
        <v>400</v>
      </c>
      <c r="F29" s="31">
        <v>1600</v>
      </c>
      <c r="G29" s="17">
        <v>46184</v>
      </c>
      <c r="H29" s="17" t="s">
        <v>13</v>
      </c>
      <c r="K29" s="26">
        <v>46201</v>
      </c>
      <c r="L29" s="27">
        <v>52</v>
      </c>
      <c r="M29" s="28">
        <v>1.41</v>
      </c>
      <c r="N29" s="29">
        <f t="shared" si="0"/>
        <v>73.319999999999993</v>
      </c>
    </row>
    <row r="30" spans="1:14" ht="15.75" thickBot="1" x14ac:dyDescent="0.3">
      <c r="A30" s="11" t="s">
        <v>11</v>
      </c>
      <c r="B30" s="11" t="s">
        <v>20</v>
      </c>
      <c r="C30" s="11" t="s">
        <v>9</v>
      </c>
      <c r="D30" s="11">
        <v>4</v>
      </c>
      <c r="E30" s="12">
        <v>15.7</v>
      </c>
      <c r="F30" s="34">
        <v>62.8</v>
      </c>
      <c r="G30" s="13">
        <v>46184</v>
      </c>
      <c r="H30" s="13" t="s">
        <v>12</v>
      </c>
      <c r="K30" s="26">
        <v>46202</v>
      </c>
      <c r="L30" s="27">
        <v>52</v>
      </c>
      <c r="M30" s="28">
        <v>1.41</v>
      </c>
      <c r="N30" s="29">
        <f t="shared" si="0"/>
        <v>73.319999999999993</v>
      </c>
    </row>
    <row r="31" spans="1:14" ht="15.75" thickBot="1" x14ac:dyDescent="0.3">
      <c r="A31" s="6" t="s">
        <v>8</v>
      </c>
      <c r="B31" s="15" t="s">
        <v>23</v>
      </c>
      <c r="C31" s="15" t="s">
        <v>9</v>
      </c>
      <c r="D31" s="15">
        <v>2</v>
      </c>
      <c r="E31" s="16">
        <v>400</v>
      </c>
      <c r="F31" s="31">
        <v>800</v>
      </c>
      <c r="G31" s="17">
        <v>46185</v>
      </c>
      <c r="H31" s="17" t="s">
        <v>13</v>
      </c>
      <c r="K31" s="26">
        <v>46203</v>
      </c>
      <c r="L31" s="27">
        <f>28+32</f>
        <v>60</v>
      </c>
      <c r="M31" s="28">
        <v>1.41</v>
      </c>
      <c r="N31" s="29">
        <f t="shared" si="0"/>
        <v>84.6</v>
      </c>
    </row>
    <row r="32" spans="1:14" ht="16.5" thickBot="1" x14ac:dyDescent="0.3">
      <c r="A32" s="6" t="s">
        <v>8</v>
      </c>
      <c r="B32" s="6" t="s">
        <v>23</v>
      </c>
      <c r="C32" s="6" t="s">
        <v>9</v>
      </c>
      <c r="D32" s="6">
        <v>2</v>
      </c>
      <c r="E32" s="7">
        <v>81.89</v>
      </c>
      <c r="F32" s="7">
        <v>163.78</v>
      </c>
      <c r="G32" s="17">
        <v>46185</v>
      </c>
      <c r="H32" s="8" t="s">
        <v>10</v>
      </c>
      <c r="N32" s="38">
        <f>SUM(N2:N31)</f>
        <v>3061.1100000000015</v>
      </c>
    </row>
    <row r="33" spans="1:8" ht="15.75" thickBot="1" x14ac:dyDescent="0.3">
      <c r="A33" s="11" t="s">
        <v>11</v>
      </c>
      <c r="B33" s="11" t="s">
        <v>23</v>
      </c>
      <c r="C33" s="11" t="s">
        <v>9</v>
      </c>
      <c r="D33" s="11">
        <v>4</v>
      </c>
      <c r="E33" s="12">
        <v>15.7</v>
      </c>
      <c r="F33" s="34">
        <v>62.8</v>
      </c>
      <c r="G33" s="13">
        <v>46185</v>
      </c>
      <c r="H33" s="13" t="s">
        <v>12</v>
      </c>
    </row>
    <row r="34" spans="1:8" x14ac:dyDescent="0.25">
      <c r="A34" s="39" t="s">
        <v>8</v>
      </c>
      <c r="B34" s="40" t="s">
        <v>29</v>
      </c>
      <c r="C34" s="40" t="s">
        <v>9</v>
      </c>
      <c r="D34" s="40">
        <v>2</v>
      </c>
      <c r="E34" s="7">
        <v>81.89</v>
      </c>
      <c r="F34" s="7">
        <v>163.78</v>
      </c>
      <c r="G34" s="41">
        <v>46188</v>
      </c>
      <c r="H34" s="41" t="s">
        <v>10</v>
      </c>
    </row>
    <row r="35" spans="1:8" x14ac:dyDescent="0.25">
      <c r="A35" s="42" t="s">
        <v>8</v>
      </c>
      <c r="B35" s="43" t="s">
        <v>28</v>
      </c>
      <c r="C35" s="43" t="s">
        <v>9</v>
      </c>
      <c r="D35" s="43">
        <v>4</v>
      </c>
      <c r="E35" s="7">
        <v>81.89</v>
      </c>
      <c r="F35" s="7">
        <v>327.56</v>
      </c>
      <c r="G35" s="44">
        <v>46188</v>
      </c>
      <c r="H35" s="44" t="s">
        <v>10</v>
      </c>
    </row>
    <row r="36" spans="1:8" ht="15.75" thickBot="1" x14ac:dyDescent="0.3">
      <c r="A36" s="45" t="s">
        <v>11</v>
      </c>
      <c r="B36" s="45" t="s">
        <v>28</v>
      </c>
      <c r="C36" s="45" t="s">
        <v>9</v>
      </c>
      <c r="D36" s="45">
        <v>6</v>
      </c>
      <c r="E36" s="12">
        <v>15.7</v>
      </c>
      <c r="F36" s="34">
        <v>94.2</v>
      </c>
      <c r="G36" s="46">
        <v>46188</v>
      </c>
      <c r="H36" s="46" t="s">
        <v>12</v>
      </c>
    </row>
    <row r="37" spans="1:8" x14ac:dyDescent="0.25">
      <c r="A37" s="14" t="s">
        <v>14</v>
      </c>
      <c r="B37" s="19" t="s">
        <v>30</v>
      </c>
      <c r="C37" s="15" t="s">
        <v>9</v>
      </c>
      <c r="D37" s="15">
        <v>29</v>
      </c>
      <c r="E37" s="16">
        <v>12.33</v>
      </c>
      <c r="F37" s="31">
        <v>357.57</v>
      </c>
      <c r="G37" s="17">
        <v>46188</v>
      </c>
      <c r="H37" s="14" t="s">
        <v>12</v>
      </c>
    </row>
    <row r="38" spans="1:8" ht="15.75" thickBot="1" x14ac:dyDescent="0.3">
      <c r="A38" s="9" t="s">
        <v>14</v>
      </c>
      <c r="B38" s="10" t="s">
        <v>31</v>
      </c>
      <c r="C38" s="11" t="s">
        <v>9</v>
      </c>
      <c r="D38" s="11">
        <v>31</v>
      </c>
      <c r="E38" s="12">
        <v>12.33</v>
      </c>
      <c r="F38" s="12">
        <v>382.23</v>
      </c>
      <c r="G38" s="13">
        <v>46188</v>
      </c>
      <c r="H38" s="9" t="s">
        <v>12</v>
      </c>
    </row>
    <row r="39" spans="1:8" x14ac:dyDescent="0.25">
      <c r="A39" s="6" t="s">
        <v>8</v>
      </c>
      <c r="B39" s="15" t="s">
        <v>32</v>
      </c>
      <c r="C39" s="15" t="s">
        <v>9</v>
      </c>
      <c r="D39" s="15">
        <v>3</v>
      </c>
      <c r="E39" s="16">
        <v>81.89</v>
      </c>
      <c r="F39" s="16">
        <v>245.67</v>
      </c>
      <c r="G39" s="17">
        <v>46189</v>
      </c>
      <c r="H39" s="17" t="s">
        <v>10</v>
      </c>
    </row>
    <row r="40" spans="1:8" x14ac:dyDescent="0.25">
      <c r="A40" s="6" t="s">
        <v>8</v>
      </c>
      <c r="B40" s="6" t="s">
        <v>32</v>
      </c>
      <c r="C40" s="6" t="s">
        <v>9</v>
      </c>
      <c r="D40" s="6">
        <v>5</v>
      </c>
      <c r="E40" s="7">
        <v>81.89</v>
      </c>
      <c r="F40" s="7">
        <v>409.45</v>
      </c>
      <c r="G40" s="8">
        <v>46189</v>
      </c>
      <c r="H40" s="8" t="s">
        <v>10</v>
      </c>
    </row>
    <row r="41" spans="1:8" x14ac:dyDescent="0.25">
      <c r="A41" s="6" t="s">
        <v>8</v>
      </c>
      <c r="B41" s="6" t="s">
        <v>32</v>
      </c>
      <c r="C41" s="6" t="s">
        <v>9</v>
      </c>
      <c r="D41" s="6">
        <v>2</v>
      </c>
      <c r="E41" s="7">
        <v>190</v>
      </c>
      <c r="F41" s="7">
        <v>380</v>
      </c>
      <c r="G41" s="8">
        <v>46189</v>
      </c>
      <c r="H41" s="8" t="s">
        <v>16</v>
      </c>
    </row>
    <row r="42" spans="1:8" x14ac:dyDescent="0.25">
      <c r="A42" s="6" t="s">
        <v>8</v>
      </c>
      <c r="B42" s="6" t="s">
        <v>32</v>
      </c>
      <c r="C42" s="6" t="s">
        <v>9</v>
      </c>
      <c r="D42" s="6">
        <v>3</v>
      </c>
      <c r="E42" s="7">
        <v>400</v>
      </c>
      <c r="F42" s="7">
        <v>1200</v>
      </c>
      <c r="G42" s="8">
        <v>46189</v>
      </c>
      <c r="H42" s="8" t="s">
        <v>13</v>
      </c>
    </row>
    <row r="43" spans="1:8" ht="15.75" thickBot="1" x14ac:dyDescent="0.3">
      <c r="A43" s="11" t="s">
        <v>11</v>
      </c>
      <c r="B43" s="11" t="s">
        <v>32</v>
      </c>
      <c r="C43" s="11" t="s">
        <v>9</v>
      </c>
      <c r="D43" s="11">
        <v>13</v>
      </c>
      <c r="E43" s="12">
        <v>15.7</v>
      </c>
      <c r="F43" s="12">
        <v>204.1</v>
      </c>
      <c r="G43" s="13">
        <v>46189</v>
      </c>
      <c r="H43" s="13" t="s">
        <v>12</v>
      </c>
    </row>
    <row r="44" spans="1:8" x14ac:dyDescent="0.25">
      <c r="A44" s="6" t="s">
        <v>8</v>
      </c>
      <c r="B44" s="15" t="s">
        <v>32</v>
      </c>
      <c r="C44" s="15" t="s">
        <v>9</v>
      </c>
      <c r="D44" s="15">
        <v>5</v>
      </c>
      <c r="E44" s="16">
        <v>81.89</v>
      </c>
      <c r="F44" s="16">
        <v>409.45</v>
      </c>
      <c r="G44" s="17">
        <v>46190</v>
      </c>
      <c r="H44" s="17" t="s">
        <v>10</v>
      </c>
    </row>
    <row r="45" spans="1:8" x14ac:dyDescent="0.25">
      <c r="A45" s="6" t="s">
        <v>8</v>
      </c>
      <c r="B45" s="6" t="s">
        <v>32</v>
      </c>
      <c r="C45" s="6" t="s">
        <v>9</v>
      </c>
      <c r="D45" s="6">
        <v>2</v>
      </c>
      <c r="E45" s="7">
        <v>94.17</v>
      </c>
      <c r="F45" s="7">
        <v>188.34</v>
      </c>
      <c r="G45" s="8">
        <v>46190</v>
      </c>
      <c r="H45" s="8" t="s">
        <v>15</v>
      </c>
    </row>
    <row r="46" spans="1:8" ht="15.75" thickBot="1" x14ac:dyDescent="0.3">
      <c r="A46" s="11" t="s">
        <v>11</v>
      </c>
      <c r="B46" s="11" t="s">
        <v>32</v>
      </c>
      <c r="C46" s="11" t="s">
        <v>9</v>
      </c>
      <c r="D46" s="11">
        <v>7</v>
      </c>
      <c r="E46" s="12">
        <v>15.7</v>
      </c>
      <c r="F46" s="12">
        <v>109.9</v>
      </c>
      <c r="G46" s="13">
        <v>46190</v>
      </c>
      <c r="H46" s="13" t="s">
        <v>12</v>
      </c>
    </row>
    <row r="47" spans="1:8" x14ac:dyDescent="0.25">
      <c r="A47" s="6" t="s">
        <v>8</v>
      </c>
      <c r="B47" s="15" t="s">
        <v>33</v>
      </c>
      <c r="C47" s="15" t="s">
        <v>9</v>
      </c>
      <c r="D47" s="15">
        <v>4</v>
      </c>
      <c r="E47" s="16">
        <v>81.89</v>
      </c>
      <c r="F47" s="16">
        <v>327.56</v>
      </c>
      <c r="G47" s="17">
        <v>46191</v>
      </c>
      <c r="H47" s="17" t="s">
        <v>10</v>
      </c>
    </row>
    <row r="48" spans="1:8" ht="15.75" thickBot="1" x14ac:dyDescent="0.3">
      <c r="A48" s="11" t="s">
        <v>11</v>
      </c>
      <c r="B48" s="11" t="s">
        <v>33</v>
      </c>
      <c r="C48" s="11" t="s">
        <v>9</v>
      </c>
      <c r="D48" s="11">
        <v>4</v>
      </c>
      <c r="E48" s="12">
        <v>15.7</v>
      </c>
      <c r="F48" s="12">
        <v>62.8</v>
      </c>
      <c r="G48" s="13">
        <v>46191</v>
      </c>
      <c r="H48" s="13" t="s">
        <v>12</v>
      </c>
    </row>
    <row r="49" spans="1:8" x14ac:dyDescent="0.25">
      <c r="A49" s="6" t="s">
        <v>8</v>
      </c>
      <c r="B49" s="15" t="s">
        <v>29</v>
      </c>
      <c r="C49" s="15" t="s">
        <v>9</v>
      </c>
      <c r="D49" s="15">
        <v>2</v>
      </c>
      <c r="E49" s="16">
        <v>81.89</v>
      </c>
      <c r="F49" s="16">
        <v>163.78</v>
      </c>
      <c r="G49" s="17">
        <v>46192</v>
      </c>
      <c r="H49" s="17" t="s">
        <v>10</v>
      </c>
    </row>
    <row r="50" spans="1:8" x14ac:dyDescent="0.25">
      <c r="A50" s="6" t="s">
        <v>8</v>
      </c>
      <c r="B50" s="6" t="s">
        <v>28</v>
      </c>
      <c r="C50" s="6" t="s">
        <v>9</v>
      </c>
      <c r="D50" s="6">
        <v>4</v>
      </c>
      <c r="E50" s="7">
        <v>81.89</v>
      </c>
      <c r="F50" s="16">
        <v>327.56</v>
      </c>
      <c r="G50" s="8">
        <v>46192</v>
      </c>
      <c r="H50" s="8" t="s">
        <v>10</v>
      </c>
    </row>
    <row r="51" spans="1:8" ht="15.75" thickBot="1" x14ac:dyDescent="0.3">
      <c r="A51" s="9" t="s">
        <v>11</v>
      </c>
      <c r="B51" s="11" t="s">
        <v>28</v>
      </c>
      <c r="C51" s="11" t="s">
        <v>9</v>
      </c>
      <c r="D51" s="11">
        <v>6</v>
      </c>
      <c r="E51" s="12">
        <v>15.7</v>
      </c>
      <c r="F51" s="12">
        <v>94.2</v>
      </c>
      <c r="G51" s="13">
        <v>46192</v>
      </c>
      <c r="H51" s="13" t="s">
        <v>12</v>
      </c>
    </row>
    <row r="52" spans="1:8" x14ac:dyDescent="0.25">
      <c r="A52" s="18" t="s">
        <v>8</v>
      </c>
      <c r="B52" s="15" t="s">
        <v>34</v>
      </c>
      <c r="C52" s="15" t="s">
        <v>9</v>
      </c>
      <c r="D52" s="15">
        <v>4</v>
      </c>
      <c r="E52" s="16">
        <v>400</v>
      </c>
      <c r="F52" s="16">
        <v>1600</v>
      </c>
      <c r="G52" s="17">
        <v>46197</v>
      </c>
      <c r="H52" s="17" t="s">
        <v>13</v>
      </c>
    </row>
    <row r="53" spans="1:8" x14ac:dyDescent="0.25">
      <c r="A53" s="18" t="s">
        <v>8</v>
      </c>
      <c r="B53" s="18" t="s">
        <v>31</v>
      </c>
      <c r="C53" s="6" t="s">
        <v>9</v>
      </c>
      <c r="D53" s="6">
        <v>5</v>
      </c>
      <c r="E53" s="7">
        <v>81.89</v>
      </c>
      <c r="F53" s="7">
        <v>409.45</v>
      </c>
      <c r="G53" s="8">
        <v>46197</v>
      </c>
      <c r="H53" s="8" t="s">
        <v>10</v>
      </c>
    </row>
    <row r="54" spans="1:8" x14ac:dyDescent="0.25">
      <c r="A54" s="18" t="s">
        <v>8</v>
      </c>
      <c r="B54" s="18" t="s">
        <v>31</v>
      </c>
      <c r="C54" s="6" t="s">
        <v>9</v>
      </c>
      <c r="D54" s="6">
        <v>4</v>
      </c>
      <c r="E54" s="7">
        <v>81.89</v>
      </c>
      <c r="F54" s="7">
        <v>327.56</v>
      </c>
      <c r="G54" s="8">
        <v>46197</v>
      </c>
      <c r="H54" s="8" t="s">
        <v>10</v>
      </c>
    </row>
    <row r="55" spans="1:8" ht="15.75" thickBot="1" x14ac:dyDescent="0.3">
      <c r="A55" s="11" t="s">
        <v>11</v>
      </c>
      <c r="B55" s="11" t="s">
        <v>34</v>
      </c>
      <c r="C55" s="11" t="s">
        <v>9</v>
      </c>
      <c r="D55" s="11">
        <v>13</v>
      </c>
      <c r="E55" s="12">
        <v>15.7</v>
      </c>
      <c r="F55" s="12">
        <v>204.1</v>
      </c>
      <c r="G55" s="13">
        <v>46197</v>
      </c>
      <c r="H55" s="13" t="s">
        <v>12</v>
      </c>
    </row>
    <row r="56" spans="1:8" x14ac:dyDescent="0.25">
      <c r="A56" s="6" t="s">
        <v>8</v>
      </c>
      <c r="B56" s="15" t="s">
        <v>35</v>
      </c>
      <c r="C56" s="15" t="s">
        <v>9</v>
      </c>
      <c r="D56" s="15">
        <v>5</v>
      </c>
      <c r="E56" s="16">
        <v>81.89</v>
      </c>
      <c r="F56" s="16">
        <v>409.45</v>
      </c>
      <c r="G56" s="17">
        <v>46198</v>
      </c>
      <c r="H56" s="17" t="s">
        <v>10</v>
      </c>
    </row>
    <row r="57" spans="1:8" x14ac:dyDescent="0.25">
      <c r="A57" s="6" t="s">
        <v>8</v>
      </c>
      <c r="B57" s="6" t="s">
        <v>36</v>
      </c>
      <c r="C57" s="6" t="s">
        <v>9</v>
      </c>
      <c r="D57" s="6">
        <v>3</v>
      </c>
      <c r="E57" s="7">
        <v>81.89</v>
      </c>
      <c r="F57" s="7">
        <v>245.67</v>
      </c>
      <c r="G57" s="8">
        <v>46198</v>
      </c>
      <c r="H57" s="8" t="s">
        <v>10</v>
      </c>
    </row>
    <row r="58" spans="1:8" x14ac:dyDescent="0.25">
      <c r="A58" s="6" t="s">
        <v>8</v>
      </c>
      <c r="B58" s="35" t="s">
        <v>37</v>
      </c>
      <c r="C58" s="6" t="s">
        <v>9</v>
      </c>
      <c r="D58" s="35">
        <v>2</v>
      </c>
      <c r="E58" s="36">
        <v>81.89</v>
      </c>
      <c r="F58" s="7">
        <v>163.78</v>
      </c>
      <c r="G58" s="8">
        <v>46198</v>
      </c>
      <c r="H58" s="37" t="s">
        <v>10</v>
      </c>
    </row>
    <row r="59" spans="1:8" ht="15.75" thickBot="1" x14ac:dyDescent="0.3">
      <c r="A59" s="9" t="s">
        <v>11</v>
      </c>
      <c r="B59" s="11" t="s">
        <v>36</v>
      </c>
      <c r="C59" s="11" t="s">
        <v>9</v>
      </c>
      <c r="D59" s="11">
        <v>8</v>
      </c>
      <c r="E59" s="12">
        <v>15.7</v>
      </c>
      <c r="F59" s="12">
        <v>125.6</v>
      </c>
      <c r="G59" s="13">
        <v>46198</v>
      </c>
      <c r="H59" s="13" t="s">
        <v>12</v>
      </c>
    </row>
    <row r="60" spans="1:8" x14ac:dyDescent="0.25">
      <c r="A60" s="6" t="s">
        <v>8</v>
      </c>
      <c r="B60" s="15" t="s">
        <v>35</v>
      </c>
      <c r="C60" s="15" t="s">
        <v>9</v>
      </c>
      <c r="D60" s="15">
        <v>4</v>
      </c>
      <c r="E60" s="16">
        <v>81.89</v>
      </c>
      <c r="F60" s="16">
        <v>327.56</v>
      </c>
      <c r="G60" s="17">
        <v>46199</v>
      </c>
      <c r="H60" s="17" t="s">
        <v>10</v>
      </c>
    </row>
    <row r="61" spans="1:8" x14ac:dyDescent="0.25">
      <c r="A61" s="6" t="s">
        <v>8</v>
      </c>
      <c r="B61" s="6" t="s">
        <v>35</v>
      </c>
      <c r="C61" s="6" t="s">
        <v>9</v>
      </c>
      <c r="D61" s="6">
        <v>3</v>
      </c>
      <c r="E61" s="7">
        <v>94.17</v>
      </c>
      <c r="F61" s="7">
        <v>282.51</v>
      </c>
      <c r="G61" s="17">
        <v>46199</v>
      </c>
      <c r="H61" s="8" t="s">
        <v>15</v>
      </c>
    </row>
    <row r="62" spans="1:8" x14ac:dyDescent="0.25">
      <c r="A62" s="6" t="s">
        <v>8</v>
      </c>
      <c r="B62" s="6" t="s">
        <v>35</v>
      </c>
      <c r="C62" s="6" t="s">
        <v>9</v>
      </c>
      <c r="D62" s="6">
        <v>3</v>
      </c>
      <c r="E62" s="7">
        <v>400</v>
      </c>
      <c r="F62" s="7">
        <v>1200</v>
      </c>
      <c r="G62" s="17">
        <v>46199</v>
      </c>
      <c r="H62" s="8" t="s">
        <v>13</v>
      </c>
    </row>
    <row r="63" spans="1:8" ht="15.75" thickBot="1" x14ac:dyDescent="0.3">
      <c r="A63" s="9" t="s">
        <v>11</v>
      </c>
      <c r="B63" s="11" t="s">
        <v>35</v>
      </c>
      <c r="C63" s="11" t="s">
        <v>9</v>
      </c>
      <c r="D63" s="11">
        <v>10</v>
      </c>
      <c r="E63" s="12">
        <v>15.7</v>
      </c>
      <c r="F63" s="12">
        <v>157</v>
      </c>
      <c r="G63" s="13">
        <v>46199</v>
      </c>
      <c r="H63" s="13" t="s">
        <v>12</v>
      </c>
    </row>
    <row r="64" spans="1:8" x14ac:dyDescent="0.25">
      <c r="A64" s="15" t="s">
        <v>8</v>
      </c>
      <c r="B64" s="15" t="s">
        <v>38</v>
      </c>
      <c r="C64" s="15" t="s">
        <v>9</v>
      </c>
      <c r="D64" s="15">
        <v>5</v>
      </c>
      <c r="E64" s="16">
        <v>300</v>
      </c>
      <c r="F64" s="16">
        <v>1500</v>
      </c>
      <c r="G64" s="17">
        <v>46203</v>
      </c>
      <c r="H64" s="17" t="s">
        <v>18</v>
      </c>
    </row>
    <row r="65" spans="1:8" x14ac:dyDescent="0.25">
      <c r="A65" s="15" t="s">
        <v>8</v>
      </c>
      <c r="B65" s="15" t="s">
        <v>39</v>
      </c>
      <c r="C65" s="6" t="s">
        <v>9</v>
      </c>
      <c r="D65" s="6">
        <v>7</v>
      </c>
      <c r="E65" s="7">
        <v>400</v>
      </c>
      <c r="F65" s="7">
        <v>2800</v>
      </c>
      <c r="G65" s="8">
        <v>46203</v>
      </c>
      <c r="H65" s="8" t="s">
        <v>17</v>
      </c>
    </row>
    <row r="66" spans="1:8" x14ac:dyDescent="0.25">
      <c r="A66" s="15" t="s">
        <v>8</v>
      </c>
      <c r="B66" s="15" t="s">
        <v>38</v>
      </c>
      <c r="C66" s="6" t="s">
        <v>9</v>
      </c>
      <c r="D66" s="6">
        <v>5</v>
      </c>
      <c r="E66" s="7">
        <v>81.89</v>
      </c>
      <c r="F66" s="7">
        <v>409.45</v>
      </c>
      <c r="G66" s="8">
        <v>46203</v>
      </c>
      <c r="H66" s="8" t="s">
        <v>10</v>
      </c>
    </row>
    <row r="67" spans="1:8" x14ac:dyDescent="0.25">
      <c r="A67" s="15" t="s">
        <v>8</v>
      </c>
      <c r="B67" s="6" t="s">
        <v>31</v>
      </c>
      <c r="C67" s="6" t="s">
        <v>9</v>
      </c>
      <c r="D67" s="6">
        <v>7</v>
      </c>
      <c r="E67" s="7">
        <v>81.89</v>
      </c>
      <c r="F67" s="16">
        <v>573.23</v>
      </c>
      <c r="G67" s="8">
        <v>46203</v>
      </c>
      <c r="H67" s="8" t="s">
        <v>10</v>
      </c>
    </row>
    <row r="68" spans="1:8" ht="15.75" thickBot="1" x14ac:dyDescent="0.3">
      <c r="A68" s="9" t="s">
        <v>11</v>
      </c>
      <c r="B68" s="11" t="s">
        <v>39</v>
      </c>
      <c r="C68" s="11" t="s">
        <v>9</v>
      </c>
      <c r="D68" s="11">
        <v>24</v>
      </c>
      <c r="E68" s="12">
        <v>15.7</v>
      </c>
      <c r="F68" s="12">
        <v>376.8</v>
      </c>
      <c r="G68" s="13">
        <v>46203</v>
      </c>
      <c r="H68" s="13" t="s">
        <v>12</v>
      </c>
    </row>
    <row r="69" spans="1:8" ht="15.75" thickBot="1" x14ac:dyDescent="0.3">
      <c r="A69" s="22" t="s">
        <v>14</v>
      </c>
      <c r="B69" s="23" t="s">
        <v>40</v>
      </c>
      <c r="C69" s="23" t="s">
        <v>9</v>
      </c>
      <c r="D69" s="23">
        <v>32</v>
      </c>
      <c r="E69" s="24">
        <v>12.33</v>
      </c>
      <c r="F69" s="24">
        <v>394.56</v>
      </c>
      <c r="G69" s="25">
        <v>46203</v>
      </c>
      <c r="H69" s="25" t="s">
        <v>10</v>
      </c>
    </row>
    <row r="70" spans="1:8" ht="15.75" thickBot="1" x14ac:dyDescent="0.3">
      <c r="A70" s="23" t="s">
        <v>19</v>
      </c>
      <c r="B70" s="23" t="s">
        <v>28</v>
      </c>
      <c r="C70" s="23" t="s">
        <v>9</v>
      </c>
      <c r="D70" s="23">
        <v>2</v>
      </c>
      <c r="E70" s="24">
        <v>500</v>
      </c>
      <c r="F70" s="24">
        <v>1000</v>
      </c>
      <c r="G70" s="25">
        <v>46183</v>
      </c>
      <c r="H70" s="25" t="s">
        <v>10</v>
      </c>
    </row>
    <row r="71" spans="1:8" ht="16.5" thickBot="1" x14ac:dyDescent="0.3">
      <c r="F71" s="38">
        <f>SUM(F2:F70)</f>
        <v>32625.74</v>
      </c>
    </row>
  </sheetData>
  <dataValidations count="2">
    <dataValidation type="list" allowBlank="1" showInputMessage="1" showErrorMessage="1" sqref="A1:A70" xr:uid="{C1A848B6-4FBF-4578-99C9-6C9A0E1EC956}">
      <formula1>"TRANSPORTATION,OUTBOUND,INBOUND,TRANSFER,RELOCATION,RECONSTRUCTION,"</formula1>
    </dataValidation>
    <dataValidation type="list" allowBlank="1" showInputMessage="1" showErrorMessage="1" sqref="H1:H70" xr:uid="{22721B68-853A-433B-82B8-9BAA05414172}">
      <formula1>"Tbilisi,Batumi,Kutaisi,Gori,Zugdidi,Rustavi,-,"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Nino Tsomaia nts210</dc:creator>
  <cp:keywords/>
  <dc:description/>
  <cp:lastModifiedBy>Nino Tsomaia nts210</cp:lastModifiedBy>
  <cp:revision/>
  <dcterms:created xsi:type="dcterms:W3CDTF">2026-06-02T10:26:48Z</dcterms:created>
  <dcterms:modified xsi:type="dcterms:W3CDTF">2026-07-01T11:07:20Z</dcterms:modified>
  <cp:category/>
  <cp:contentStatus/>
</cp:coreProperties>
</file>