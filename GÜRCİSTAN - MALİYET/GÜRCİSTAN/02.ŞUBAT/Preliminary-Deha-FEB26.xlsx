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wworld.sharepoint.com/sites/TBI_Logistics-LogisticsDept/Freigegebene Dokumente/Logistics Dept/Clients/Madam Coco/2026/preliminary/"/>
    </mc:Choice>
  </mc:AlternateContent>
  <xr:revisionPtr revIDLastSave="16" documentId="8_{FDC826A8-3F3C-4165-B822-C507D512A29A}" xr6:coauthVersionLast="47" xr6:coauthVersionMax="47" xr10:uidLastSave="{731CC355-0699-4DB9-9DAC-A103D27BF60C}"/>
  <bookViews>
    <workbookView xWindow="-120" yWindow="-120" windowWidth="29040" windowHeight="17640" xr2:uid="{5A69EFF8-FF88-4B71-BF41-531BD8C5BFD5}"/>
  </bookViews>
  <sheets>
    <sheet name="Febru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1" l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P29" i="1"/>
  <c r="F29" i="1"/>
  <c r="P28" i="1"/>
  <c r="F28" i="1"/>
  <c r="P27" i="1"/>
  <c r="F27" i="1"/>
  <c r="P26" i="1"/>
  <c r="F26" i="1"/>
  <c r="P25" i="1"/>
  <c r="F25" i="1"/>
  <c r="P24" i="1"/>
  <c r="F24" i="1"/>
  <c r="P23" i="1"/>
  <c r="F23" i="1"/>
  <c r="P22" i="1"/>
  <c r="F22" i="1"/>
  <c r="P21" i="1"/>
  <c r="F21" i="1"/>
  <c r="P20" i="1"/>
  <c r="F20" i="1"/>
  <c r="P19" i="1"/>
  <c r="F19" i="1"/>
  <c r="P18" i="1"/>
  <c r="F18" i="1"/>
  <c r="P17" i="1"/>
  <c r="F17" i="1"/>
  <c r="P16" i="1"/>
  <c r="F16" i="1"/>
  <c r="P15" i="1"/>
  <c r="F15" i="1"/>
  <c r="P14" i="1"/>
  <c r="F14" i="1"/>
  <c r="P13" i="1"/>
  <c r="F13" i="1"/>
  <c r="P12" i="1"/>
  <c r="F12" i="1"/>
  <c r="P11" i="1"/>
  <c r="F11" i="1"/>
  <c r="P10" i="1"/>
  <c r="F10" i="1"/>
  <c r="P9" i="1"/>
  <c r="F9" i="1"/>
  <c r="P8" i="1"/>
  <c r="F8" i="1"/>
  <c r="P7" i="1"/>
  <c r="F7" i="1"/>
  <c r="P6" i="1"/>
  <c r="F6" i="1"/>
  <c r="P5" i="1"/>
  <c r="F5" i="1"/>
  <c r="P4" i="1"/>
  <c r="F4" i="1"/>
  <c r="P3" i="1"/>
  <c r="F3" i="1"/>
  <c r="P2" i="1"/>
  <c r="F2" i="1"/>
</calcChain>
</file>

<file path=xl/sharedStrings.xml><?xml version="1.0" encoding="utf-8"?>
<sst xmlns="http://schemas.openxmlformats.org/spreadsheetml/2006/main" count="301" uniqueCount="52">
  <si>
    <t>Type of Service</t>
  </si>
  <si>
    <t>Order Reference</t>
  </si>
  <si>
    <t>Unit</t>
  </si>
  <si>
    <t>QTY</t>
  </si>
  <si>
    <t>Prices, Without VAT, In GEL</t>
  </si>
  <si>
    <t>Amount in GEL</t>
  </si>
  <si>
    <t>Date</t>
  </si>
  <si>
    <t>CITY</t>
  </si>
  <si>
    <t>Pallet Quantity</t>
  </si>
  <si>
    <t xml:space="preserve">TRANSPORTATION </t>
  </si>
  <si>
    <t>EUP</t>
  </si>
  <si>
    <t>Tbilisi</t>
  </si>
  <si>
    <t>OUTBOUND</t>
  </si>
  <si>
    <t>-</t>
  </si>
  <si>
    <t>Batumi</t>
  </si>
  <si>
    <t>INBOUND</t>
  </si>
  <si>
    <t>RELOCATION</t>
  </si>
  <si>
    <t>Zugdidi</t>
  </si>
  <si>
    <t>Kutaisi</t>
  </si>
  <si>
    <t>Rustavi</t>
  </si>
  <si>
    <t>Reconstruction</t>
  </si>
  <si>
    <t>Gori</t>
  </si>
  <si>
    <t>IHR002</t>
  </si>
  <si>
    <t>IHR011</t>
  </si>
  <si>
    <t>IHR006</t>
  </si>
  <si>
    <t>ANT011</t>
  </si>
  <si>
    <t>IHR013</t>
  </si>
  <si>
    <t>IHR015</t>
  </si>
  <si>
    <t>ANT015</t>
  </si>
  <si>
    <t>IHR019</t>
  </si>
  <si>
    <t xml:space="preserve">Gldani </t>
  </si>
  <si>
    <t>IHR002/iHR011/ANt015</t>
  </si>
  <si>
    <t>IHR013/ANT015/IHR002/IHR006</t>
  </si>
  <si>
    <t>ANT015/IHR013/IHR011</t>
  </si>
  <si>
    <t>IHR013/IHR015</t>
  </si>
  <si>
    <t>TRANSPORTATION</t>
  </si>
  <si>
    <t>IHR019/ANT015/IHR015</t>
  </si>
  <si>
    <t>IHR013/ANT15</t>
  </si>
  <si>
    <t>IHR023</t>
  </si>
  <si>
    <t>IHR044</t>
  </si>
  <si>
    <t>ANT011/ANT015</t>
  </si>
  <si>
    <t>ANT015/IHR019</t>
  </si>
  <si>
    <t>ANT011/IHR015/IHR019</t>
  </si>
  <si>
    <t>IHR044/IHR019</t>
  </si>
  <si>
    <t>IHR053</t>
  </si>
  <si>
    <t>ANT025</t>
  </si>
  <si>
    <t>IHR055</t>
  </si>
  <si>
    <t>GUR05/GUR08/GUR09/GUR04</t>
  </si>
  <si>
    <t>IHR015/IHR023</t>
  </si>
  <si>
    <t>IHR023/IHR053</t>
  </si>
  <si>
    <t>3-13-19.2.2026</t>
  </si>
  <si>
    <t>2-5-12-26/2/2026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</si>
</sst>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GEL]\ * #,##0_-;\-[$GEL]\ * #,##0_-;_-[$GEL]\ * &quot;-&quot;??_-;_-@_-"/>
  </numFmts>
  <fonts count="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9388-77B0-4EBB-A92F-0DA0536381C7}">
  <dimension ref="A1:P149"/>
  <sheetViews>
    <sheetView tabSelected="1" zoomScale="85" zoomScaleNormal="85" workbookViewId="0">
      <selection activeCell="J37" sqref="J37"/>
    </sheetView>
  </sheetViews>
  <sheetFormatPr defaultRowHeight="12.75" x14ac:dyDescent="0.2"/>
  <cols>
    <col min="1" max="1" width="30.125" style="5" customWidth="1"/>
    <col min="2" max="2" width="61" style="18" bestFit="1" customWidth="1"/>
    <col min="3" max="3" width="9" style="5"/>
    <col min="4" max="6" width="9" style="18"/>
    <col min="7" max="7" width="21.75" style="19" bestFit="1" customWidth="1"/>
    <col min="8" max="8" width="9.625" style="19" bestFit="1" customWidth="1"/>
    <col min="9" max="12" width="9" style="5"/>
    <col min="13" max="13" width="9.125" style="5" bestFit="1" customWidth="1"/>
    <col min="14" max="16384" width="9" style="5"/>
  </cols>
  <sheetData>
    <row r="1" spans="1:16" ht="51.75" thickBot="1" x14ac:dyDescent="0.25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6" t="s">
        <v>6</v>
      </c>
      <c r="H1" s="6" t="s">
        <v>7</v>
      </c>
      <c r="M1" s="1" t="s">
        <v>6</v>
      </c>
      <c r="N1" s="1" t="s">
        <v>8</v>
      </c>
      <c r="O1" s="1" t="s">
        <v>4</v>
      </c>
      <c r="P1" s="1" t="s">
        <v>5</v>
      </c>
    </row>
    <row r="2" spans="1:16" x14ac:dyDescent="0.2">
      <c r="A2" s="3" t="s">
        <v>9</v>
      </c>
      <c r="B2" s="3" t="s">
        <v>22</v>
      </c>
      <c r="C2" s="3" t="s">
        <v>10</v>
      </c>
      <c r="D2" s="3">
        <v>5</v>
      </c>
      <c r="E2" s="9">
        <v>81.89</v>
      </c>
      <c r="F2" s="9">
        <f t="shared" ref="F2:F65" si="0">ROUND(D2*E2,2)</f>
        <v>409.45</v>
      </c>
      <c r="G2" s="10">
        <v>46055</v>
      </c>
      <c r="H2" s="11" t="s">
        <v>11</v>
      </c>
      <c r="M2" s="2">
        <v>46054</v>
      </c>
      <c r="N2" s="3">
        <v>113</v>
      </c>
      <c r="O2" s="4">
        <v>1.41</v>
      </c>
      <c r="P2" s="4">
        <f t="shared" ref="P2:P29" si="1">ROUND(O2*N2,2)</f>
        <v>159.33000000000001</v>
      </c>
    </row>
    <row r="3" spans="1:16" x14ac:dyDescent="0.2">
      <c r="A3" s="3" t="s">
        <v>9</v>
      </c>
      <c r="B3" s="3" t="s">
        <v>23</v>
      </c>
      <c r="C3" s="3" t="s">
        <v>10</v>
      </c>
      <c r="D3" s="3">
        <v>3</v>
      </c>
      <c r="E3" s="9">
        <v>81.89</v>
      </c>
      <c r="F3" s="9">
        <f t="shared" si="0"/>
        <v>245.67</v>
      </c>
      <c r="G3" s="10">
        <v>46055</v>
      </c>
      <c r="H3" s="12" t="s">
        <v>11</v>
      </c>
      <c r="M3" s="2">
        <v>46055</v>
      </c>
      <c r="N3" s="3">
        <v>104</v>
      </c>
      <c r="O3" s="4">
        <v>1.41</v>
      </c>
      <c r="P3" s="4">
        <f t="shared" si="1"/>
        <v>146.63999999999999</v>
      </c>
    </row>
    <row r="4" spans="1:16" x14ac:dyDescent="0.2">
      <c r="A4" s="3" t="s">
        <v>9</v>
      </c>
      <c r="B4" s="3" t="s">
        <v>28</v>
      </c>
      <c r="C4" s="3" t="s">
        <v>10</v>
      </c>
      <c r="D4" s="3">
        <v>2</v>
      </c>
      <c r="E4" s="9">
        <v>81.89</v>
      </c>
      <c r="F4" s="9">
        <f t="shared" si="0"/>
        <v>163.78</v>
      </c>
      <c r="G4" s="10">
        <v>46055</v>
      </c>
      <c r="H4" s="11" t="s">
        <v>11</v>
      </c>
      <c r="M4" s="2">
        <v>46056</v>
      </c>
      <c r="N4" s="3">
        <v>120</v>
      </c>
      <c r="O4" s="4">
        <v>1.41</v>
      </c>
      <c r="P4" s="4">
        <f t="shared" si="1"/>
        <v>169.2</v>
      </c>
    </row>
    <row r="5" spans="1:16" x14ac:dyDescent="0.2">
      <c r="A5" s="3" t="s">
        <v>12</v>
      </c>
      <c r="B5" s="3" t="s">
        <v>31</v>
      </c>
      <c r="C5" s="3" t="s">
        <v>10</v>
      </c>
      <c r="D5" s="3">
        <v>10</v>
      </c>
      <c r="E5" s="9">
        <v>15.7</v>
      </c>
      <c r="F5" s="9">
        <f t="shared" si="0"/>
        <v>157</v>
      </c>
      <c r="G5" s="10">
        <v>46055</v>
      </c>
      <c r="H5" s="12" t="s">
        <v>13</v>
      </c>
      <c r="M5" s="2">
        <v>46057</v>
      </c>
      <c r="N5" s="3">
        <v>109</v>
      </c>
      <c r="O5" s="4">
        <v>1.41</v>
      </c>
      <c r="P5" s="4">
        <f t="shared" si="1"/>
        <v>153.69</v>
      </c>
    </row>
    <row r="6" spans="1:16" x14ac:dyDescent="0.2">
      <c r="A6" s="3" t="s">
        <v>9</v>
      </c>
      <c r="B6" s="3" t="s">
        <v>26</v>
      </c>
      <c r="C6" s="3" t="s">
        <v>10</v>
      </c>
      <c r="D6" s="3">
        <v>2</v>
      </c>
      <c r="E6" s="9">
        <v>400</v>
      </c>
      <c r="F6" s="9">
        <f t="shared" si="0"/>
        <v>800</v>
      </c>
      <c r="G6" s="10">
        <v>46056</v>
      </c>
      <c r="H6" s="11" t="s">
        <v>14</v>
      </c>
      <c r="M6" s="2">
        <v>46058</v>
      </c>
      <c r="N6" s="3">
        <v>101</v>
      </c>
      <c r="O6" s="4">
        <v>1.41</v>
      </c>
      <c r="P6" s="4">
        <f t="shared" si="1"/>
        <v>142.41</v>
      </c>
    </row>
    <row r="7" spans="1:16" x14ac:dyDescent="0.2">
      <c r="A7" s="3" t="s">
        <v>9</v>
      </c>
      <c r="B7" s="3" t="s">
        <v>28</v>
      </c>
      <c r="C7" s="3" t="s">
        <v>10</v>
      </c>
      <c r="D7" s="3">
        <v>2</v>
      </c>
      <c r="E7" s="9">
        <v>400</v>
      </c>
      <c r="F7" s="9">
        <f t="shared" si="0"/>
        <v>800</v>
      </c>
      <c r="G7" s="10">
        <v>46056</v>
      </c>
      <c r="H7" s="12" t="s">
        <v>14</v>
      </c>
      <c r="M7" s="2">
        <v>46059</v>
      </c>
      <c r="N7" s="3">
        <v>90</v>
      </c>
      <c r="O7" s="4">
        <v>1.41</v>
      </c>
      <c r="P7" s="4">
        <f t="shared" si="1"/>
        <v>126.9</v>
      </c>
    </row>
    <row r="8" spans="1:16" x14ac:dyDescent="0.2">
      <c r="A8" s="3" t="s">
        <v>9</v>
      </c>
      <c r="B8" s="3" t="s">
        <v>28</v>
      </c>
      <c r="C8" s="3" t="s">
        <v>10</v>
      </c>
      <c r="D8" s="3">
        <v>2</v>
      </c>
      <c r="E8" s="9">
        <v>300</v>
      </c>
      <c r="F8" s="9">
        <f t="shared" si="0"/>
        <v>600</v>
      </c>
      <c r="G8" s="10">
        <v>46056</v>
      </c>
      <c r="H8" s="11" t="s">
        <v>18</v>
      </c>
      <c r="M8" s="2">
        <v>46060</v>
      </c>
      <c r="N8" s="3">
        <v>90</v>
      </c>
      <c r="O8" s="4">
        <v>1.41</v>
      </c>
      <c r="P8" s="4">
        <f t="shared" si="1"/>
        <v>126.9</v>
      </c>
    </row>
    <row r="9" spans="1:16" x14ac:dyDescent="0.2">
      <c r="A9" s="3" t="s">
        <v>9</v>
      </c>
      <c r="B9" s="3" t="s">
        <v>26</v>
      </c>
      <c r="C9" s="3" t="s">
        <v>10</v>
      </c>
      <c r="D9" s="3">
        <v>8</v>
      </c>
      <c r="E9" s="9">
        <v>81.89</v>
      </c>
      <c r="F9" s="9">
        <f t="shared" si="0"/>
        <v>655.12</v>
      </c>
      <c r="G9" s="10">
        <v>46056</v>
      </c>
      <c r="H9" s="12" t="s">
        <v>11</v>
      </c>
      <c r="M9" s="2">
        <v>46061</v>
      </c>
      <c r="N9" s="3">
        <v>90</v>
      </c>
      <c r="O9" s="4">
        <v>1.41</v>
      </c>
      <c r="P9" s="4">
        <f t="shared" si="1"/>
        <v>126.9</v>
      </c>
    </row>
    <row r="10" spans="1:16" x14ac:dyDescent="0.2">
      <c r="A10" s="3" t="s">
        <v>9</v>
      </c>
      <c r="B10" s="3" t="s">
        <v>22</v>
      </c>
      <c r="C10" s="3" t="s">
        <v>10</v>
      </c>
      <c r="D10" s="3">
        <v>3</v>
      </c>
      <c r="E10" s="9">
        <v>81.89</v>
      </c>
      <c r="F10" s="9">
        <f t="shared" si="0"/>
        <v>245.67</v>
      </c>
      <c r="G10" s="10">
        <v>46056</v>
      </c>
      <c r="H10" s="11" t="s">
        <v>11</v>
      </c>
      <c r="M10" s="2">
        <v>46062</v>
      </c>
      <c r="N10" s="3">
        <v>83</v>
      </c>
      <c r="O10" s="4">
        <v>1.41</v>
      </c>
      <c r="P10" s="4">
        <f t="shared" si="1"/>
        <v>117.03</v>
      </c>
    </row>
    <row r="11" spans="1:16" x14ac:dyDescent="0.2">
      <c r="A11" s="3" t="s">
        <v>9</v>
      </c>
      <c r="B11" s="3" t="s">
        <v>24</v>
      </c>
      <c r="C11" s="3" t="s">
        <v>10</v>
      </c>
      <c r="D11" s="3">
        <v>1</v>
      </c>
      <c r="E11" s="9">
        <v>81.89</v>
      </c>
      <c r="F11" s="9">
        <f t="shared" si="0"/>
        <v>81.89</v>
      </c>
      <c r="G11" s="10">
        <v>46056</v>
      </c>
      <c r="H11" s="12" t="s">
        <v>11</v>
      </c>
      <c r="M11" s="2">
        <v>46063</v>
      </c>
      <c r="N11" s="3">
        <v>79</v>
      </c>
      <c r="O11" s="4">
        <v>1.41</v>
      </c>
      <c r="P11" s="4">
        <f t="shared" si="1"/>
        <v>111.39</v>
      </c>
    </row>
    <row r="12" spans="1:16" x14ac:dyDescent="0.2">
      <c r="A12" s="3" t="s">
        <v>12</v>
      </c>
      <c r="B12" s="3" t="s">
        <v>32</v>
      </c>
      <c r="C12" s="3" t="s">
        <v>10</v>
      </c>
      <c r="D12" s="3">
        <v>18</v>
      </c>
      <c r="E12" s="9">
        <v>15.7</v>
      </c>
      <c r="F12" s="9">
        <f t="shared" si="0"/>
        <v>282.60000000000002</v>
      </c>
      <c r="G12" s="10">
        <v>46056</v>
      </c>
      <c r="H12" s="11" t="s">
        <v>13</v>
      </c>
      <c r="M12" s="2">
        <v>46064</v>
      </c>
      <c r="N12" s="3">
        <v>105</v>
      </c>
      <c r="O12" s="4">
        <v>1.41</v>
      </c>
      <c r="P12" s="4">
        <f t="shared" si="1"/>
        <v>148.05000000000001</v>
      </c>
    </row>
    <row r="13" spans="1:16" x14ac:dyDescent="0.2">
      <c r="A13" s="3" t="s">
        <v>9</v>
      </c>
      <c r="B13" s="3" t="s">
        <v>23</v>
      </c>
      <c r="C13" s="3" t="s">
        <v>10</v>
      </c>
      <c r="D13" s="3">
        <v>4</v>
      </c>
      <c r="E13" s="9">
        <v>81.89</v>
      </c>
      <c r="F13" s="9">
        <f t="shared" si="0"/>
        <v>327.56</v>
      </c>
      <c r="G13" s="10">
        <v>46057</v>
      </c>
      <c r="H13" s="12" t="s">
        <v>11</v>
      </c>
      <c r="M13" s="2">
        <v>46065</v>
      </c>
      <c r="N13" s="3">
        <v>99</v>
      </c>
      <c r="O13" s="4">
        <v>1.41</v>
      </c>
      <c r="P13" s="4">
        <f t="shared" si="1"/>
        <v>139.59</v>
      </c>
    </row>
    <row r="14" spans="1:16" x14ac:dyDescent="0.2">
      <c r="A14" s="3" t="s">
        <v>9</v>
      </c>
      <c r="B14" s="3" t="s">
        <v>26</v>
      </c>
      <c r="C14" s="3" t="s">
        <v>10</v>
      </c>
      <c r="D14" s="3">
        <v>5</v>
      </c>
      <c r="E14" s="9">
        <v>81.89</v>
      </c>
      <c r="F14" s="9">
        <f t="shared" si="0"/>
        <v>409.45</v>
      </c>
      <c r="G14" s="10">
        <v>46057</v>
      </c>
      <c r="H14" s="11" t="s">
        <v>11</v>
      </c>
      <c r="M14" s="2">
        <v>46066</v>
      </c>
      <c r="N14" s="3">
        <v>96</v>
      </c>
      <c r="O14" s="4">
        <v>1.41</v>
      </c>
      <c r="P14" s="4">
        <f t="shared" si="1"/>
        <v>135.36000000000001</v>
      </c>
    </row>
    <row r="15" spans="1:16" x14ac:dyDescent="0.2">
      <c r="A15" s="3" t="s">
        <v>9</v>
      </c>
      <c r="B15" s="3" t="s">
        <v>28</v>
      </c>
      <c r="C15" s="3" t="s">
        <v>10</v>
      </c>
      <c r="D15" s="3">
        <v>2</v>
      </c>
      <c r="E15" s="9">
        <v>400</v>
      </c>
      <c r="F15" s="9">
        <f t="shared" si="0"/>
        <v>800</v>
      </c>
      <c r="G15" s="10">
        <v>46057</v>
      </c>
      <c r="H15" s="12" t="s">
        <v>17</v>
      </c>
      <c r="M15" s="2">
        <v>46067</v>
      </c>
      <c r="N15" s="3">
        <v>96</v>
      </c>
      <c r="O15" s="4">
        <v>1.41</v>
      </c>
      <c r="P15" s="4">
        <f t="shared" si="1"/>
        <v>135.36000000000001</v>
      </c>
    </row>
    <row r="16" spans="1:16" x14ac:dyDescent="0.2">
      <c r="A16" s="3" t="s">
        <v>9</v>
      </c>
      <c r="B16" s="3" t="s">
        <v>28</v>
      </c>
      <c r="C16" s="3" t="s">
        <v>10</v>
      </c>
      <c r="D16" s="3">
        <v>1</v>
      </c>
      <c r="E16" s="9">
        <v>190</v>
      </c>
      <c r="F16" s="9">
        <f t="shared" si="0"/>
        <v>190</v>
      </c>
      <c r="G16" s="10">
        <v>46057</v>
      </c>
      <c r="H16" s="11" t="s">
        <v>21</v>
      </c>
      <c r="M16" s="2">
        <v>46068</v>
      </c>
      <c r="N16" s="3">
        <v>96</v>
      </c>
      <c r="O16" s="4">
        <v>1.41</v>
      </c>
      <c r="P16" s="4">
        <f t="shared" si="1"/>
        <v>135.36000000000001</v>
      </c>
    </row>
    <row r="17" spans="1:16" x14ac:dyDescent="0.2">
      <c r="A17" s="3" t="s">
        <v>12</v>
      </c>
      <c r="B17" s="3" t="s">
        <v>33</v>
      </c>
      <c r="C17" s="3" t="s">
        <v>10</v>
      </c>
      <c r="D17" s="3">
        <v>12</v>
      </c>
      <c r="E17" s="9">
        <v>15.7</v>
      </c>
      <c r="F17" s="9">
        <f t="shared" si="0"/>
        <v>188.4</v>
      </c>
      <c r="G17" s="10">
        <v>46057</v>
      </c>
      <c r="H17" s="12" t="s">
        <v>13</v>
      </c>
      <c r="M17" s="2">
        <v>46069</v>
      </c>
      <c r="N17" s="3">
        <v>85</v>
      </c>
      <c r="O17" s="4">
        <v>1.41</v>
      </c>
      <c r="P17" s="4">
        <f t="shared" si="1"/>
        <v>119.85</v>
      </c>
    </row>
    <row r="18" spans="1:16" x14ac:dyDescent="0.2">
      <c r="A18" s="3" t="s">
        <v>9</v>
      </c>
      <c r="B18" s="3" t="s">
        <v>26</v>
      </c>
      <c r="C18" s="3" t="s">
        <v>10</v>
      </c>
      <c r="D18" s="3">
        <v>4</v>
      </c>
      <c r="E18" s="9">
        <v>81.89</v>
      </c>
      <c r="F18" s="9">
        <f t="shared" si="0"/>
        <v>327.56</v>
      </c>
      <c r="G18" s="10">
        <v>46058</v>
      </c>
      <c r="H18" s="11" t="s">
        <v>11</v>
      </c>
      <c r="M18" s="2">
        <v>46070</v>
      </c>
      <c r="N18" s="3">
        <v>104</v>
      </c>
      <c r="O18" s="4">
        <v>1.41</v>
      </c>
      <c r="P18" s="4">
        <f t="shared" si="1"/>
        <v>146.63999999999999</v>
      </c>
    </row>
    <row r="19" spans="1:16" x14ac:dyDescent="0.2">
      <c r="A19" s="3" t="s">
        <v>9</v>
      </c>
      <c r="B19" s="3" t="s">
        <v>27</v>
      </c>
      <c r="C19" s="3" t="s">
        <v>10</v>
      </c>
      <c r="D19" s="3">
        <v>4</v>
      </c>
      <c r="E19" s="9">
        <v>81.89</v>
      </c>
      <c r="F19" s="9">
        <f t="shared" si="0"/>
        <v>327.56</v>
      </c>
      <c r="G19" s="10">
        <v>46058</v>
      </c>
      <c r="H19" s="12" t="s">
        <v>11</v>
      </c>
      <c r="M19" s="2">
        <v>46071</v>
      </c>
      <c r="N19" s="3">
        <v>128</v>
      </c>
      <c r="O19" s="4">
        <v>1.41</v>
      </c>
      <c r="P19" s="4">
        <f t="shared" si="1"/>
        <v>180.48</v>
      </c>
    </row>
    <row r="20" spans="1:16" x14ac:dyDescent="0.2">
      <c r="A20" s="3" t="s">
        <v>12</v>
      </c>
      <c r="B20" s="3" t="s">
        <v>34</v>
      </c>
      <c r="C20" s="3" t="s">
        <v>10</v>
      </c>
      <c r="D20" s="3">
        <v>8</v>
      </c>
      <c r="E20" s="9">
        <v>15.7</v>
      </c>
      <c r="F20" s="9">
        <f t="shared" si="0"/>
        <v>125.6</v>
      </c>
      <c r="G20" s="10">
        <v>46058</v>
      </c>
      <c r="H20" s="11" t="s">
        <v>13</v>
      </c>
      <c r="M20" s="2">
        <v>46072</v>
      </c>
      <c r="N20" s="3">
        <v>128</v>
      </c>
      <c r="O20" s="4">
        <v>1.41</v>
      </c>
      <c r="P20" s="4">
        <f t="shared" si="1"/>
        <v>180.48</v>
      </c>
    </row>
    <row r="21" spans="1:16" x14ac:dyDescent="0.2">
      <c r="A21" s="3" t="s">
        <v>9</v>
      </c>
      <c r="B21" s="3" t="s">
        <v>26</v>
      </c>
      <c r="C21" s="3" t="s">
        <v>10</v>
      </c>
      <c r="D21" s="3">
        <v>5</v>
      </c>
      <c r="E21" s="9">
        <v>81.89</v>
      </c>
      <c r="F21" s="9">
        <f t="shared" si="0"/>
        <v>409.45</v>
      </c>
      <c r="G21" s="10">
        <v>46059</v>
      </c>
      <c r="H21" s="12" t="s">
        <v>11</v>
      </c>
      <c r="M21" s="2">
        <v>46073</v>
      </c>
      <c r="N21" s="3">
        <v>128</v>
      </c>
      <c r="O21" s="4">
        <v>1.41</v>
      </c>
      <c r="P21" s="4">
        <f t="shared" si="1"/>
        <v>180.48</v>
      </c>
    </row>
    <row r="22" spans="1:16" x14ac:dyDescent="0.2">
      <c r="A22" s="3" t="s">
        <v>9</v>
      </c>
      <c r="B22" s="3" t="s">
        <v>27</v>
      </c>
      <c r="C22" s="3" t="s">
        <v>10</v>
      </c>
      <c r="D22" s="3">
        <v>5</v>
      </c>
      <c r="E22" s="9">
        <v>81.89</v>
      </c>
      <c r="F22" s="9">
        <f t="shared" si="0"/>
        <v>409.45</v>
      </c>
      <c r="G22" s="10">
        <v>46059</v>
      </c>
      <c r="H22" s="11" t="s">
        <v>11</v>
      </c>
      <c r="M22" s="2">
        <v>46074</v>
      </c>
      <c r="N22" s="3">
        <v>128</v>
      </c>
      <c r="O22" s="4">
        <v>1.41</v>
      </c>
      <c r="P22" s="4">
        <f t="shared" si="1"/>
        <v>180.48</v>
      </c>
    </row>
    <row r="23" spans="1:16" x14ac:dyDescent="0.2">
      <c r="A23" s="3" t="s">
        <v>12</v>
      </c>
      <c r="B23" s="3" t="s">
        <v>34</v>
      </c>
      <c r="C23" s="3" t="s">
        <v>10</v>
      </c>
      <c r="D23" s="3">
        <v>10</v>
      </c>
      <c r="E23" s="9">
        <v>15.7</v>
      </c>
      <c r="F23" s="9">
        <f t="shared" si="0"/>
        <v>157</v>
      </c>
      <c r="G23" s="10">
        <v>46059</v>
      </c>
      <c r="H23" s="12" t="s">
        <v>13</v>
      </c>
      <c r="M23" s="2">
        <v>46075</v>
      </c>
      <c r="N23" s="3">
        <v>128</v>
      </c>
      <c r="O23" s="4">
        <v>1.41</v>
      </c>
      <c r="P23" s="4">
        <f t="shared" si="1"/>
        <v>180.48</v>
      </c>
    </row>
    <row r="24" spans="1:16" x14ac:dyDescent="0.2">
      <c r="A24" s="3" t="s">
        <v>35</v>
      </c>
      <c r="B24" s="3" t="s">
        <v>27</v>
      </c>
      <c r="C24" s="3" t="s">
        <v>10</v>
      </c>
      <c r="D24" s="3">
        <v>2</v>
      </c>
      <c r="E24" s="9">
        <v>81.89</v>
      </c>
      <c r="F24" s="9">
        <f t="shared" si="0"/>
        <v>163.78</v>
      </c>
      <c r="G24" s="10">
        <v>46062</v>
      </c>
      <c r="H24" s="11" t="s">
        <v>11</v>
      </c>
      <c r="M24" s="2">
        <v>46076</v>
      </c>
      <c r="N24" s="3">
        <v>111</v>
      </c>
      <c r="O24" s="4">
        <v>1.41</v>
      </c>
      <c r="P24" s="4">
        <f t="shared" si="1"/>
        <v>156.51</v>
      </c>
    </row>
    <row r="25" spans="1:16" x14ac:dyDescent="0.2">
      <c r="A25" s="3" t="s">
        <v>35</v>
      </c>
      <c r="B25" s="3" t="s">
        <v>28</v>
      </c>
      <c r="C25" s="3" t="s">
        <v>10</v>
      </c>
      <c r="D25" s="3">
        <v>3</v>
      </c>
      <c r="E25" s="9">
        <v>94.17</v>
      </c>
      <c r="F25" s="9">
        <f t="shared" si="0"/>
        <v>282.51</v>
      </c>
      <c r="G25" s="10">
        <v>46062</v>
      </c>
      <c r="H25" s="12" t="s">
        <v>19</v>
      </c>
      <c r="M25" s="2">
        <v>46077</v>
      </c>
      <c r="N25" s="3">
        <v>93</v>
      </c>
      <c r="O25" s="4">
        <v>1.41</v>
      </c>
      <c r="P25" s="4">
        <f t="shared" si="1"/>
        <v>131.13</v>
      </c>
    </row>
    <row r="26" spans="1:16" x14ac:dyDescent="0.2">
      <c r="A26" s="3" t="s">
        <v>35</v>
      </c>
      <c r="B26" s="3" t="s">
        <v>29</v>
      </c>
      <c r="C26" s="3" t="s">
        <v>10</v>
      </c>
      <c r="D26" s="3">
        <v>2</v>
      </c>
      <c r="E26" s="9">
        <v>94.17</v>
      </c>
      <c r="F26" s="9">
        <f t="shared" si="0"/>
        <v>188.34</v>
      </c>
      <c r="G26" s="10">
        <v>46062</v>
      </c>
      <c r="H26" s="11" t="s">
        <v>19</v>
      </c>
      <c r="M26" s="2">
        <v>46078</v>
      </c>
      <c r="N26" s="3">
        <v>78</v>
      </c>
      <c r="O26" s="4">
        <v>1.41</v>
      </c>
      <c r="P26" s="4">
        <f t="shared" si="1"/>
        <v>109.98</v>
      </c>
    </row>
    <row r="27" spans="1:16" x14ac:dyDescent="0.2">
      <c r="A27" s="3" t="s">
        <v>35</v>
      </c>
      <c r="B27" s="3" t="s">
        <v>29</v>
      </c>
      <c r="C27" s="3" t="s">
        <v>10</v>
      </c>
      <c r="D27" s="3">
        <v>2</v>
      </c>
      <c r="E27" s="9">
        <v>81.89</v>
      </c>
      <c r="F27" s="9">
        <f t="shared" si="0"/>
        <v>163.78</v>
      </c>
      <c r="G27" s="10">
        <v>46062</v>
      </c>
      <c r="H27" s="12" t="s">
        <v>11</v>
      </c>
      <c r="M27" s="2">
        <v>46079</v>
      </c>
      <c r="N27" s="3">
        <v>67</v>
      </c>
      <c r="O27" s="4">
        <v>1.41</v>
      </c>
      <c r="P27" s="4">
        <f t="shared" si="1"/>
        <v>94.47</v>
      </c>
    </row>
    <row r="28" spans="1:16" x14ac:dyDescent="0.2">
      <c r="A28" s="3" t="s">
        <v>12</v>
      </c>
      <c r="B28" s="3" t="s">
        <v>36</v>
      </c>
      <c r="C28" s="3" t="s">
        <v>10</v>
      </c>
      <c r="D28" s="3">
        <v>9</v>
      </c>
      <c r="E28" s="9">
        <v>15.7</v>
      </c>
      <c r="F28" s="9">
        <f t="shared" si="0"/>
        <v>141.30000000000001</v>
      </c>
      <c r="G28" s="10">
        <v>46062</v>
      </c>
      <c r="H28" s="11" t="s">
        <v>13</v>
      </c>
      <c r="M28" s="2">
        <v>46080</v>
      </c>
      <c r="N28" s="3">
        <v>56</v>
      </c>
      <c r="O28" s="4">
        <v>1.41</v>
      </c>
      <c r="P28" s="4">
        <f t="shared" si="1"/>
        <v>78.959999999999994</v>
      </c>
    </row>
    <row r="29" spans="1:16" x14ac:dyDescent="0.2">
      <c r="A29" s="3" t="s">
        <v>35</v>
      </c>
      <c r="B29" s="3" t="s">
        <v>26</v>
      </c>
      <c r="C29" s="3" t="s">
        <v>10</v>
      </c>
      <c r="D29" s="3">
        <v>3</v>
      </c>
      <c r="E29" s="9">
        <v>81.89</v>
      </c>
      <c r="F29" s="9">
        <f t="shared" si="0"/>
        <v>245.67</v>
      </c>
      <c r="G29" s="10">
        <v>46063</v>
      </c>
      <c r="H29" s="12" t="s">
        <v>11</v>
      </c>
      <c r="M29" s="2">
        <v>46081</v>
      </c>
      <c r="N29" s="3">
        <v>56</v>
      </c>
      <c r="O29" s="4">
        <v>1.41</v>
      </c>
      <c r="P29" s="4">
        <f t="shared" si="1"/>
        <v>78.959999999999994</v>
      </c>
    </row>
    <row r="30" spans="1:16" x14ac:dyDescent="0.2">
      <c r="A30" s="3" t="s">
        <v>35</v>
      </c>
      <c r="B30" s="3" t="s">
        <v>28</v>
      </c>
      <c r="C30" s="3" t="s">
        <v>10</v>
      </c>
      <c r="D30" s="3">
        <v>2</v>
      </c>
      <c r="E30" s="9">
        <v>81.89</v>
      </c>
      <c r="F30" s="9">
        <f t="shared" si="0"/>
        <v>163.78</v>
      </c>
      <c r="G30" s="10">
        <v>46063</v>
      </c>
      <c r="H30" s="11" t="s">
        <v>11</v>
      </c>
    </row>
    <row r="31" spans="1:16" x14ac:dyDescent="0.2">
      <c r="A31" s="3" t="s">
        <v>12</v>
      </c>
      <c r="B31" s="3" t="s">
        <v>37</v>
      </c>
      <c r="C31" s="3" t="s">
        <v>10</v>
      </c>
      <c r="D31" s="3">
        <v>5</v>
      </c>
      <c r="E31" s="9">
        <v>15.7</v>
      </c>
      <c r="F31" s="9">
        <f t="shared" si="0"/>
        <v>78.5</v>
      </c>
      <c r="G31" s="10">
        <v>46063</v>
      </c>
      <c r="H31" s="12" t="s">
        <v>13</v>
      </c>
    </row>
    <row r="32" spans="1:16" x14ac:dyDescent="0.2">
      <c r="A32" s="3" t="s">
        <v>15</v>
      </c>
      <c r="B32" s="3" t="s">
        <v>38</v>
      </c>
      <c r="C32" s="3" t="s">
        <v>10</v>
      </c>
      <c r="D32" s="3">
        <v>33</v>
      </c>
      <c r="E32" s="9">
        <v>12.33</v>
      </c>
      <c r="F32" s="9">
        <f t="shared" si="0"/>
        <v>406.89</v>
      </c>
      <c r="G32" s="10">
        <v>46055</v>
      </c>
      <c r="H32" s="11" t="s">
        <v>13</v>
      </c>
    </row>
    <row r="33" spans="1:8" x14ac:dyDescent="0.2">
      <c r="A33" s="3" t="s">
        <v>15</v>
      </c>
      <c r="B33" s="3" t="s">
        <v>39</v>
      </c>
      <c r="C33" s="3" t="s">
        <v>10</v>
      </c>
      <c r="D33" s="3">
        <v>33</v>
      </c>
      <c r="E33" s="9">
        <v>12.33</v>
      </c>
      <c r="F33" s="9">
        <f t="shared" si="0"/>
        <v>406.89</v>
      </c>
      <c r="G33" s="10">
        <v>46063</v>
      </c>
      <c r="H33" s="12" t="s">
        <v>13</v>
      </c>
    </row>
    <row r="34" spans="1:8" x14ac:dyDescent="0.2">
      <c r="A34" s="3" t="s">
        <v>35</v>
      </c>
      <c r="B34" s="3" t="s">
        <v>25</v>
      </c>
      <c r="C34" s="3" t="s">
        <v>10</v>
      </c>
      <c r="D34" s="3">
        <v>4</v>
      </c>
      <c r="E34" s="9">
        <v>81.89</v>
      </c>
      <c r="F34" s="9">
        <f t="shared" si="0"/>
        <v>327.56</v>
      </c>
      <c r="G34" s="10">
        <v>46064</v>
      </c>
      <c r="H34" s="11" t="s">
        <v>11</v>
      </c>
    </row>
    <row r="35" spans="1:8" x14ac:dyDescent="0.2">
      <c r="A35" s="3" t="s">
        <v>35</v>
      </c>
      <c r="B35" s="3" t="s">
        <v>28</v>
      </c>
      <c r="C35" s="3" t="s">
        <v>10</v>
      </c>
      <c r="D35" s="3">
        <v>2</v>
      </c>
      <c r="E35" s="9">
        <v>81.89</v>
      </c>
      <c r="F35" s="9">
        <f t="shared" si="0"/>
        <v>163.78</v>
      </c>
      <c r="G35" s="10">
        <v>46064</v>
      </c>
      <c r="H35" s="12" t="s">
        <v>11</v>
      </c>
    </row>
    <row r="36" spans="1:8" x14ac:dyDescent="0.2">
      <c r="A36" s="3" t="s">
        <v>12</v>
      </c>
      <c r="B36" s="3" t="s">
        <v>40</v>
      </c>
      <c r="C36" s="3" t="s">
        <v>10</v>
      </c>
      <c r="D36" s="3">
        <v>6</v>
      </c>
      <c r="E36" s="9">
        <v>15.7</v>
      </c>
      <c r="F36" s="9">
        <f t="shared" si="0"/>
        <v>94.2</v>
      </c>
      <c r="G36" s="10">
        <v>46064</v>
      </c>
      <c r="H36" s="11" t="s">
        <v>13</v>
      </c>
    </row>
    <row r="37" spans="1:8" x14ac:dyDescent="0.2">
      <c r="A37" s="3" t="s">
        <v>35</v>
      </c>
      <c r="B37" s="3" t="s">
        <v>28</v>
      </c>
      <c r="C37" s="3" t="s">
        <v>10</v>
      </c>
      <c r="D37" s="3">
        <v>2</v>
      </c>
      <c r="E37" s="9">
        <v>81.89</v>
      </c>
      <c r="F37" s="9">
        <f t="shared" si="0"/>
        <v>163.78</v>
      </c>
      <c r="G37" s="10">
        <v>46066</v>
      </c>
      <c r="H37" s="12" t="s">
        <v>11</v>
      </c>
    </row>
    <row r="38" spans="1:8" x14ac:dyDescent="0.2">
      <c r="A38" s="3" t="s">
        <v>35</v>
      </c>
      <c r="B38" s="3" t="s">
        <v>29</v>
      </c>
      <c r="C38" s="3" t="s">
        <v>10</v>
      </c>
      <c r="D38" s="3">
        <v>1</v>
      </c>
      <c r="E38" s="9">
        <v>81.89</v>
      </c>
      <c r="F38" s="9">
        <f t="shared" si="0"/>
        <v>81.89</v>
      </c>
      <c r="G38" s="10">
        <v>46066</v>
      </c>
      <c r="H38" s="11" t="s">
        <v>11</v>
      </c>
    </row>
    <row r="39" spans="1:8" x14ac:dyDescent="0.2">
      <c r="A39" s="3" t="s">
        <v>12</v>
      </c>
      <c r="B39" s="3" t="s">
        <v>41</v>
      </c>
      <c r="C39" s="3" t="s">
        <v>10</v>
      </c>
      <c r="D39" s="3">
        <v>3</v>
      </c>
      <c r="E39" s="9">
        <v>15.7</v>
      </c>
      <c r="F39" s="9">
        <f t="shared" si="0"/>
        <v>47.1</v>
      </c>
      <c r="G39" s="10">
        <v>46066</v>
      </c>
      <c r="H39" s="12" t="s">
        <v>13</v>
      </c>
    </row>
    <row r="40" spans="1:8" x14ac:dyDescent="0.2">
      <c r="A40" s="3" t="s">
        <v>35</v>
      </c>
      <c r="B40" s="3" t="s">
        <v>25</v>
      </c>
      <c r="C40" s="3" t="s">
        <v>10</v>
      </c>
      <c r="D40" s="3">
        <v>3</v>
      </c>
      <c r="E40" s="9">
        <v>81.89</v>
      </c>
      <c r="F40" s="9">
        <f t="shared" si="0"/>
        <v>245.67</v>
      </c>
      <c r="G40" s="10">
        <v>46065</v>
      </c>
      <c r="H40" s="11" t="s">
        <v>11</v>
      </c>
    </row>
    <row r="41" spans="1:8" x14ac:dyDescent="0.2">
      <c r="A41" s="3" t="s">
        <v>35</v>
      </c>
      <c r="B41" s="3" t="s">
        <v>27</v>
      </c>
      <c r="C41" s="3" t="s">
        <v>10</v>
      </c>
      <c r="D41" s="3">
        <v>1</v>
      </c>
      <c r="E41" s="9">
        <v>81.89</v>
      </c>
      <c r="F41" s="9">
        <f t="shared" si="0"/>
        <v>81.89</v>
      </c>
      <c r="G41" s="10">
        <v>46065</v>
      </c>
      <c r="H41" s="12" t="s">
        <v>11</v>
      </c>
    </row>
    <row r="42" spans="1:8" x14ac:dyDescent="0.2">
      <c r="A42" s="3" t="s">
        <v>35</v>
      </c>
      <c r="B42" s="3" t="s">
        <v>29</v>
      </c>
      <c r="C42" s="3" t="s">
        <v>10</v>
      </c>
      <c r="D42" s="3">
        <v>2</v>
      </c>
      <c r="E42" s="9">
        <v>81.89</v>
      </c>
      <c r="F42" s="9">
        <f>ROUND(D42*E42,2)</f>
        <v>163.78</v>
      </c>
      <c r="G42" s="10">
        <v>46065</v>
      </c>
      <c r="H42" s="11" t="s">
        <v>11</v>
      </c>
    </row>
    <row r="43" spans="1:8" x14ac:dyDescent="0.2">
      <c r="A43" s="3" t="s">
        <v>12</v>
      </c>
      <c r="B43" s="3" t="s">
        <v>42</v>
      </c>
      <c r="C43" s="3" t="s">
        <v>10</v>
      </c>
      <c r="D43" s="3">
        <v>6</v>
      </c>
      <c r="E43" s="9">
        <v>15.7</v>
      </c>
      <c r="F43" s="9">
        <f>ROUND(D43*E43,2)</f>
        <v>94.2</v>
      </c>
      <c r="G43" s="10">
        <v>46065</v>
      </c>
      <c r="H43" s="12" t="s">
        <v>13</v>
      </c>
    </row>
    <row r="44" spans="1:8" x14ac:dyDescent="0.2">
      <c r="A44" s="3" t="s">
        <v>35</v>
      </c>
      <c r="B44" s="3" t="s">
        <v>39</v>
      </c>
      <c r="C44" s="3" t="s">
        <v>10</v>
      </c>
      <c r="D44" s="3">
        <v>5</v>
      </c>
      <c r="E44" s="9">
        <v>81.89</v>
      </c>
      <c r="F44" s="9">
        <f t="shared" si="0"/>
        <v>409.45</v>
      </c>
      <c r="G44" s="10">
        <v>46069</v>
      </c>
      <c r="H44" s="11" t="s">
        <v>11</v>
      </c>
    </row>
    <row r="45" spans="1:8" x14ac:dyDescent="0.2">
      <c r="A45" s="3" t="s">
        <v>35</v>
      </c>
      <c r="B45" s="3" t="s">
        <v>39</v>
      </c>
      <c r="C45" s="3" t="s">
        <v>10</v>
      </c>
      <c r="D45" s="3">
        <v>6</v>
      </c>
      <c r="E45" s="9">
        <v>81.89</v>
      </c>
      <c r="F45" s="9">
        <f t="shared" si="0"/>
        <v>491.34</v>
      </c>
      <c r="G45" s="10">
        <v>46069</v>
      </c>
      <c r="H45" s="12" t="s">
        <v>11</v>
      </c>
    </row>
    <row r="46" spans="1:8" x14ac:dyDescent="0.2">
      <c r="A46" s="3" t="s">
        <v>12</v>
      </c>
      <c r="B46" s="3" t="s">
        <v>39</v>
      </c>
      <c r="C46" s="3" t="s">
        <v>10</v>
      </c>
      <c r="D46" s="3">
        <v>11</v>
      </c>
      <c r="E46" s="9">
        <v>15.7</v>
      </c>
      <c r="F46" s="9">
        <f t="shared" si="0"/>
        <v>172.7</v>
      </c>
      <c r="G46" s="10">
        <v>46069</v>
      </c>
      <c r="H46" s="11" t="s">
        <v>13</v>
      </c>
    </row>
    <row r="47" spans="1:8" x14ac:dyDescent="0.2">
      <c r="A47" s="3" t="s">
        <v>35</v>
      </c>
      <c r="B47" s="3" t="s">
        <v>29</v>
      </c>
      <c r="C47" s="3" t="s">
        <v>10</v>
      </c>
      <c r="D47" s="3">
        <v>1</v>
      </c>
      <c r="E47" s="9">
        <v>400</v>
      </c>
      <c r="F47" s="9">
        <f t="shared" si="0"/>
        <v>400</v>
      </c>
      <c r="G47" s="10">
        <v>46070</v>
      </c>
      <c r="H47" s="12" t="s">
        <v>14</v>
      </c>
    </row>
    <row r="48" spans="1:8" x14ac:dyDescent="0.2">
      <c r="A48" s="3" t="s">
        <v>35</v>
      </c>
      <c r="B48" s="3" t="s">
        <v>39</v>
      </c>
      <c r="C48" s="3" t="s">
        <v>10</v>
      </c>
      <c r="D48" s="3">
        <v>6</v>
      </c>
      <c r="E48" s="9">
        <v>400</v>
      </c>
      <c r="F48" s="9">
        <f t="shared" si="0"/>
        <v>2400</v>
      </c>
      <c r="G48" s="10">
        <v>46070</v>
      </c>
      <c r="H48" s="11" t="s">
        <v>14</v>
      </c>
    </row>
    <row r="49" spans="1:8" x14ac:dyDescent="0.2">
      <c r="A49" s="3" t="s">
        <v>35</v>
      </c>
      <c r="B49" s="3" t="s">
        <v>39</v>
      </c>
      <c r="C49" s="3" t="s">
        <v>10</v>
      </c>
      <c r="D49" s="3">
        <v>2</v>
      </c>
      <c r="E49" s="9">
        <v>94.17</v>
      </c>
      <c r="F49" s="9">
        <f t="shared" si="0"/>
        <v>188.34</v>
      </c>
      <c r="G49" s="10">
        <v>46070</v>
      </c>
      <c r="H49" s="12" t="s">
        <v>19</v>
      </c>
    </row>
    <row r="50" spans="1:8" x14ac:dyDescent="0.2">
      <c r="A50" s="3" t="s">
        <v>35</v>
      </c>
      <c r="B50" s="3" t="s">
        <v>39</v>
      </c>
      <c r="C50" s="3" t="s">
        <v>10</v>
      </c>
      <c r="D50" s="3">
        <v>5</v>
      </c>
      <c r="E50" s="9">
        <v>81.89</v>
      </c>
      <c r="F50" s="9">
        <f t="shared" si="0"/>
        <v>409.45</v>
      </c>
      <c r="G50" s="10">
        <v>46070</v>
      </c>
      <c r="H50" s="11" t="s">
        <v>11</v>
      </c>
    </row>
    <row r="51" spans="1:8" x14ac:dyDescent="0.2">
      <c r="A51" s="3" t="s">
        <v>12</v>
      </c>
      <c r="B51" s="3" t="s">
        <v>43</v>
      </c>
      <c r="C51" s="3" t="s">
        <v>10</v>
      </c>
      <c r="D51" s="3">
        <v>14</v>
      </c>
      <c r="E51" s="9">
        <v>15.7</v>
      </c>
      <c r="F51" s="9">
        <f t="shared" si="0"/>
        <v>219.8</v>
      </c>
      <c r="G51" s="10">
        <v>46070</v>
      </c>
      <c r="H51" s="12" t="s">
        <v>13</v>
      </c>
    </row>
    <row r="52" spans="1:8" x14ac:dyDescent="0.2">
      <c r="A52" s="3" t="s">
        <v>15</v>
      </c>
      <c r="B52" s="3" t="s">
        <v>44</v>
      </c>
      <c r="C52" s="3" t="s">
        <v>10</v>
      </c>
      <c r="D52" s="3">
        <v>33</v>
      </c>
      <c r="E52" s="9">
        <v>12.33</v>
      </c>
      <c r="F52" s="9">
        <f t="shared" si="0"/>
        <v>406.89</v>
      </c>
      <c r="G52" s="10">
        <v>46069</v>
      </c>
      <c r="H52" s="11" t="s">
        <v>13</v>
      </c>
    </row>
    <row r="53" spans="1:8" x14ac:dyDescent="0.2">
      <c r="A53" s="3" t="s">
        <v>15</v>
      </c>
      <c r="B53" s="3" t="s">
        <v>45</v>
      </c>
      <c r="C53" s="3" t="s">
        <v>10</v>
      </c>
      <c r="D53" s="3">
        <v>11</v>
      </c>
      <c r="E53" s="9">
        <v>12.33</v>
      </c>
      <c r="F53" s="9">
        <f t="shared" si="0"/>
        <v>135.63</v>
      </c>
      <c r="G53" s="10">
        <v>46070</v>
      </c>
      <c r="H53" s="12" t="s">
        <v>13</v>
      </c>
    </row>
    <row r="54" spans="1:8" x14ac:dyDescent="0.2">
      <c r="A54" s="3" t="s">
        <v>15</v>
      </c>
      <c r="B54" s="3" t="s">
        <v>46</v>
      </c>
      <c r="C54" s="3" t="s">
        <v>10</v>
      </c>
      <c r="D54" s="3">
        <v>20</v>
      </c>
      <c r="E54" s="9">
        <v>12.33</v>
      </c>
      <c r="F54" s="9">
        <f t="shared" si="0"/>
        <v>246.6</v>
      </c>
      <c r="G54" s="10">
        <v>46070</v>
      </c>
      <c r="H54" s="11" t="s">
        <v>13</v>
      </c>
    </row>
    <row r="55" spans="1:8" x14ac:dyDescent="0.2">
      <c r="A55" s="3" t="s">
        <v>35</v>
      </c>
      <c r="B55" s="3" t="s">
        <v>39</v>
      </c>
      <c r="C55" s="3" t="s">
        <v>10</v>
      </c>
      <c r="D55" s="3">
        <v>9</v>
      </c>
      <c r="E55" s="9">
        <v>81.89</v>
      </c>
      <c r="F55" s="9">
        <f t="shared" si="0"/>
        <v>737.01</v>
      </c>
      <c r="G55" s="10">
        <v>46071</v>
      </c>
      <c r="H55" s="12" t="s">
        <v>11</v>
      </c>
    </row>
    <row r="56" spans="1:8" x14ac:dyDescent="0.2">
      <c r="A56" s="3" t="s">
        <v>12</v>
      </c>
      <c r="B56" s="3" t="s">
        <v>39</v>
      </c>
      <c r="C56" s="3" t="s">
        <v>10</v>
      </c>
      <c r="D56" s="3">
        <v>9</v>
      </c>
      <c r="E56" s="9">
        <v>15.7</v>
      </c>
      <c r="F56" s="9">
        <f t="shared" si="0"/>
        <v>141.30000000000001</v>
      </c>
      <c r="G56" s="10">
        <v>46071</v>
      </c>
      <c r="H56" s="11" t="s">
        <v>13</v>
      </c>
    </row>
    <row r="57" spans="1:8" x14ac:dyDescent="0.2">
      <c r="A57" s="3" t="s">
        <v>12</v>
      </c>
      <c r="B57" s="3" t="s">
        <v>44</v>
      </c>
      <c r="C57" s="3" t="s">
        <v>10</v>
      </c>
      <c r="D57" s="3">
        <v>17</v>
      </c>
      <c r="E57" s="9">
        <v>15.7</v>
      </c>
      <c r="F57" s="9">
        <f t="shared" si="0"/>
        <v>266.89999999999998</v>
      </c>
      <c r="G57" s="10">
        <v>46076</v>
      </c>
      <c r="H57" s="11" t="s">
        <v>13</v>
      </c>
    </row>
    <row r="58" spans="1:8" x14ac:dyDescent="0.2">
      <c r="A58" s="3" t="s">
        <v>35</v>
      </c>
      <c r="B58" s="3" t="s">
        <v>44</v>
      </c>
      <c r="C58" s="3" t="s">
        <v>10</v>
      </c>
      <c r="D58" s="3">
        <v>17</v>
      </c>
      <c r="E58" s="9">
        <v>81.89</v>
      </c>
      <c r="F58" s="9">
        <f t="shared" si="0"/>
        <v>1392.13</v>
      </c>
      <c r="G58" s="10">
        <v>46076</v>
      </c>
      <c r="H58" s="11" t="s">
        <v>11</v>
      </c>
    </row>
    <row r="59" spans="1:8" x14ac:dyDescent="0.2">
      <c r="A59" s="3" t="s">
        <v>12</v>
      </c>
      <c r="B59" s="3" t="s">
        <v>47</v>
      </c>
      <c r="C59" s="3" t="s">
        <v>10</v>
      </c>
      <c r="D59" s="3">
        <v>18</v>
      </c>
      <c r="E59" s="9">
        <v>15.7</v>
      </c>
      <c r="F59" s="9">
        <f t="shared" si="0"/>
        <v>282.60000000000002</v>
      </c>
      <c r="G59" s="10">
        <v>46077</v>
      </c>
      <c r="H59" s="11" t="s">
        <v>13</v>
      </c>
    </row>
    <row r="60" spans="1:8" x14ac:dyDescent="0.2">
      <c r="A60" s="3" t="s">
        <v>35</v>
      </c>
      <c r="B60" s="3" t="s">
        <v>38</v>
      </c>
      <c r="C60" s="3" t="s">
        <v>10</v>
      </c>
      <c r="D60" s="3">
        <v>5</v>
      </c>
      <c r="E60" s="9">
        <v>400</v>
      </c>
      <c r="F60" s="9">
        <f t="shared" si="0"/>
        <v>2000</v>
      </c>
      <c r="G60" s="10">
        <v>46077</v>
      </c>
      <c r="H60" s="11" t="s">
        <v>14</v>
      </c>
    </row>
    <row r="61" spans="1:8" x14ac:dyDescent="0.2">
      <c r="A61" s="3" t="s">
        <v>35</v>
      </c>
      <c r="B61" s="3" t="s">
        <v>44</v>
      </c>
      <c r="C61" s="3" t="s">
        <v>10</v>
      </c>
      <c r="D61" s="3">
        <v>1</v>
      </c>
      <c r="E61" s="9">
        <v>190</v>
      </c>
      <c r="F61" s="9">
        <f t="shared" si="0"/>
        <v>190</v>
      </c>
      <c r="G61" s="10">
        <v>46077</v>
      </c>
      <c r="H61" s="11" t="s">
        <v>21</v>
      </c>
    </row>
    <row r="62" spans="1:8" x14ac:dyDescent="0.2">
      <c r="A62" s="3" t="s">
        <v>35</v>
      </c>
      <c r="B62" s="3" t="s">
        <v>44</v>
      </c>
      <c r="C62" s="3" t="s">
        <v>10</v>
      </c>
      <c r="D62" s="3">
        <v>8</v>
      </c>
      <c r="E62" s="9">
        <v>94.17</v>
      </c>
      <c r="F62" s="9">
        <f t="shared" si="0"/>
        <v>753.36</v>
      </c>
      <c r="G62" s="10">
        <v>46077</v>
      </c>
      <c r="H62" s="11" t="s">
        <v>19</v>
      </c>
    </row>
    <row r="63" spans="1:8" x14ac:dyDescent="0.2">
      <c r="A63" s="3" t="s">
        <v>35</v>
      </c>
      <c r="B63" s="3" t="s">
        <v>38</v>
      </c>
      <c r="C63" s="3" t="s">
        <v>10</v>
      </c>
      <c r="D63" s="3">
        <v>4</v>
      </c>
      <c r="E63" s="9">
        <v>81.89</v>
      </c>
      <c r="F63" s="9">
        <f t="shared" si="0"/>
        <v>327.56</v>
      </c>
      <c r="G63" s="10">
        <v>46077</v>
      </c>
      <c r="H63" s="11" t="s">
        <v>11</v>
      </c>
    </row>
    <row r="64" spans="1:8" x14ac:dyDescent="0.2">
      <c r="A64" s="3" t="s">
        <v>12</v>
      </c>
      <c r="B64" s="3" t="s">
        <v>48</v>
      </c>
      <c r="C64" s="3" t="s">
        <v>10</v>
      </c>
      <c r="D64" s="3">
        <v>15</v>
      </c>
      <c r="E64" s="9">
        <v>15.7</v>
      </c>
      <c r="F64" s="9">
        <f t="shared" si="0"/>
        <v>235.5</v>
      </c>
      <c r="G64" s="10">
        <v>46078</v>
      </c>
      <c r="H64" s="11" t="s">
        <v>13</v>
      </c>
    </row>
    <row r="65" spans="1:8" x14ac:dyDescent="0.2">
      <c r="A65" s="3" t="s">
        <v>35</v>
      </c>
      <c r="B65" s="3" t="s">
        <v>48</v>
      </c>
      <c r="C65" s="3" t="s">
        <v>10</v>
      </c>
      <c r="D65" s="3">
        <v>5</v>
      </c>
      <c r="E65" s="9">
        <v>400</v>
      </c>
      <c r="F65" s="9">
        <f t="shared" si="0"/>
        <v>2000</v>
      </c>
      <c r="G65" s="10">
        <v>46078</v>
      </c>
      <c r="H65" s="11" t="s">
        <v>14</v>
      </c>
    </row>
    <row r="66" spans="1:8" x14ac:dyDescent="0.2">
      <c r="A66" s="3" t="s">
        <v>35</v>
      </c>
      <c r="B66" s="3" t="s">
        <v>38</v>
      </c>
      <c r="C66" s="3" t="s">
        <v>10</v>
      </c>
      <c r="D66" s="3">
        <v>5</v>
      </c>
      <c r="E66" s="9">
        <v>81.89</v>
      </c>
      <c r="F66" s="9">
        <f t="shared" ref="F66:F119" si="2">ROUND(D66*E66,2)</f>
        <v>409.45</v>
      </c>
      <c r="G66" s="10">
        <v>46078</v>
      </c>
      <c r="H66" s="11" t="s">
        <v>11</v>
      </c>
    </row>
    <row r="67" spans="1:8" x14ac:dyDescent="0.2">
      <c r="A67" s="3" t="s">
        <v>35</v>
      </c>
      <c r="B67" s="3" t="s">
        <v>38</v>
      </c>
      <c r="C67" s="3" t="s">
        <v>10</v>
      </c>
      <c r="D67" s="3">
        <v>5</v>
      </c>
      <c r="E67" s="9">
        <v>81.89</v>
      </c>
      <c r="F67" s="9">
        <f t="shared" si="2"/>
        <v>409.45</v>
      </c>
      <c r="G67" s="10">
        <v>46078</v>
      </c>
      <c r="H67" s="11" t="s">
        <v>11</v>
      </c>
    </row>
    <row r="68" spans="1:8" x14ac:dyDescent="0.2">
      <c r="A68" s="3" t="s">
        <v>12</v>
      </c>
      <c r="B68" s="3" t="s">
        <v>49</v>
      </c>
      <c r="C68" s="3" t="s">
        <v>10</v>
      </c>
      <c r="D68" s="3">
        <v>11</v>
      </c>
      <c r="E68" s="9">
        <v>15.7</v>
      </c>
      <c r="F68" s="9">
        <f t="shared" si="2"/>
        <v>172.7</v>
      </c>
      <c r="G68" s="10">
        <v>46079</v>
      </c>
      <c r="H68" s="11" t="s">
        <v>13</v>
      </c>
    </row>
    <row r="69" spans="1:8" x14ac:dyDescent="0.2">
      <c r="A69" s="3" t="s">
        <v>35</v>
      </c>
      <c r="B69" s="3" t="s">
        <v>49</v>
      </c>
      <c r="C69" s="3" t="s">
        <v>10</v>
      </c>
      <c r="D69" s="3">
        <v>11</v>
      </c>
      <c r="E69" s="9">
        <v>81.89</v>
      </c>
      <c r="F69" s="9">
        <f t="shared" si="2"/>
        <v>900.79</v>
      </c>
      <c r="G69" s="10">
        <v>46079</v>
      </c>
      <c r="H69" s="11" t="s">
        <v>11</v>
      </c>
    </row>
    <row r="70" spans="1:8" x14ac:dyDescent="0.2">
      <c r="A70" s="3" t="s">
        <v>12</v>
      </c>
      <c r="B70" s="3" t="s">
        <v>49</v>
      </c>
      <c r="C70" s="3" t="s">
        <v>10</v>
      </c>
      <c r="D70" s="3">
        <v>11</v>
      </c>
      <c r="E70" s="9">
        <v>15.7</v>
      </c>
      <c r="F70" s="9">
        <f t="shared" si="2"/>
        <v>172.7</v>
      </c>
      <c r="G70" s="10">
        <v>46080</v>
      </c>
      <c r="H70" s="11" t="s">
        <v>13</v>
      </c>
    </row>
    <row r="71" spans="1:8" x14ac:dyDescent="0.2">
      <c r="A71" s="13" t="s">
        <v>35</v>
      </c>
      <c r="B71" s="13" t="s">
        <v>49</v>
      </c>
      <c r="C71" s="13" t="s">
        <v>10</v>
      </c>
      <c r="D71" s="13">
        <v>11</v>
      </c>
      <c r="E71" s="14">
        <v>81.89</v>
      </c>
      <c r="F71" s="14">
        <f t="shared" si="2"/>
        <v>900.79</v>
      </c>
      <c r="G71" s="15">
        <v>46080</v>
      </c>
      <c r="H71" s="16" t="s">
        <v>11</v>
      </c>
    </row>
    <row r="72" spans="1:8" x14ac:dyDescent="0.2">
      <c r="A72" s="3" t="s">
        <v>16</v>
      </c>
      <c r="B72" s="17"/>
      <c r="C72" s="17" t="s">
        <v>10</v>
      </c>
      <c r="D72" s="17">
        <v>8</v>
      </c>
      <c r="E72" s="9">
        <v>500</v>
      </c>
      <c r="F72" s="9">
        <f t="shared" si="2"/>
        <v>4000</v>
      </c>
      <c r="G72" s="17" t="s">
        <v>50</v>
      </c>
      <c r="H72" s="17" t="s">
        <v>13</v>
      </c>
    </row>
    <row r="73" spans="1:8" x14ac:dyDescent="0.2">
      <c r="A73" s="3" t="s">
        <v>20</v>
      </c>
      <c r="B73" s="17" t="s">
        <v>30</v>
      </c>
      <c r="C73" s="17" t="s">
        <v>10</v>
      </c>
      <c r="D73" s="17">
        <v>5</v>
      </c>
      <c r="E73" s="9">
        <v>120</v>
      </c>
      <c r="F73" s="9">
        <f t="shared" si="2"/>
        <v>600</v>
      </c>
      <c r="G73" s="17" t="s">
        <v>51</v>
      </c>
      <c r="H73" s="17" t="s">
        <v>13</v>
      </c>
    </row>
    <row r="149" ht="16.5" customHeight="1" x14ac:dyDescent="0.2"/>
  </sheetData>
  <dataValidations count="2">
    <dataValidation type="list" allowBlank="1" showInputMessage="1" showErrorMessage="1" sqref="H1:H1048576" xr:uid="{7B1E494F-4077-40ED-BD9E-893ADB87A902}">
      <formula1>"Tbilisi,Batumi,Kutaisi,Gori,Zugdidi,Rustavi,-,"</formula1>
    </dataValidation>
    <dataValidation type="list" allowBlank="1" showInputMessage="1" showErrorMessage="1" sqref="A1:A1048576" xr:uid="{B49A7E9B-8083-4DE9-BD90-0CF3D924C071}">
      <formula1>"TRANSPORTATION,OUTBOUND,INBOUND,TRANSFER,RELOCATION,RECONSTRUCTION,"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a10020-32d3-4608-aace-8f9616ab88e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D91384F4C68A4E8007C66A1463D36D" ma:contentTypeVersion="15" ma:contentTypeDescription="Ein neues Dokument erstellen." ma:contentTypeScope="" ma:versionID="1514eb2b3614e91e4eeb8b68cc949eb7">
  <xsd:schema xmlns:xsd="http://www.w3.org/2001/XMLSchema" xmlns:xs="http://www.w3.org/2001/XMLSchema" xmlns:p="http://schemas.microsoft.com/office/2006/metadata/properties" xmlns:ns2="57a10020-32d3-4608-aace-8f9616ab88ec" xmlns:ns3="4c650207-ef22-4bbe-969a-0cda62cdda1a" targetNamespace="http://schemas.microsoft.com/office/2006/metadata/properties" ma:root="true" ma:fieldsID="dec57e1a3801ba702724f8a615378935" ns2:_="" ns3:_="">
    <xsd:import namespace="57a10020-32d3-4608-aace-8f9616ab88ec"/>
    <xsd:import namespace="4c650207-ef22-4bbe-969a-0cda62cdda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10020-32d3-4608-aace-8f9616ab8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5e923dd0-dda7-49ea-a147-70e5745050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50207-ef22-4bbe-969a-0cda62cdda1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92907C-7BF7-40C8-AB5C-07233B59F1ED}">
  <ds:schemaRefs>
    <ds:schemaRef ds:uri="http://schemas.microsoft.com/office/2006/metadata/properties"/>
    <ds:schemaRef ds:uri="http://schemas.microsoft.com/office/infopath/2007/PartnerControls"/>
    <ds:schemaRef ds:uri="57a10020-32d3-4608-aace-8f9616ab88ec"/>
  </ds:schemaRefs>
</ds:datastoreItem>
</file>

<file path=customXml/itemProps2.xml><?xml version="1.0" encoding="utf-8"?>
<ds:datastoreItem xmlns:ds="http://schemas.openxmlformats.org/officeDocument/2006/customXml" ds:itemID="{2A9E0A41-E135-495D-BA40-B7D060ACD6EC}"/>
</file>

<file path=customXml/itemProps3.xml><?xml version="1.0" encoding="utf-8"?>
<ds:datastoreItem xmlns:ds="http://schemas.openxmlformats.org/officeDocument/2006/customXml" ds:itemID="{8A627302-20D8-44A7-8772-8C830850CE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</vt:lpstr>
    </vt:vector>
  </TitlesOfParts>
  <Company>GW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Kerauli rke210</dc:creator>
  <cp:lastModifiedBy>Rusudan Kerauli rke210</cp:lastModifiedBy>
  <dcterms:created xsi:type="dcterms:W3CDTF">2026-01-08T10:42:32Z</dcterms:created>
  <dcterms:modified xsi:type="dcterms:W3CDTF">2026-03-09T11:13:03Z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0x0101005DD91384F4C68A4E8007C66A1463D36D</vt:lpwstr>
  </property>
</Properties>
</file>