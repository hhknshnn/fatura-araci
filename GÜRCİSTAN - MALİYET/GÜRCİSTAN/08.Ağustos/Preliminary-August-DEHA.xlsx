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s210\AppData\Local\Microsoft\Windows\INetCache\Content.Outlook\K7DFVI2J\"/>
    </mc:Choice>
  </mc:AlternateContent>
  <xr:revisionPtr revIDLastSave="0" documentId="13_ncr:1_{6C41BE3F-E34F-47B9-8900-B060605529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gu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F65" i="1"/>
  <c r="F67" i="1" l="1"/>
</calcChain>
</file>

<file path=xl/sharedStrings.xml><?xml version="1.0" encoding="utf-8"?>
<sst xmlns="http://schemas.openxmlformats.org/spreadsheetml/2006/main" count="266" uniqueCount="41">
  <si>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</si>
  <si>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</si>
  <si>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</si>
  <si>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</si>
  <si>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</si>
  <si>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</si>
  <si>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</si>
  <si>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</si>
  <si>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TRANSPORTATION</t>
  </si>
  <si>
    <t>EUP</t>
  </si>
  <si>
    <t>Tbilisi</t>
  </si>
  <si>
    <t>OUTBOUND</t>
  </si>
  <si>
    <t>-</t>
  </si>
  <si>
    <t>Batumi</t>
  </si>
  <si>
    <t>INBOUND</t>
  </si>
  <si>
    <t>Rustavi</t>
  </si>
  <si>
    <t>Gori</t>
  </si>
  <si>
    <t>Zugdidi</t>
  </si>
  <si>
    <t>Kutaisi</t>
  </si>
  <si>
    <t>RELOCATION</t>
  </si>
  <si>
    <t>Gldani</t>
  </si>
  <si>
    <t>Pallet Quantity</t>
  </si>
  <si>
    <t xml:space="preserve">ANT115&amp;IHR252 </t>
  </si>
  <si>
    <t>IHR242</t>
  </si>
  <si>
    <t>ANT115&amp;IHR252</t>
  </si>
  <si>
    <t>ANT115&amp;IHR252&amp;IHR242</t>
  </si>
  <si>
    <t>ANT122&amp;IHR261</t>
  </si>
  <si>
    <t>IHR261</t>
  </si>
  <si>
    <t>IHR279</t>
  </si>
  <si>
    <t>IHR277</t>
  </si>
  <si>
    <t>IHR277&amp;IHR284&amp;ANT123&amp;ANT131</t>
  </si>
  <si>
    <t>ANT123&amp;ANT131</t>
  </si>
  <si>
    <t>IHR277&amp;IHR284&amp;ANT123&amp;ANT131&amp;IHR277&amp;279</t>
  </si>
  <si>
    <t>IHR284</t>
  </si>
  <si>
    <t>ANT123&amp;ANT131&amp;IHR284</t>
  </si>
  <si>
    <t>ANT131&amp;IHR284</t>
  </si>
  <si>
    <t>ANT123</t>
  </si>
  <si>
    <t>ANT123&amp;IHR277</t>
  </si>
  <si>
    <t>ANT140&amp;IHR293</t>
  </si>
  <si>
    <t>Gldani Transportation</t>
  </si>
  <si>
    <t xml:space="preserve">Total Sum: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</si>
</sst>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sz val="10"/>
      <color theme="1"/>
      <name val="Calibri"/>
      <family val="2"/>
      <scheme val="minor"/>
    </font>
    <font>
      <sz val="9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0" fillId="4" borderId="6" xfId="0" applyFill="1" applyBorder="1"/>
    <xf numFmtId="0" fontId="6" fillId="5" borderId="6" xfId="0" applyFont="1" applyFill="1" applyBorder="1"/>
    <xf numFmtId="0" fontId="6" fillId="4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workbookViewId="0">
      <selection activeCell="F65" sqref="F65"/>
    </sheetView>
  </sheetViews>
  <sheetFormatPr defaultRowHeight="15" x14ac:dyDescent="0.25"/>
  <cols>
    <col min="1" max="1" width="42.42578125" customWidth="1"/>
    <col min="2" max="2" width="58.85546875" customWidth="1"/>
    <col min="5" max="5" width="10.7109375" bestFit="1" customWidth="1"/>
    <col min="7" max="7" width="15.7109375" bestFit="1" customWidth="1"/>
    <col min="8" max="8" width="13.5703125" customWidth="1"/>
    <col min="14" max="14" width="9.140625" style="4"/>
    <col min="15" max="17" width="9.140625" style="20"/>
  </cols>
  <sheetData>
    <row r="1" spans="1:1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/>
      <c r="N1" s="1" t="s">
        <v>6</v>
      </c>
      <c r="O1" s="1" t="s">
        <v>21</v>
      </c>
      <c r="P1" s="1" t="s">
        <v>4</v>
      </c>
      <c r="Q1" s="1" t="s">
        <v>5</v>
      </c>
    </row>
    <row r="2" spans="1:17" x14ac:dyDescent="0.25">
      <c r="A2" s="5" t="s">
        <v>8</v>
      </c>
      <c r="B2" s="6" t="s">
        <v>22</v>
      </c>
      <c r="C2" s="6" t="s">
        <v>9</v>
      </c>
      <c r="D2" s="6">
        <v>4</v>
      </c>
      <c r="E2" s="7">
        <v>81.89</v>
      </c>
      <c r="F2" s="7">
        <v>327.56</v>
      </c>
      <c r="G2" s="8">
        <v>46237</v>
      </c>
      <c r="H2" s="8" t="s">
        <v>10</v>
      </c>
      <c r="I2" s="4"/>
      <c r="N2" s="25">
        <v>46235</v>
      </c>
      <c r="O2" s="26">
        <v>43</v>
      </c>
      <c r="P2" s="27">
        <v>1.41</v>
      </c>
      <c r="Q2" s="28">
        <v>60.63</v>
      </c>
    </row>
    <row r="3" spans="1:17" x14ac:dyDescent="0.25">
      <c r="A3" s="5" t="s">
        <v>8</v>
      </c>
      <c r="B3" s="6" t="s">
        <v>22</v>
      </c>
      <c r="C3" s="6" t="s">
        <v>9</v>
      </c>
      <c r="D3" s="6">
        <v>5</v>
      </c>
      <c r="E3" s="7">
        <v>81.89</v>
      </c>
      <c r="F3" s="7">
        <v>409.45</v>
      </c>
      <c r="G3" s="8">
        <v>46237</v>
      </c>
      <c r="H3" s="8" t="s">
        <v>10</v>
      </c>
      <c r="I3" s="4"/>
      <c r="N3" s="25">
        <v>46236</v>
      </c>
      <c r="O3" s="26">
        <v>43</v>
      </c>
      <c r="P3" s="27">
        <v>1.41</v>
      </c>
      <c r="Q3" s="28">
        <v>60.63</v>
      </c>
    </row>
    <row r="4" spans="1:17" x14ac:dyDescent="0.25">
      <c r="A4" s="5" t="s">
        <v>8</v>
      </c>
      <c r="B4" s="6" t="s">
        <v>22</v>
      </c>
      <c r="C4" s="6" t="s">
        <v>9</v>
      </c>
      <c r="D4" s="6">
        <v>4</v>
      </c>
      <c r="E4" s="7">
        <v>400</v>
      </c>
      <c r="F4" s="7">
        <v>1600</v>
      </c>
      <c r="G4" s="8">
        <v>46237</v>
      </c>
      <c r="H4" s="8" t="s">
        <v>13</v>
      </c>
      <c r="I4" s="4"/>
      <c r="N4" s="25">
        <v>46237</v>
      </c>
      <c r="O4" s="26">
        <v>30</v>
      </c>
      <c r="P4" s="27">
        <v>1.41</v>
      </c>
      <c r="Q4" s="28">
        <v>42.3</v>
      </c>
    </row>
    <row r="5" spans="1:17" ht="15.75" thickBot="1" x14ac:dyDescent="0.3">
      <c r="A5" s="9" t="s">
        <v>11</v>
      </c>
      <c r="B5" s="11" t="s">
        <v>22</v>
      </c>
      <c r="C5" s="11" t="s">
        <v>9</v>
      </c>
      <c r="D5" s="11">
        <v>13</v>
      </c>
      <c r="E5" s="12">
        <v>15.7</v>
      </c>
      <c r="F5" s="12">
        <v>204.1</v>
      </c>
      <c r="G5" s="13">
        <v>46237</v>
      </c>
      <c r="H5" s="13" t="s">
        <v>12</v>
      </c>
      <c r="I5" s="4"/>
      <c r="N5" s="25">
        <v>46238</v>
      </c>
      <c r="O5" s="26">
        <v>44</v>
      </c>
      <c r="P5" s="27">
        <v>1.41</v>
      </c>
      <c r="Q5" s="28">
        <v>62.04</v>
      </c>
    </row>
    <row r="6" spans="1:17" x14ac:dyDescent="0.25">
      <c r="A6" s="5" t="s">
        <v>8</v>
      </c>
      <c r="B6" s="15" t="s">
        <v>22</v>
      </c>
      <c r="C6" s="15" t="s">
        <v>9</v>
      </c>
      <c r="D6" s="15">
        <v>3</v>
      </c>
      <c r="E6" s="16">
        <v>81.89</v>
      </c>
      <c r="F6" s="16">
        <v>245.67</v>
      </c>
      <c r="G6" s="17">
        <v>46238</v>
      </c>
      <c r="H6" s="17" t="s">
        <v>20</v>
      </c>
      <c r="I6" s="4"/>
      <c r="N6" s="25">
        <v>46239</v>
      </c>
      <c r="O6" s="26">
        <v>33</v>
      </c>
      <c r="P6" s="27">
        <v>1.41</v>
      </c>
      <c r="Q6" s="28">
        <v>46.53</v>
      </c>
    </row>
    <row r="7" spans="1:17" x14ac:dyDescent="0.25">
      <c r="A7" s="5" t="s">
        <v>8</v>
      </c>
      <c r="B7" s="18" t="s">
        <v>22</v>
      </c>
      <c r="C7" s="6" t="s">
        <v>9</v>
      </c>
      <c r="D7" s="6">
        <v>3</v>
      </c>
      <c r="E7" s="7">
        <v>81.89</v>
      </c>
      <c r="F7" s="7">
        <v>245.67</v>
      </c>
      <c r="G7" s="8">
        <v>46238</v>
      </c>
      <c r="H7" s="8" t="s">
        <v>10</v>
      </c>
      <c r="I7" s="4"/>
      <c r="N7" s="25">
        <v>46240</v>
      </c>
      <c r="O7" s="26">
        <v>33</v>
      </c>
      <c r="P7" s="27">
        <v>1.41</v>
      </c>
      <c r="Q7" s="28">
        <v>46.53</v>
      </c>
    </row>
    <row r="8" spans="1:17" x14ac:dyDescent="0.25">
      <c r="A8" s="5" t="s">
        <v>8</v>
      </c>
      <c r="B8" s="6" t="s">
        <v>22</v>
      </c>
      <c r="C8" s="6" t="s">
        <v>9</v>
      </c>
      <c r="D8" s="6">
        <v>4</v>
      </c>
      <c r="E8" s="7">
        <v>300</v>
      </c>
      <c r="F8" s="7">
        <v>1200</v>
      </c>
      <c r="G8" s="8">
        <v>46238</v>
      </c>
      <c r="H8" s="8" t="s">
        <v>18</v>
      </c>
      <c r="I8" s="4"/>
      <c r="N8" s="25">
        <v>46241</v>
      </c>
      <c r="O8" s="26">
        <v>33</v>
      </c>
      <c r="P8" s="27">
        <v>1.41</v>
      </c>
      <c r="Q8" s="28">
        <v>46.53</v>
      </c>
    </row>
    <row r="9" spans="1:17" x14ac:dyDescent="0.25">
      <c r="A9" s="5" t="s">
        <v>8</v>
      </c>
      <c r="B9" s="5" t="s">
        <v>22</v>
      </c>
      <c r="C9" s="18" t="s">
        <v>9</v>
      </c>
      <c r="D9" s="6">
        <v>3</v>
      </c>
      <c r="E9" s="7">
        <v>190</v>
      </c>
      <c r="F9" s="7">
        <v>570</v>
      </c>
      <c r="G9" s="8">
        <v>46238</v>
      </c>
      <c r="H9" s="8" t="s">
        <v>16</v>
      </c>
      <c r="I9" s="4"/>
      <c r="N9" s="25">
        <v>46242</v>
      </c>
      <c r="O9" s="26">
        <v>33</v>
      </c>
      <c r="P9" s="27">
        <v>1.41</v>
      </c>
      <c r="Q9" s="28">
        <v>46.53</v>
      </c>
    </row>
    <row r="10" spans="1:17" ht="15.75" thickBot="1" x14ac:dyDescent="0.3">
      <c r="A10" s="9" t="s">
        <v>11</v>
      </c>
      <c r="B10" s="9" t="s">
        <v>22</v>
      </c>
      <c r="C10" s="10" t="s">
        <v>9</v>
      </c>
      <c r="D10" s="11">
        <v>13</v>
      </c>
      <c r="E10" s="12">
        <v>15.7</v>
      </c>
      <c r="F10" s="12">
        <v>204.1</v>
      </c>
      <c r="G10" s="13">
        <v>46238</v>
      </c>
      <c r="H10" s="13" t="s">
        <v>12</v>
      </c>
      <c r="I10" s="4"/>
      <c r="N10" s="25">
        <v>46243</v>
      </c>
      <c r="O10" s="26">
        <v>33</v>
      </c>
      <c r="P10" s="27">
        <v>1.41</v>
      </c>
      <c r="Q10" s="28">
        <v>46.53</v>
      </c>
    </row>
    <row r="11" spans="1:17" x14ac:dyDescent="0.25">
      <c r="A11" s="5" t="s">
        <v>8</v>
      </c>
      <c r="B11" s="14" t="s">
        <v>23</v>
      </c>
      <c r="C11" s="19" t="s">
        <v>9</v>
      </c>
      <c r="D11" s="15">
        <v>4</v>
      </c>
      <c r="E11" s="16">
        <v>81.89</v>
      </c>
      <c r="F11" s="16">
        <v>327.56</v>
      </c>
      <c r="G11" s="17">
        <v>46239</v>
      </c>
      <c r="H11" s="17" t="s">
        <v>20</v>
      </c>
      <c r="I11" s="4"/>
      <c r="N11" s="25">
        <v>46244</v>
      </c>
      <c r="O11" s="26">
        <v>31</v>
      </c>
      <c r="P11" s="27">
        <v>1.41</v>
      </c>
      <c r="Q11" s="28">
        <v>43.71</v>
      </c>
    </row>
    <row r="12" spans="1:17" x14ac:dyDescent="0.25">
      <c r="A12" s="5" t="s">
        <v>8</v>
      </c>
      <c r="B12" s="5" t="s">
        <v>24</v>
      </c>
      <c r="C12" s="18" t="s">
        <v>9</v>
      </c>
      <c r="D12" s="6">
        <v>3</v>
      </c>
      <c r="E12" s="7">
        <v>94.17</v>
      </c>
      <c r="F12" s="7">
        <v>282.51</v>
      </c>
      <c r="G12" s="8">
        <v>46239</v>
      </c>
      <c r="H12" s="8" t="s">
        <v>15</v>
      </c>
      <c r="I12" s="4"/>
      <c r="N12" s="25">
        <v>46245</v>
      </c>
      <c r="O12" s="26">
        <v>18</v>
      </c>
      <c r="P12" s="27">
        <v>1.41</v>
      </c>
      <c r="Q12" s="28">
        <v>25.38</v>
      </c>
    </row>
    <row r="13" spans="1:17" x14ac:dyDescent="0.25">
      <c r="A13" s="5" t="s">
        <v>8</v>
      </c>
      <c r="B13" s="5" t="s">
        <v>24</v>
      </c>
      <c r="C13" s="18" t="s">
        <v>9</v>
      </c>
      <c r="D13" s="6">
        <v>4</v>
      </c>
      <c r="E13" s="7">
        <v>400</v>
      </c>
      <c r="F13" s="7">
        <v>1600</v>
      </c>
      <c r="G13" s="8">
        <v>46239</v>
      </c>
      <c r="H13" s="8" t="s">
        <v>17</v>
      </c>
      <c r="I13" s="4"/>
      <c r="N13" s="25">
        <v>46246</v>
      </c>
      <c r="O13" s="26">
        <v>10</v>
      </c>
      <c r="P13" s="27">
        <v>1.41</v>
      </c>
      <c r="Q13" s="28">
        <v>14.1</v>
      </c>
    </row>
    <row r="14" spans="1:17" ht="15.75" thickBot="1" x14ac:dyDescent="0.3">
      <c r="A14" s="9" t="s">
        <v>11</v>
      </c>
      <c r="B14" s="10" t="s">
        <v>25</v>
      </c>
      <c r="C14" s="11" t="s">
        <v>9</v>
      </c>
      <c r="D14" s="11">
        <v>11</v>
      </c>
      <c r="E14" s="12">
        <v>15.7</v>
      </c>
      <c r="F14" s="12">
        <v>172.7</v>
      </c>
      <c r="G14" s="13">
        <v>46239</v>
      </c>
      <c r="H14" s="13" t="s">
        <v>12</v>
      </c>
      <c r="I14" s="4"/>
      <c r="N14" s="25">
        <v>46247</v>
      </c>
      <c r="O14" s="26">
        <v>41</v>
      </c>
      <c r="P14" s="27">
        <v>1.41</v>
      </c>
      <c r="Q14" s="28">
        <v>57.81</v>
      </c>
    </row>
    <row r="15" spans="1:17" x14ac:dyDescent="0.25">
      <c r="A15" s="5" t="s">
        <v>8</v>
      </c>
      <c r="B15" s="19" t="s">
        <v>26</v>
      </c>
      <c r="C15" s="15" t="s">
        <v>9</v>
      </c>
      <c r="D15" s="15">
        <v>5</v>
      </c>
      <c r="E15" s="16">
        <v>81.89</v>
      </c>
      <c r="F15" s="16">
        <v>409.45</v>
      </c>
      <c r="G15" s="17">
        <v>46244</v>
      </c>
      <c r="H15" s="14" t="s">
        <v>10</v>
      </c>
      <c r="I15" s="4"/>
      <c r="N15" s="25">
        <v>46248</v>
      </c>
      <c r="O15" s="26">
        <v>41</v>
      </c>
      <c r="P15" s="27">
        <v>1.41</v>
      </c>
      <c r="Q15" s="28">
        <v>57.81</v>
      </c>
    </row>
    <row r="16" spans="1:17" x14ac:dyDescent="0.25">
      <c r="A16" s="5" t="s">
        <v>8</v>
      </c>
      <c r="B16" s="18" t="s">
        <v>26</v>
      </c>
      <c r="C16" s="6" t="s">
        <v>9</v>
      </c>
      <c r="D16" s="6">
        <v>7</v>
      </c>
      <c r="E16" s="7">
        <v>81.89</v>
      </c>
      <c r="F16" s="7">
        <v>573.23</v>
      </c>
      <c r="G16" s="8">
        <v>46244</v>
      </c>
      <c r="H16" s="8" t="s">
        <v>10</v>
      </c>
      <c r="I16" s="4"/>
      <c r="N16" s="25">
        <v>46249</v>
      </c>
      <c r="O16" s="26">
        <v>74</v>
      </c>
      <c r="P16" s="27">
        <v>1.41</v>
      </c>
      <c r="Q16" s="28">
        <v>104.34</v>
      </c>
    </row>
    <row r="17" spans="1:17" ht="15.75" thickBot="1" x14ac:dyDescent="0.3">
      <c r="A17" s="9" t="s">
        <v>11</v>
      </c>
      <c r="B17" s="10" t="s">
        <v>26</v>
      </c>
      <c r="C17" s="11" t="s">
        <v>9</v>
      </c>
      <c r="D17" s="11">
        <v>12</v>
      </c>
      <c r="E17" s="12">
        <v>15.7</v>
      </c>
      <c r="F17" s="12">
        <v>188.4</v>
      </c>
      <c r="G17" s="13">
        <v>46244</v>
      </c>
      <c r="H17" s="13" t="s">
        <v>12</v>
      </c>
      <c r="I17" s="4"/>
      <c r="N17" s="25">
        <v>46250</v>
      </c>
      <c r="O17" s="26">
        <v>74</v>
      </c>
      <c r="P17" s="27">
        <v>1.41</v>
      </c>
      <c r="Q17" s="28">
        <v>104.34</v>
      </c>
    </row>
    <row r="18" spans="1:17" x14ac:dyDescent="0.25">
      <c r="A18" s="5" t="s">
        <v>8</v>
      </c>
      <c r="B18" s="19" t="s">
        <v>27</v>
      </c>
      <c r="C18" s="15" t="s">
        <v>9</v>
      </c>
      <c r="D18" s="15">
        <v>2</v>
      </c>
      <c r="E18" s="16">
        <v>81.89</v>
      </c>
      <c r="F18" s="16">
        <v>163.78</v>
      </c>
      <c r="G18" s="17">
        <v>46245</v>
      </c>
      <c r="H18" s="17" t="s">
        <v>20</v>
      </c>
      <c r="I18" s="4"/>
      <c r="N18" s="25">
        <v>46251</v>
      </c>
      <c r="O18" s="26">
        <v>69</v>
      </c>
      <c r="P18" s="27">
        <v>1.41</v>
      </c>
      <c r="Q18" s="28">
        <v>97.29</v>
      </c>
    </row>
    <row r="19" spans="1:17" x14ac:dyDescent="0.25">
      <c r="A19" s="5" t="s">
        <v>8</v>
      </c>
      <c r="B19" s="18" t="s">
        <v>27</v>
      </c>
      <c r="C19" s="6" t="s">
        <v>9</v>
      </c>
      <c r="D19" s="6">
        <v>2</v>
      </c>
      <c r="E19" s="7">
        <v>81.89</v>
      </c>
      <c r="F19" s="7">
        <v>163.78</v>
      </c>
      <c r="G19" s="8">
        <v>46245</v>
      </c>
      <c r="H19" s="8" t="s">
        <v>10</v>
      </c>
      <c r="I19" s="4"/>
      <c r="N19" s="25">
        <v>46252</v>
      </c>
      <c r="O19" s="26">
        <v>90</v>
      </c>
      <c r="P19" s="27">
        <v>1.41</v>
      </c>
      <c r="Q19" s="28">
        <v>126.9</v>
      </c>
    </row>
    <row r="20" spans="1:17" x14ac:dyDescent="0.25">
      <c r="A20" s="5" t="s">
        <v>8</v>
      </c>
      <c r="B20" s="18" t="s">
        <v>27</v>
      </c>
      <c r="C20" s="6" t="s">
        <v>9</v>
      </c>
      <c r="D20" s="6">
        <v>3</v>
      </c>
      <c r="E20" s="7">
        <v>94.17</v>
      </c>
      <c r="F20" s="7">
        <v>282.51</v>
      </c>
      <c r="G20" s="8">
        <v>46245</v>
      </c>
      <c r="H20" s="8" t="s">
        <v>15</v>
      </c>
      <c r="I20" s="4"/>
      <c r="N20" s="25">
        <v>46253</v>
      </c>
      <c r="O20" s="26">
        <v>85</v>
      </c>
      <c r="P20" s="27">
        <v>1.41</v>
      </c>
      <c r="Q20" s="28">
        <v>119.85</v>
      </c>
    </row>
    <row r="21" spans="1:17" x14ac:dyDescent="0.25">
      <c r="A21" s="5" t="s">
        <v>8</v>
      </c>
      <c r="B21" s="18" t="s">
        <v>27</v>
      </c>
      <c r="C21" s="6" t="s">
        <v>9</v>
      </c>
      <c r="D21" s="6">
        <v>6</v>
      </c>
      <c r="E21" s="7">
        <v>190</v>
      </c>
      <c r="F21" s="7">
        <v>1140</v>
      </c>
      <c r="G21" s="8">
        <v>46245</v>
      </c>
      <c r="H21" s="8" t="s">
        <v>16</v>
      </c>
      <c r="I21" s="4"/>
      <c r="N21" s="25">
        <v>46254</v>
      </c>
      <c r="O21" s="26">
        <v>85</v>
      </c>
      <c r="P21" s="27">
        <v>1.41</v>
      </c>
      <c r="Q21" s="28">
        <v>119.85</v>
      </c>
    </row>
    <row r="22" spans="1:17" ht="15.75" thickBot="1" x14ac:dyDescent="0.3">
      <c r="A22" s="9" t="s">
        <v>11</v>
      </c>
      <c r="B22" s="10" t="s">
        <v>27</v>
      </c>
      <c r="C22" s="11" t="s">
        <v>9</v>
      </c>
      <c r="D22" s="11">
        <v>13</v>
      </c>
      <c r="E22" s="12">
        <v>15.7</v>
      </c>
      <c r="F22" s="12">
        <v>204.1</v>
      </c>
      <c r="G22" s="13">
        <v>46245</v>
      </c>
      <c r="H22" s="13" t="s">
        <v>12</v>
      </c>
      <c r="I22" s="4"/>
      <c r="N22" s="25">
        <v>46255</v>
      </c>
      <c r="O22" s="26">
        <v>85</v>
      </c>
      <c r="P22" s="27">
        <v>1.41</v>
      </c>
      <c r="Q22" s="28">
        <v>119.85</v>
      </c>
    </row>
    <row r="23" spans="1:17" x14ac:dyDescent="0.25">
      <c r="A23" s="5" t="s">
        <v>8</v>
      </c>
      <c r="B23" s="19" t="s">
        <v>27</v>
      </c>
      <c r="C23" s="15" t="s">
        <v>9</v>
      </c>
      <c r="D23" s="15">
        <v>4</v>
      </c>
      <c r="E23" s="16">
        <v>400</v>
      </c>
      <c r="F23" s="16">
        <v>1600</v>
      </c>
      <c r="G23" s="17">
        <v>46246</v>
      </c>
      <c r="H23" s="17" t="s">
        <v>17</v>
      </c>
      <c r="I23" s="4"/>
      <c r="N23" s="25">
        <v>46256</v>
      </c>
      <c r="O23" s="26">
        <v>85</v>
      </c>
      <c r="P23" s="27">
        <v>1.41</v>
      </c>
      <c r="Q23" s="28">
        <v>119.85</v>
      </c>
    </row>
    <row r="24" spans="1:17" x14ac:dyDescent="0.25">
      <c r="A24" s="5" t="s">
        <v>8</v>
      </c>
      <c r="B24" s="18" t="s">
        <v>27</v>
      </c>
      <c r="C24" s="6" t="s">
        <v>9</v>
      </c>
      <c r="D24" s="6">
        <v>2</v>
      </c>
      <c r="E24" s="7">
        <v>300</v>
      </c>
      <c r="F24" s="7">
        <v>600</v>
      </c>
      <c r="G24" s="8">
        <v>46246</v>
      </c>
      <c r="H24" s="8" t="s">
        <v>18</v>
      </c>
      <c r="I24" s="4"/>
      <c r="N24" s="25">
        <v>46257</v>
      </c>
      <c r="O24" s="26">
        <v>85</v>
      </c>
      <c r="P24" s="27">
        <v>1.41</v>
      </c>
      <c r="Q24" s="28">
        <v>119.85</v>
      </c>
    </row>
    <row r="25" spans="1:17" x14ac:dyDescent="0.25">
      <c r="A25" s="5" t="s">
        <v>8</v>
      </c>
      <c r="B25" s="18" t="s">
        <v>27</v>
      </c>
      <c r="C25" s="6" t="s">
        <v>9</v>
      </c>
      <c r="D25" s="6">
        <v>2</v>
      </c>
      <c r="E25" s="7">
        <v>400</v>
      </c>
      <c r="F25" s="7">
        <v>800</v>
      </c>
      <c r="G25" s="8">
        <v>46246</v>
      </c>
      <c r="H25" s="8" t="s">
        <v>13</v>
      </c>
      <c r="I25" s="4"/>
      <c r="N25" s="25">
        <v>46258</v>
      </c>
      <c r="O25" s="26">
        <v>68</v>
      </c>
      <c r="P25" s="27">
        <v>1.41</v>
      </c>
      <c r="Q25" s="28">
        <v>95.88</v>
      </c>
    </row>
    <row r="26" spans="1:17" ht="15.75" thickBot="1" x14ac:dyDescent="0.3">
      <c r="A26" s="9" t="s">
        <v>11</v>
      </c>
      <c r="B26" s="10" t="s">
        <v>27</v>
      </c>
      <c r="C26" s="11" t="s">
        <v>9</v>
      </c>
      <c r="D26" s="11">
        <v>8</v>
      </c>
      <c r="E26" s="12">
        <v>15.7</v>
      </c>
      <c r="F26" s="12">
        <v>125.6</v>
      </c>
      <c r="G26" s="13">
        <v>46246</v>
      </c>
      <c r="H26" s="13" t="s">
        <v>12</v>
      </c>
      <c r="I26" s="4"/>
      <c r="N26" s="25">
        <v>46259</v>
      </c>
      <c r="O26" s="26">
        <v>80</v>
      </c>
      <c r="P26" s="27">
        <v>1.41</v>
      </c>
      <c r="Q26" s="28">
        <v>112.8</v>
      </c>
    </row>
    <row r="27" spans="1:17" x14ac:dyDescent="0.25">
      <c r="A27" s="5" t="s">
        <v>8</v>
      </c>
      <c r="B27" s="19" t="s">
        <v>28</v>
      </c>
      <c r="C27" s="15" t="s">
        <v>9</v>
      </c>
      <c r="D27" s="15">
        <v>4</v>
      </c>
      <c r="E27" s="16">
        <v>81.89</v>
      </c>
      <c r="F27" s="16">
        <v>327.56</v>
      </c>
      <c r="G27" s="17">
        <v>46251</v>
      </c>
      <c r="H27" s="17" t="s">
        <v>10</v>
      </c>
      <c r="I27" s="4"/>
      <c r="N27" s="25">
        <v>46260</v>
      </c>
      <c r="O27" s="26">
        <v>72</v>
      </c>
      <c r="P27" s="27">
        <v>1.41</v>
      </c>
      <c r="Q27" s="28">
        <v>101.52</v>
      </c>
    </row>
    <row r="28" spans="1:17" x14ac:dyDescent="0.25">
      <c r="A28" s="5" t="s">
        <v>8</v>
      </c>
      <c r="B28" s="18" t="s">
        <v>28</v>
      </c>
      <c r="C28" s="6" t="s">
        <v>9</v>
      </c>
      <c r="D28" s="6">
        <v>6</v>
      </c>
      <c r="E28" s="7">
        <v>81.89</v>
      </c>
      <c r="F28" s="7">
        <v>491.34</v>
      </c>
      <c r="G28" s="8">
        <v>46251</v>
      </c>
      <c r="H28" s="8" t="s">
        <v>10</v>
      </c>
      <c r="I28" s="4"/>
      <c r="N28" s="25">
        <v>46261</v>
      </c>
      <c r="O28" s="26">
        <v>55</v>
      </c>
      <c r="P28" s="27">
        <v>1.41</v>
      </c>
      <c r="Q28" s="28">
        <v>77.55</v>
      </c>
    </row>
    <row r="29" spans="1:17" x14ac:dyDescent="0.25">
      <c r="A29" s="5" t="s">
        <v>8</v>
      </c>
      <c r="B29" s="18" t="s">
        <v>28</v>
      </c>
      <c r="C29" s="6" t="s">
        <v>9</v>
      </c>
      <c r="D29" s="6">
        <v>3</v>
      </c>
      <c r="E29" s="7">
        <v>400</v>
      </c>
      <c r="F29" s="7">
        <v>1200</v>
      </c>
      <c r="G29" s="8">
        <v>46251</v>
      </c>
      <c r="H29" s="8" t="s">
        <v>13</v>
      </c>
      <c r="I29" s="4"/>
      <c r="N29" s="25">
        <v>46262</v>
      </c>
      <c r="O29" s="26">
        <v>55</v>
      </c>
      <c r="P29" s="27">
        <v>1.41</v>
      </c>
      <c r="Q29" s="28">
        <v>77.55</v>
      </c>
    </row>
    <row r="30" spans="1:17" x14ac:dyDescent="0.25">
      <c r="A30" s="5" t="s">
        <v>8</v>
      </c>
      <c r="B30" s="18" t="s">
        <v>28</v>
      </c>
      <c r="C30" s="6" t="s">
        <v>9</v>
      </c>
      <c r="D30" s="6">
        <v>2</v>
      </c>
      <c r="E30" s="7">
        <v>190</v>
      </c>
      <c r="F30" s="7">
        <v>380</v>
      </c>
      <c r="G30" s="8">
        <v>46251</v>
      </c>
      <c r="H30" s="8" t="s">
        <v>16</v>
      </c>
      <c r="I30" s="4"/>
      <c r="N30" s="25">
        <v>46263</v>
      </c>
      <c r="O30" s="26">
        <v>55</v>
      </c>
      <c r="P30" s="27">
        <v>1.41</v>
      </c>
      <c r="Q30" s="28">
        <v>77.55</v>
      </c>
    </row>
    <row r="31" spans="1:17" ht="15.75" thickBot="1" x14ac:dyDescent="0.3">
      <c r="A31" s="9" t="s">
        <v>11</v>
      </c>
      <c r="B31" s="10" t="s">
        <v>28</v>
      </c>
      <c r="C31" s="11" t="s">
        <v>9</v>
      </c>
      <c r="D31" s="11">
        <v>15</v>
      </c>
      <c r="E31" s="12">
        <v>15.7</v>
      </c>
      <c r="F31" s="12">
        <v>235.5</v>
      </c>
      <c r="G31" s="13">
        <v>46251</v>
      </c>
      <c r="H31" s="13" t="s">
        <v>12</v>
      </c>
      <c r="I31" s="4"/>
      <c r="N31" s="25">
        <v>46264</v>
      </c>
      <c r="O31" s="26">
        <v>55</v>
      </c>
      <c r="P31" s="27">
        <v>1.41</v>
      </c>
      <c r="Q31" s="28">
        <v>77.55</v>
      </c>
    </row>
    <row r="32" spans="1:17" x14ac:dyDescent="0.25">
      <c r="A32" s="5" t="s">
        <v>8</v>
      </c>
      <c r="B32" s="19" t="s">
        <v>28</v>
      </c>
      <c r="C32" s="15" t="s">
        <v>9</v>
      </c>
      <c r="D32" s="15">
        <v>2</v>
      </c>
      <c r="E32" s="16">
        <v>81.89</v>
      </c>
      <c r="F32" s="16">
        <v>163.78</v>
      </c>
      <c r="G32" s="17">
        <v>46252</v>
      </c>
      <c r="H32" s="17" t="s">
        <v>10</v>
      </c>
      <c r="I32" s="4"/>
      <c r="N32" s="25">
        <v>46265</v>
      </c>
      <c r="O32" s="26">
        <v>55</v>
      </c>
      <c r="P32" s="27">
        <v>1.41</v>
      </c>
      <c r="Q32" s="28">
        <v>77.55</v>
      </c>
    </row>
    <row r="33" spans="1:17" x14ac:dyDescent="0.25">
      <c r="A33" s="5" t="s">
        <v>8</v>
      </c>
      <c r="B33" s="18" t="s">
        <v>28</v>
      </c>
      <c r="C33" s="6" t="s">
        <v>9</v>
      </c>
      <c r="D33" s="6">
        <v>3</v>
      </c>
      <c r="E33" s="7">
        <v>81.89</v>
      </c>
      <c r="F33" s="7">
        <v>245.67</v>
      </c>
      <c r="G33" s="8">
        <v>46252</v>
      </c>
      <c r="H33" s="17" t="s">
        <v>20</v>
      </c>
      <c r="I33" s="4"/>
      <c r="Q33" s="32">
        <f>SUM(Q2:Q32)</f>
        <v>2387.13</v>
      </c>
    </row>
    <row r="34" spans="1:17" x14ac:dyDescent="0.25">
      <c r="A34" s="5" t="s">
        <v>8</v>
      </c>
      <c r="B34" s="18" t="s">
        <v>28</v>
      </c>
      <c r="C34" s="6" t="s">
        <v>9</v>
      </c>
      <c r="D34" s="6">
        <v>3</v>
      </c>
      <c r="E34" s="7">
        <v>400</v>
      </c>
      <c r="F34" s="7">
        <v>1200</v>
      </c>
      <c r="G34" s="8">
        <v>46252</v>
      </c>
      <c r="H34" s="8" t="s">
        <v>13</v>
      </c>
      <c r="I34" s="4"/>
    </row>
    <row r="35" spans="1:17" x14ac:dyDescent="0.25">
      <c r="A35" s="5" t="s">
        <v>8</v>
      </c>
      <c r="B35" s="18" t="s">
        <v>28</v>
      </c>
      <c r="C35" s="6" t="s">
        <v>9</v>
      </c>
      <c r="D35" s="6">
        <v>2</v>
      </c>
      <c r="E35" s="7">
        <v>300</v>
      </c>
      <c r="F35" s="7">
        <v>600</v>
      </c>
      <c r="G35" s="8">
        <v>46252</v>
      </c>
      <c r="H35" s="8" t="s">
        <v>18</v>
      </c>
      <c r="I35" s="4"/>
    </row>
    <row r="36" spans="1:17" ht="15.75" thickBot="1" x14ac:dyDescent="0.3">
      <c r="A36" s="9" t="s">
        <v>11</v>
      </c>
      <c r="B36" s="10" t="s">
        <v>28</v>
      </c>
      <c r="C36" s="11" t="s">
        <v>9</v>
      </c>
      <c r="D36" s="11">
        <v>10</v>
      </c>
      <c r="E36" s="12">
        <v>15.7</v>
      </c>
      <c r="F36" s="12">
        <v>157</v>
      </c>
      <c r="G36" s="13">
        <v>46252</v>
      </c>
      <c r="H36" s="13" t="s">
        <v>12</v>
      </c>
      <c r="I36" s="4"/>
    </row>
    <row r="37" spans="1:17" x14ac:dyDescent="0.25">
      <c r="A37" s="5" t="s">
        <v>8</v>
      </c>
      <c r="B37" s="18" t="s">
        <v>28</v>
      </c>
      <c r="C37" s="6" t="s">
        <v>9</v>
      </c>
      <c r="D37" s="6">
        <v>3</v>
      </c>
      <c r="E37" s="7">
        <v>81.89</v>
      </c>
      <c r="F37" s="7">
        <v>245.67</v>
      </c>
      <c r="G37" s="8">
        <v>46253</v>
      </c>
      <c r="H37" s="8" t="s">
        <v>10</v>
      </c>
      <c r="I37" s="4"/>
    </row>
    <row r="38" spans="1:17" x14ac:dyDescent="0.25">
      <c r="A38" s="5" t="s">
        <v>8</v>
      </c>
      <c r="B38" s="18" t="s">
        <v>28</v>
      </c>
      <c r="C38" s="6" t="s">
        <v>9</v>
      </c>
      <c r="D38" s="6">
        <v>2</v>
      </c>
      <c r="E38" s="7">
        <v>94.17</v>
      </c>
      <c r="F38" s="7">
        <v>188.34</v>
      </c>
      <c r="G38" s="8">
        <v>46253</v>
      </c>
      <c r="H38" s="8" t="s">
        <v>15</v>
      </c>
      <c r="I38" s="4"/>
    </row>
    <row r="39" spans="1:17" ht="15.75" thickBot="1" x14ac:dyDescent="0.3">
      <c r="A39" s="9" t="s">
        <v>11</v>
      </c>
      <c r="B39" s="10" t="s">
        <v>28</v>
      </c>
      <c r="C39" s="11" t="s">
        <v>9</v>
      </c>
      <c r="D39" s="11">
        <v>5</v>
      </c>
      <c r="E39" s="12">
        <v>15.7</v>
      </c>
      <c r="F39" s="12">
        <v>78.5</v>
      </c>
      <c r="G39" s="13">
        <v>46253</v>
      </c>
      <c r="H39" s="13" t="s">
        <v>12</v>
      </c>
      <c r="I39" s="4"/>
      <c r="N39" s="20"/>
      <c r="Q39" s="4"/>
    </row>
    <row r="40" spans="1:17" x14ac:dyDescent="0.25">
      <c r="A40" s="5" t="s">
        <v>8</v>
      </c>
      <c r="B40" s="19" t="s">
        <v>29</v>
      </c>
      <c r="C40" s="15" t="s">
        <v>9</v>
      </c>
      <c r="D40" s="15">
        <v>7</v>
      </c>
      <c r="E40" s="16">
        <v>81.89</v>
      </c>
      <c r="F40" s="16">
        <v>573.23</v>
      </c>
      <c r="G40" s="17">
        <v>46258</v>
      </c>
      <c r="H40" s="17" t="s">
        <v>10</v>
      </c>
      <c r="I40" s="4"/>
      <c r="N40" s="20"/>
      <c r="Q40" s="4"/>
    </row>
    <row r="41" spans="1:17" x14ac:dyDescent="0.25">
      <c r="A41" s="5" t="s">
        <v>8</v>
      </c>
      <c r="B41" s="18" t="s">
        <v>29</v>
      </c>
      <c r="C41" s="6" t="s">
        <v>9</v>
      </c>
      <c r="D41" s="6">
        <v>10</v>
      </c>
      <c r="E41" s="7">
        <v>81.89</v>
      </c>
      <c r="F41" s="7">
        <v>818.9</v>
      </c>
      <c r="G41" s="8">
        <v>46258</v>
      </c>
      <c r="H41" s="8" t="s">
        <v>10</v>
      </c>
      <c r="I41" s="4"/>
    </row>
    <row r="42" spans="1:17" ht="15.75" thickBot="1" x14ac:dyDescent="0.3">
      <c r="A42" s="9" t="s">
        <v>11</v>
      </c>
      <c r="B42" s="10" t="s">
        <v>29</v>
      </c>
      <c r="C42" s="11" t="s">
        <v>9</v>
      </c>
      <c r="D42" s="11">
        <v>17</v>
      </c>
      <c r="E42" s="12">
        <v>15.7</v>
      </c>
      <c r="F42" s="12">
        <v>266.89999999999998</v>
      </c>
      <c r="G42" s="13">
        <v>46258</v>
      </c>
      <c r="H42" s="13" t="s">
        <v>12</v>
      </c>
      <c r="I42" s="4"/>
      <c r="N42" s="20"/>
    </row>
    <row r="43" spans="1:17" x14ac:dyDescent="0.25">
      <c r="A43" s="5" t="s">
        <v>8</v>
      </c>
      <c r="B43" s="19" t="s">
        <v>30</v>
      </c>
      <c r="C43" s="15" t="s">
        <v>9</v>
      </c>
      <c r="D43" s="15">
        <v>8</v>
      </c>
      <c r="E43" s="16">
        <v>81.89</v>
      </c>
      <c r="F43" s="16">
        <v>655.12</v>
      </c>
      <c r="G43" s="17">
        <v>46259</v>
      </c>
      <c r="H43" s="17" t="s">
        <v>20</v>
      </c>
      <c r="I43" s="4"/>
      <c r="N43" s="20"/>
    </row>
    <row r="44" spans="1:17" x14ac:dyDescent="0.25">
      <c r="A44" s="5" t="s">
        <v>8</v>
      </c>
      <c r="B44" s="18" t="s">
        <v>31</v>
      </c>
      <c r="C44" s="6" t="s">
        <v>9</v>
      </c>
      <c r="D44" s="6">
        <v>4</v>
      </c>
      <c r="E44" s="7">
        <v>81.89</v>
      </c>
      <c r="F44" s="7">
        <v>327.56</v>
      </c>
      <c r="G44" s="8">
        <v>46259</v>
      </c>
      <c r="H44" s="8" t="s">
        <v>10</v>
      </c>
      <c r="I44" s="4"/>
      <c r="N44" s="20"/>
    </row>
    <row r="45" spans="1:17" x14ac:dyDescent="0.25">
      <c r="A45" s="5" t="s">
        <v>8</v>
      </c>
      <c r="B45" s="18" t="s">
        <v>29</v>
      </c>
      <c r="C45" s="6" t="s">
        <v>9</v>
      </c>
      <c r="D45" s="6">
        <v>4</v>
      </c>
      <c r="E45" s="7">
        <v>400</v>
      </c>
      <c r="F45" s="7">
        <v>1600</v>
      </c>
      <c r="G45" s="8">
        <v>46259</v>
      </c>
      <c r="H45" s="8" t="s">
        <v>13</v>
      </c>
      <c r="I45" s="4"/>
    </row>
    <row r="46" spans="1:17" x14ac:dyDescent="0.25">
      <c r="A46" s="5" t="s">
        <v>8</v>
      </c>
      <c r="B46" s="18" t="s">
        <v>28</v>
      </c>
      <c r="C46" s="6" t="s">
        <v>9</v>
      </c>
      <c r="D46" s="6">
        <v>2</v>
      </c>
      <c r="E46" s="7">
        <v>400</v>
      </c>
      <c r="F46" s="7">
        <v>800</v>
      </c>
      <c r="G46" s="8">
        <v>46259</v>
      </c>
      <c r="H46" s="8" t="s">
        <v>17</v>
      </c>
      <c r="I46" s="4"/>
    </row>
    <row r="47" spans="1:17" ht="15.75" thickBot="1" x14ac:dyDescent="0.3">
      <c r="A47" s="9" t="s">
        <v>11</v>
      </c>
      <c r="B47" s="10" t="s">
        <v>32</v>
      </c>
      <c r="C47" s="11" t="s">
        <v>9</v>
      </c>
      <c r="D47" s="11">
        <v>18</v>
      </c>
      <c r="E47" s="12">
        <v>15.7</v>
      </c>
      <c r="F47" s="12">
        <v>282.60000000000002</v>
      </c>
      <c r="G47" s="13">
        <v>46259</v>
      </c>
      <c r="H47" s="13" t="s">
        <v>12</v>
      </c>
      <c r="I47" s="4"/>
    </row>
    <row r="48" spans="1:17" x14ac:dyDescent="0.25">
      <c r="A48" s="5" t="s">
        <v>8</v>
      </c>
      <c r="B48" s="19" t="s">
        <v>31</v>
      </c>
      <c r="C48" s="15" t="s">
        <v>9</v>
      </c>
      <c r="D48" s="15">
        <v>3</v>
      </c>
      <c r="E48" s="16">
        <v>81.89</v>
      </c>
      <c r="F48" s="16">
        <v>245.67</v>
      </c>
      <c r="G48" s="17">
        <v>46260</v>
      </c>
      <c r="H48" s="17" t="s">
        <v>10</v>
      </c>
      <c r="I48" s="4"/>
    </row>
    <row r="49" spans="1:17" x14ac:dyDescent="0.25">
      <c r="A49" s="5" t="s">
        <v>8</v>
      </c>
      <c r="B49" s="18" t="s">
        <v>33</v>
      </c>
      <c r="C49" s="6" t="s">
        <v>9</v>
      </c>
      <c r="D49" s="6">
        <v>5</v>
      </c>
      <c r="E49" s="7">
        <v>81.89</v>
      </c>
      <c r="F49" s="7">
        <v>409.45</v>
      </c>
      <c r="G49" s="8">
        <v>46260</v>
      </c>
      <c r="H49" s="8" t="s">
        <v>10</v>
      </c>
      <c r="I49" s="4"/>
    </row>
    <row r="50" spans="1:17" ht="15.75" thickBot="1" x14ac:dyDescent="0.3">
      <c r="A50" s="9" t="s">
        <v>11</v>
      </c>
      <c r="B50" s="10" t="s">
        <v>34</v>
      </c>
      <c r="C50" s="11" t="s">
        <v>9</v>
      </c>
      <c r="D50" s="11">
        <v>8</v>
      </c>
      <c r="E50" s="12">
        <v>15.7</v>
      </c>
      <c r="F50" s="12">
        <v>125.6</v>
      </c>
      <c r="G50" s="13">
        <v>46260</v>
      </c>
      <c r="H50" s="13" t="s">
        <v>12</v>
      </c>
      <c r="I50" s="4"/>
    </row>
    <row r="51" spans="1:17" x14ac:dyDescent="0.25">
      <c r="A51" s="5" t="s">
        <v>8</v>
      </c>
      <c r="B51" s="19" t="s">
        <v>30</v>
      </c>
      <c r="C51" s="15" t="s">
        <v>9</v>
      </c>
      <c r="D51" s="15">
        <v>7</v>
      </c>
      <c r="E51" s="16">
        <v>81.89</v>
      </c>
      <c r="F51" s="16">
        <v>573.23</v>
      </c>
      <c r="G51" s="17">
        <v>46261</v>
      </c>
      <c r="H51" s="17" t="s">
        <v>10</v>
      </c>
      <c r="I51" s="4"/>
    </row>
    <row r="52" spans="1:17" x14ac:dyDescent="0.25">
      <c r="A52" s="5" t="s">
        <v>8</v>
      </c>
      <c r="B52" s="18" t="s">
        <v>33</v>
      </c>
      <c r="C52" s="6" t="s">
        <v>9</v>
      </c>
      <c r="D52" s="6">
        <v>4</v>
      </c>
      <c r="E52" s="7">
        <v>81.89</v>
      </c>
      <c r="F52" s="7">
        <v>327.56</v>
      </c>
      <c r="G52" s="8">
        <v>46261</v>
      </c>
      <c r="H52" s="8" t="s">
        <v>10</v>
      </c>
      <c r="I52" s="4"/>
    </row>
    <row r="53" spans="1:17" x14ac:dyDescent="0.25">
      <c r="A53" s="5" t="s">
        <v>8</v>
      </c>
      <c r="B53" s="18" t="s">
        <v>35</v>
      </c>
      <c r="C53" s="6" t="s">
        <v>9</v>
      </c>
      <c r="D53" s="6">
        <v>5</v>
      </c>
      <c r="E53" s="7">
        <v>400</v>
      </c>
      <c r="F53" s="7">
        <v>2000</v>
      </c>
      <c r="G53" s="8">
        <v>46261</v>
      </c>
      <c r="H53" s="8" t="s">
        <v>13</v>
      </c>
      <c r="I53" s="4"/>
    </row>
    <row r="54" spans="1:17" x14ac:dyDescent="0.25">
      <c r="A54" s="5" t="s">
        <v>8</v>
      </c>
      <c r="B54" s="18" t="s">
        <v>36</v>
      </c>
      <c r="C54" s="6" t="s">
        <v>9</v>
      </c>
      <c r="D54" s="6">
        <v>1</v>
      </c>
      <c r="E54" s="7">
        <v>300</v>
      </c>
      <c r="F54" s="7">
        <v>300</v>
      </c>
      <c r="G54" s="8">
        <v>46261</v>
      </c>
      <c r="H54" s="8" t="s">
        <v>18</v>
      </c>
      <c r="I54" s="4"/>
    </row>
    <row r="55" spans="1:17" ht="15.75" thickBot="1" x14ac:dyDescent="0.3">
      <c r="A55" s="9" t="s">
        <v>11</v>
      </c>
      <c r="B55" s="10" t="s">
        <v>30</v>
      </c>
      <c r="C55" s="11" t="s">
        <v>9</v>
      </c>
      <c r="D55" s="11">
        <v>17</v>
      </c>
      <c r="E55" s="12">
        <v>15.7</v>
      </c>
      <c r="F55" s="12">
        <v>266.89999999999998</v>
      </c>
      <c r="G55" s="13">
        <v>46261</v>
      </c>
      <c r="H55" s="13" t="s">
        <v>12</v>
      </c>
      <c r="I55" s="4"/>
    </row>
    <row r="56" spans="1:17" x14ac:dyDescent="0.25">
      <c r="A56" s="30" t="s">
        <v>14</v>
      </c>
      <c r="B56" s="19" t="s">
        <v>26</v>
      </c>
      <c r="C56" s="15" t="s">
        <v>9</v>
      </c>
      <c r="D56" s="15">
        <v>27</v>
      </c>
      <c r="E56" s="16">
        <v>12.33</v>
      </c>
      <c r="F56" s="16">
        <v>332.91</v>
      </c>
      <c r="G56" s="17">
        <v>46238</v>
      </c>
      <c r="H56" s="17" t="s">
        <v>12</v>
      </c>
      <c r="I56" s="4"/>
    </row>
    <row r="57" spans="1:17" x14ac:dyDescent="0.25">
      <c r="A57" s="29" t="s">
        <v>14</v>
      </c>
      <c r="B57" s="18" t="s">
        <v>28</v>
      </c>
      <c r="C57" s="6" t="s">
        <v>9</v>
      </c>
      <c r="D57" s="6">
        <v>31</v>
      </c>
      <c r="E57" s="7">
        <v>12.33</v>
      </c>
      <c r="F57" s="7">
        <v>382.23</v>
      </c>
      <c r="G57" s="8">
        <v>46247</v>
      </c>
      <c r="H57" s="8" t="s">
        <v>12</v>
      </c>
      <c r="I57" s="4"/>
    </row>
    <row r="58" spans="1:17" x14ac:dyDescent="0.25">
      <c r="A58" s="29" t="s">
        <v>14</v>
      </c>
      <c r="B58" s="18" t="s">
        <v>37</v>
      </c>
      <c r="C58" s="6" t="s">
        <v>9</v>
      </c>
      <c r="D58" s="6">
        <v>33</v>
      </c>
      <c r="E58" s="7">
        <v>12.33</v>
      </c>
      <c r="F58" s="7">
        <v>406.89</v>
      </c>
      <c r="G58" s="8">
        <v>46249</v>
      </c>
      <c r="H58" s="8" t="s">
        <v>12</v>
      </c>
      <c r="I58" s="4"/>
    </row>
    <row r="59" spans="1:17" x14ac:dyDescent="0.25">
      <c r="A59" s="29" t="s">
        <v>14</v>
      </c>
      <c r="B59" s="18" t="s">
        <v>35</v>
      </c>
      <c r="C59" s="6" t="s">
        <v>9</v>
      </c>
      <c r="D59" s="6">
        <v>31</v>
      </c>
      <c r="E59" s="7">
        <v>12.33</v>
      </c>
      <c r="F59" s="7">
        <v>382.23</v>
      </c>
      <c r="G59" s="8">
        <v>46252</v>
      </c>
      <c r="H59" s="8" t="s">
        <v>12</v>
      </c>
      <c r="I59" s="4"/>
    </row>
    <row r="60" spans="1:17" ht="15.75" thickBot="1" x14ac:dyDescent="0.3">
      <c r="A60" s="9" t="s">
        <v>14</v>
      </c>
      <c r="B60" s="10" t="s">
        <v>38</v>
      </c>
      <c r="C60" s="11" t="s">
        <v>9</v>
      </c>
      <c r="D60" s="11">
        <v>30</v>
      </c>
      <c r="E60" s="12">
        <v>12.33</v>
      </c>
      <c r="F60" s="12">
        <v>369.9</v>
      </c>
      <c r="G60" s="13">
        <v>46259</v>
      </c>
      <c r="H60" s="13" t="s">
        <v>12</v>
      </c>
      <c r="I60" s="4"/>
    </row>
    <row r="61" spans="1:17" ht="15.75" thickBot="1" x14ac:dyDescent="0.3">
      <c r="A61" s="21" t="s">
        <v>19</v>
      </c>
      <c r="B61" s="31" t="s">
        <v>26</v>
      </c>
      <c r="C61" s="22" t="s">
        <v>9</v>
      </c>
      <c r="D61" s="22">
        <v>2</v>
      </c>
      <c r="E61" s="23">
        <v>500</v>
      </c>
      <c r="F61" s="23">
        <v>1000</v>
      </c>
      <c r="G61" s="24">
        <v>46243</v>
      </c>
      <c r="H61" s="24" t="s">
        <v>12</v>
      </c>
      <c r="I61" s="4"/>
      <c r="J61" s="4"/>
      <c r="N61"/>
      <c r="O61"/>
      <c r="P61"/>
      <c r="Q61"/>
    </row>
    <row r="62" spans="1:17" ht="15.75" thickBot="1" x14ac:dyDescent="0.3">
      <c r="A62" s="21" t="s">
        <v>19</v>
      </c>
      <c r="B62" s="31" t="s">
        <v>29</v>
      </c>
      <c r="C62" s="22" t="s">
        <v>9</v>
      </c>
      <c r="D62" s="22">
        <v>2</v>
      </c>
      <c r="E62" s="23">
        <v>500</v>
      </c>
      <c r="F62" s="23">
        <v>1000</v>
      </c>
      <c r="G62" s="24">
        <v>46253</v>
      </c>
      <c r="H62" s="24" t="s">
        <v>12</v>
      </c>
      <c r="I62" s="4"/>
    </row>
    <row r="63" spans="1:17" ht="15.75" thickBot="1" x14ac:dyDescent="0.3">
      <c r="A63" s="21" t="s">
        <v>19</v>
      </c>
      <c r="B63" s="31" t="s">
        <v>38</v>
      </c>
      <c r="C63" s="22" t="s">
        <v>9</v>
      </c>
      <c r="D63" s="22">
        <v>2</v>
      </c>
      <c r="E63" s="23">
        <v>500</v>
      </c>
      <c r="F63" s="23">
        <v>1000</v>
      </c>
      <c r="G63" s="24">
        <v>46265</v>
      </c>
      <c r="H63" s="24" t="s">
        <v>12</v>
      </c>
      <c r="I63" s="4"/>
    </row>
    <row r="64" spans="1:17" ht="15.75" thickBot="1" x14ac:dyDescent="0.3">
      <c r="A64" s="21" t="s">
        <v>39</v>
      </c>
      <c r="B64" s="31" t="s">
        <v>12</v>
      </c>
      <c r="C64" s="22" t="s">
        <v>12</v>
      </c>
      <c r="D64" s="22">
        <v>5</v>
      </c>
      <c r="E64" s="23">
        <v>120</v>
      </c>
      <c r="F64" s="23">
        <v>600</v>
      </c>
      <c r="G64" s="24" t="s">
        <v>12</v>
      </c>
      <c r="H64" s="24" t="s">
        <v>20</v>
      </c>
      <c r="I64" s="4"/>
    </row>
    <row r="65" spans="5:6" x14ac:dyDescent="0.25">
      <c r="F65" s="33">
        <f>SUM(F2:F64)</f>
        <v>34200.410000000003</v>
      </c>
    </row>
    <row r="67" spans="5:6" x14ac:dyDescent="0.25">
      <c r="E67" s="34" t="s">
        <v>40</v>
      </c>
      <c r="F67" s="35">
        <f>F65+Q33</f>
        <v>36587.54</v>
      </c>
    </row>
  </sheetData>
  <dataValidations count="2">
    <dataValidation type="list" allowBlank="1" showInputMessage="1" showErrorMessage="1" sqref="H1:H64" xr:uid="{22721B68-853A-433B-82B8-9BAA05414172}">
      <formula1>"Tbilisi,Batumi,Kutaisi,Gori,Zugdidi,Rustavi,-,"</formula1>
    </dataValidation>
    <dataValidation type="list" allowBlank="1" showInputMessage="1" showErrorMessage="1" sqref="A61:A64 A1:A4 A32:A38 A27:A30 A59 A11:A25 A40:A57 A6:A9" xr:uid="{C1A848B6-4FBF-4578-99C9-6C9A0E1EC956}">
      <formula1>"TRANSPORTATION,OUTBOUND,INBOUND,TRANSFER,RELOCATION,RECONSTRUCTION,"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Nino Tsomaia nts210</dc:creator>
  <cp:keywords/>
  <dc:description/>
  <cp:lastModifiedBy>Nino Tsomaia nts210</cp:lastModifiedBy>
  <cp:revision/>
  <dcterms:created xsi:type="dcterms:W3CDTF">2026-06-02T10:26:48Z</dcterms:created>
  <dcterms:modified xsi:type="dcterms:W3CDTF">2026-09-01T10:34:52Z</dcterms:modified>
  <cp:category/>
  <cp:contentStatus/>
</cp:coreProperties>
</file>