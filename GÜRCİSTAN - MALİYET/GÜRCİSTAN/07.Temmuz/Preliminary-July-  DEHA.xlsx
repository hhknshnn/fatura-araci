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s210\Downloads\"/>
    </mc:Choice>
  </mc:AlternateContent>
  <xr:revisionPtr revIDLastSave="0" documentId="8_{CC02FAFC-DFF1-4038-BC64-E8606DB609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ly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" i="1" l="1"/>
  <c r="N33" i="1"/>
  <c r="D54" i="1"/>
  <c r="D50" i="1"/>
  <c r="D45" i="1"/>
  <c r="D10" i="1"/>
</calcChain>
</file>

<file path=xl/sharedStrings.xml><?xml version="1.0" encoding="utf-8"?>
<sst xmlns="http://schemas.openxmlformats.org/spreadsheetml/2006/main" count="323" uniqueCount="54">
  <si>
    <t>Type of Service</t>
  </si>
  <si>
    <t>Order Reference</t>
  </si>
  <si>
    <t>Unit</t>
  </si>
  <si>
    <t>QTY</t>
  </si>
  <si>
    <t>Prices, Without VAT, In GEL</t>
  </si>
  <si>
    <t>Amount in GEL</t>
  </si>
  <si>
    <t>Date</t>
  </si>
  <si>
    <t>CITY</t>
  </si>
  <si>
    <t>TRANSPORTATION</t>
  </si>
  <si>
    <t>EUP</t>
  </si>
  <si>
    <t>Tbilisi</t>
  </si>
  <si>
    <t>OUTBOUND</t>
  </si>
  <si>
    <t>-</t>
  </si>
  <si>
    <t>Batumi</t>
  </si>
  <si>
    <t>INBOUND</t>
  </si>
  <si>
    <t>Rustavi</t>
  </si>
  <si>
    <t>Gori</t>
  </si>
  <si>
    <t>Zugdidi</t>
  </si>
  <si>
    <t>Kutaisi</t>
  </si>
  <si>
    <t>RELOCATION</t>
  </si>
  <si>
    <t>Pallet Quantity</t>
  </si>
  <si>
    <t>ANT095&amp;IHR221</t>
  </si>
  <si>
    <t>ANT098&amp;IHR222</t>
  </si>
  <si>
    <t>IHR228</t>
  </si>
  <si>
    <t>IHR231&amp;ANT103&amp;IHR232</t>
  </si>
  <si>
    <t>IHR242</t>
  </si>
  <si>
    <t>ANT115&amp;IHR252</t>
  </si>
  <si>
    <t>IHR221</t>
  </si>
  <si>
    <t>ANT084&amp;IHR221</t>
  </si>
  <si>
    <t>ANT095&amp;IHR221&amp;ANT084</t>
  </si>
  <si>
    <t>ANT084</t>
  </si>
  <si>
    <t>Gldani</t>
  </si>
  <si>
    <t>IHR221&amp;ANT095</t>
  </si>
  <si>
    <t>ANT095</t>
  </si>
  <si>
    <t>IHR203&amp;IHR198&amp;IHR221</t>
  </si>
  <si>
    <t>IHR203&amp;IHR198&amp;IHR221&amp;ANT095</t>
  </si>
  <si>
    <t>IHR222</t>
  </si>
  <si>
    <t>IHR222&amp;IHR228</t>
  </si>
  <si>
    <t>ANT098</t>
  </si>
  <si>
    <t>IHR222&amp;IHR228&amp;IHR221&amp;ANT098</t>
  </si>
  <si>
    <t>IHR222&amp;ANT098</t>
  </si>
  <si>
    <t>IHR228&amp;ANT103</t>
  </si>
  <si>
    <t>IHR228&amp;IHR231</t>
  </si>
  <si>
    <t>IHR231&amp;ANT103</t>
  </si>
  <si>
    <t>IHR231</t>
  </si>
  <si>
    <t>IHR228&amp;IHR231&amp;ANT103&amp;IHR232</t>
  </si>
  <si>
    <t>ANT103</t>
  </si>
  <si>
    <t>IHR231&amp;IHR232&amp;ANT103</t>
  </si>
  <si>
    <t>IHR231&amp;IHR232</t>
  </si>
  <si>
    <t>IHR232</t>
  </si>
  <si>
    <t>IHR228&amp;IHR231&amp;IHR232</t>
  </si>
  <si>
    <t>Transfer Bags Vake to Saburtalo</t>
  </si>
  <si>
    <t>IHR242&amp;IHR232</t>
  </si>
  <si>
    <t>Transportation To Gldani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</si>
</sst>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[$GEL]\ * #,##0_-;\-[$GEL]\ * #,##0_-;_-[$GEL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38"/>
    </font>
    <font>
      <sz val="8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4" fontId="3" fillId="0" borderId="6" xfId="0" applyNumberFormat="1" applyFont="1" applyBorder="1"/>
    <xf numFmtId="14" fontId="3" fillId="0" borderId="4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4" borderId="10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tabSelected="1" topLeftCell="A31" workbookViewId="0">
      <selection activeCell="I57" sqref="I57"/>
    </sheetView>
  </sheetViews>
  <sheetFormatPr defaultRowHeight="15" x14ac:dyDescent="0.25"/>
  <cols>
    <col min="1" max="1" width="42.42578125" customWidth="1"/>
    <col min="2" max="2" width="58.85546875" customWidth="1"/>
    <col min="7" max="7" width="15.7109375" bestFit="1" customWidth="1"/>
    <col min="8" max="8" width="13.5703125" customWidth="1"/>
    <col min="9" max="9" width="40.28515625" bestFit="1" customWidth="1"/>
    <col min="11" max="11" width="9.140625" style="4"/>
    <col min="12" max="14" width="9.140625" style="20"/>
  </cols>
  <sheetData>
    <row r="1" spans="1:14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4"/>
      <c r="K1" s="1" t="s">
        <v>6</v>
      </c>
      <c r="L1" s="1" t="s">
        <v>20</v>
      </c>
      <c r="M1" s="1" t="s">
        <v>4</v>
      </c>
      <c r="N1" s="1" t="s">
        <v>5</v>
      </c>
    </row>
    <row r="2" spans="1:14" x14ac:dyDescent="0.25">
      <c r="A2" s="14" t="s">
        <v>14</v>
      </c>
      <c r="B2" s="15" t="s">
        <v>22</v>
      </c>
      <c r="C2" s="15" t="s">
        <v>9</v>
      </c>
      <c r="D2" s="15">
        <v>32</v>
      </c>
      <c r="E2" s="16">
        <v>12.33</v>
      </c>
      <c r="F2" s="16">
        <v>394.56</v>
      </c>
      <c r="G2" s="30">
        <v>46210</v>
      </c>
      <c r="H2" s="17" t="s">
        <v>12</v>
      </c>
      <c r="K2" s="29">
        <v>46204</v>
      </c>
      <c r="L2" s="25">
        <v>42</v>
      </c>
      <c r="M2" s="25">
        <v>1.41</v>
      </c>
      <c r="N2" s="25">
        <v>59.22</v>
      </c>
    </row>
    <row r="3" spans="1:14" x14ac:dyDescent="0.25">
      <c r="A3" s="14" t="s">
        <v>14</v>
      </c>
      <c r="B3" s="6" t="s">
        <v>23</v>
      </c>
      <c r="C3" s="6" t="s">
        <v>9</v>
      </c>
      <c r="D3" s="6">
        <v>27</v>
      </c>
      <c r="E3" s="16">
        <v>12.33</v>
      </c>
      <c r="F3" s="16">
        <v>332.91</v>
      </c>
      <c r="G3" s="31">
        <v>46213</v>
      </c>
      <c r="H3" s="8" t="s">
        <v>12</v>
      </c>
      <c r="K3" s="29">
        <v>46205</v>
      </c>
      <c r="L3" s="25">
        <v>32</v>
      </c>
      <c r="M3" s="25">
        <v>1.41</v>
      </c>
      <c r="N3" s="25">
        <v>45.12</v>
      </c>
    </row>
    <row r="4" spans="1:14" x14ac:dyDescent="0.25">
      <c r="A4" s="14" t="s">
        <v>14</v>
      </c>
      <c r="B4" s="6" t="s">
        <v>24</v>
      </c>
      <c r="C4" s="6" t="s">
        <v>9</v>
      </c>
      <c r="D4" s="6">
        <v>49</v>
      </c>
      <c r="E4" s="16">
        <v>12.33</v>
      </c>
      <c r="F4" s="16">
        <v>604.16999999999996</v>
      </c>
      <c r="G4" s="8">
        <v>46216</v>
      </c>
      <c r="H4" s="8" t="s">
        <v>12</v>
      </c>
      <c r="K4" s="29">
        <v>46206</v>
      </c>
      <c r="L4" s="25">
        <v>29</v>
      </c>
      <c r="M4" s="25">
        <v>1.41</v>
      </c>
      <c r="N4" s="25">
        <v>40.89</v>
      </c>
    </row>
    <row r="5" spans="1:14" x14ac:dyDescent="0.25">
      <c r="A5" s="14" t="s">
        <v>14</v>
      </c>
      <c r="B5" s="6" t="s">
        <v>25</v>
      </c>
      <c r="C5" s="6" t="s">
        <v>9</v>
      </c>
      <c r="D5" s="6">
        <v>31</v>
      </c>
      <c r="E5" s="16">
        <v>12.33</v>
      </c>
      <c r="F5" s="16">
        <v>382.23</v>
      </c>
      <c r="G5" s="8">
        <v>46223</v>
      </c>
      <c r="H5" s="8" t="s">
        <v>12</v>
      </c>
      <c r="K5" s="29">
        <v>46207</v>
      </c>
      <c r="L5" s="25">
        <v>29</v>
      </c>
      <c r="M5" s="25">
        <v>1.41</v>
      </c>
      <c r="N5" s="25">
        <v>40.89</v>
      </c>
    </row>
    <row r="6" spans="1:14" ht="15.75" thickBot="1" x14ac:dyDescent="0.3">
      <c r="A6" s="9" t="s">
        <v>14</v>
      </c>
      <c r="B6" s="11" t="s">
        <v>26</v>
      </c>
      <c r="C6" s="11" t="s">
        <v>9</v>
      </c>
      <c r="D6" s="11">
        <v>31</v>
      </c>
      <c r="E6" s="12">
        <v>12.33</v>
      </c>
      <c r="F6" s="12">
        <v>382.23</v>
      </c>
      <c r="G6" s="13">
        <v>46230</v>
      </c>
      <c r="H6" s="13" t="s">
        <v>12</v>
      </c>
      <c r="K6" s="29">
        <v>46208</v>
      </c>
      <c r="L6" s="25">
        <v>29</v>
      </c>
      <c r="M6" s="25">
        <v>1.41</v>
      </c>
      <c r="N6" s="25">
        <v>40.89</v>
      </c>
    </row>
    <row r="7" spans="1:14" x14ac:dyDescent="0.25">
      <c r="A7" s="5" t="s">
        <v>8</v>
      </c>
      <c r="B7" s="6" t="s">
        <v>21</v>
      </c>
      <c r="C7" s="6" t="s">
        <v>9</v>
      </c>
      <c r="D7" s="6">
        <v>5</v>
      </c>
      <c r="E7" s="7">
        <v>400</v>
      </c>
      <c r="F7" s="7">
        <v>2000</v>
      </c>
      <c r="G7" s="8">
        <v>46204</v>
      </c>
      <c r="H7" s="8" t="s">
        <v>13</v>
      </c>
      <c r="K7" s="29">
        <v>46209</v>
      </c>
      <c r="L7" s="25">
        <v>28</v>
      </c>
      <c r="M7" s="25">
        <v>1.41</v>
      </c>
      <c r="N7" s="25">
        <v>39.479999999999997</v>
      </c>
    </row>
    <row r="8" spans="1:14" x14ac:dyDescent="0.25">
      <c r="A8" s="5" t="s">
        <v>8</v>
      </c>
      <c r="B8" s="6" t="s">
        <v>27</v>
      </c>
      <c r="C8" s="6" t="s">
        <v>9</v>
      </c>
      <c r="D8" s="6">
        <v>9</v>
      </c>
      <c r="E8" s="7">
        <v>81.89</v>
      </c>
      <c r="F8" s="7">
        <v>737.01</v>
      </c>
      <c r="G8" s="8">
        <v>46204</v>
      </c>
      <c r="H8" s="8" t="s">
        <v>10</v>
      </c>
      <c r="K8" s="29">
        <v>46210</v>
      </c>
      <c r="L8" s="25">
        <v>55</v>
      </c>
      <c r="M8" s="25">
        <v>1.41</v>
      </c>
      <c r="N8" s="25">
        <v>77.55</v>
      </c>
    </row>
    <row r="9" spans="1:14" x14ac:dyDescent="0.25">
      <c r="A9" s="5" t="s">
        <v>8</v>
      </c>
      <c r="B9" s="6" t="s">
        <v>28</v>
      </c>
      <c r="C9" s="6" t="s">
        <v>9</v>
      </c>
      <c r="D9" s="6">
        <v>4</v>
      </c>
      <c r="E9" s="7">
        <v>81.89</v>
      </c>
      <c r="F9" s="7">
        <v>327.56</v>
      </c>
      <c r="G9" s="8">
        <v>46204</v>
      </c>
      <c r="H9" s="8" t="s">
        <v>10</v>
      </c>
      <c r="K9" s="29">
        <v>46211</v>
      </c>
      <c r="L9" s="25">
        <v>55</v>
      </c>
      <c r="M9" s="25">
        <v>1.41</v>
      </c>
      <c r="N9" s="25">
        <v>77.55</v>
      </c>
    </row>
    <row r="10" spans="1:14" ht="15.75" thickBot="1" x14ac:dyDescent="0.3">
      <c r="A10" s="9" t="s">
        <v>11</v>
      </c>
      <c r="B10" s="11" t="s">
        <v>29</v>
      </c>
      <c r="C10" s="11" t="s">
        <v>9</v>
      </c>
      <c r="D10" s="11">
        <f>SUM(D7:D9)</f>
        <v>18</v>
      </c>
      <c r="E10" s="12">
        <v>15.7</v>
      </c>
      <c r="F10" s="12">
        <v>282.60000000000002</v>
      </c>
      <c r="G10" s="13">
        <v>46204</v>
      </c>
      <c r="H10" s="13" t="s">
        <v>12</v>
      </c>
      <c r="K10" s="29">
        <v>46212</v>
      </c>
      <c r="L10" s="25">
        <v>55</v>
      </c>
      <c r="M10" s="25">
        <v>1.41</v>
      </c>
      <c r="N10" s="25">
        <v>77.55</v>
      </c>
    </row>
    <row r="11" spans="1:14" x14ac:dyDescent="0.25">
      <c r="A11" s="5" t="s">
        <v>8</v>
      </c>
      <c r="B11" s="15" t="s">
        <v>30</v>
      </c>
      <c r="C11" s="15" t="s">
        <v>9</v>
      </c>
      <c r="D11" s="15">
        <v>4</v>
      </c>
      <c r="E11" s="16">
        <v>81.89</v>
      </c>
      <c r="F11" s="16">
        <v>327.56</v>
      </c>
      <c r="G11" s="17">
        <v>46205</v>
      </c>
      <c r="H11" s="17" t="s">
        <v>10</v>
      </c>
      <c r="K11" s="29">
        <v>46213</v>
      </c>
      <c r="L11" s="25">
        <v>82</v>
      </c>
      <c r="M11" s="25">
        <v>1.41</v>
      </c>
      <c r="N11" s="25">
        <v>115.62</v>
      </c>
    </row>
    <row r="12" spans="1:14" x14ac:dyDescent="0.25">
      <c r="A12" s="5" t="s">
        <v>8</v>
      </c>
      <c r="B12" s="18" t="s">
        <v>27</v>
      </c>
      <c r="C12" s="6" t="s">
        <v>9</v>
      </c>
      <c r="D12" s="6">
        <v>6</v>
      </c>
      <c r="E12" s="7">
        <v>81.89</v>
      </c>
      <c r="F12" s="7">
        <v>491.34</v>
      </c>
      <c r="G12" s="8">
        <v>46205</v>
      </c>
      <c r="H12" s="8" t="s">
        <v>31</v>
      </c>
      <c r="K12" s="29">
        <v>46214</v>
      </c>
      <c r="L12" s="25">
        <v>82</v>
      </c>
      <c r="M12" s="25">
        <v>1.41</v>
      </c>
      <c r="N12" s="25">
        <v>115.62</v>
      </c>
    </row>
    <row r="13" spans="1:14" ht="15.75" thickBot="1" x14ac:dyDescent="0.3">
      <c r="A13" s="9" t="s">
        <v>11</v>
      </c>
      <c r="B13" s="11" t="s">
        <v>28</v>
      </c>
      <c r="C13" s="11" t="s">
        <v>9</v>
      </c>
      <c r="D13" s="11">
        <v>10</v>
      </c>
      <c r="E13" s="12">
        <v>15.7</v>
      </c>
      <c r="F13" s="12">
        <v>157</v>
      </c>
      <c r="G13" s="13">
        <v>46205</v>
      </c>
      <c r="H13" s="13" t="s">
        <v>12</v>
      </c>
      <c r="K13" s="29">
        <v>46215</v>
      </c>
      <c r="L13" s="25">
        <v>82</v>
      </c>
      <c r="M13" s="25">
        <v>1.41</v>
      </c>
      <c r="N13" s="25">
        <v>115.62</v>
      </c>
    </row>
    <row r="14" spans="1:14" x14ac:dyDescent="0.25">
      <c r="A14" s="5" t="s">
        <v>8</v>
      </c>
      <c r="B14" s="15" t="s">
        <v>32</v>
      </c>
      <c r="C14" s="15" t="s">
        <v>9</v>
      </c>
      <c r="D14" s="15">
        <v>3</v>
      </c>
      <c r="E14" s="16">
        <v>81.89</v>
      </c>
      <c r="F14" s="16">
        <v>245.67</v>
      </c>
      <c r="G14" s="17">
        <v>46206</v>
      </c>
      <c r="H14" s="17" t="s">
        <v>10</v>
      </c>
      <c r="K14" s="29">
        <v>46216</v>
      </c>
      <c r="L14" s="25">
        <v>120</v>
      </c>
      <c r="M14" s="25">
        <v>1.41</v>
      </c>
      <c r="N14" s="25">
        <v>169.2</v>
      </c>
    </row>
    <row r="15" spans="1:14" ht="15.75" thickBot="1" x14ac:dyDescent="0.3">
      <c r="A15" s="9" t="s">
        <v>11</v>
      </c>
      <c r="B15" s="11" t="s">
        <v>32</v>
      </c>
      <c r="C15" s="11" t="s">
        <v>9</v>
      </c>
      <c r="D15" s="11">
        <v>3</v>
      </c>
      <c r="E15" s="12">
        <v>15.7</v>
      </c>
      <c r="F15" s="12">
        <v>47.1</v>
      </c>
      <c r="G15" s="13">
        <v>46206</v>
      </c>
      <c r="H15" s="13" t="s">
        <v>12</v>
      </c>
      <c r="K15" s="29">
        <v>46217</v>
      </c>
      <c r="L15" s="25">
        <v>111</v>
      </c>
      <c r="M15" s="25">
        <v>1.41</v>
      </c>
      <c r="N15" s="25">
        <v>156.51</v>
      </c>
    </row>
    <row r="16" spans="1:14" x14ac:dyDescent="0.25">
      <c r="A16" s="5" t="s">
        <v>8</v>
      </c>
      <c r="B16" s="19" t="s">
        <v>33</v>
      </c>
      <c r="C16" s="15" t="s">
        <v>9</v>
      </c>
      <c r="D16" s="15">
        <v>1</v>
      </c>
      <c r="E16" s="27">
        <v>81.89</v>
      </c>
      <c r="F16" s="27">
        <v>81.89</v>
      </c>
      <c r="G16" s="17">
        <v>46209</v>
      </c>
      <c r="H16" s="17" t="s">
        <v>10</v>
      </c>
      <c r="K16" s="29">
        <v>46218</v>
      </c>
      <c r="L16" s="25">
        <v>98</v>
      </c>
      <c r="M16" s="25">
        <v>1.41</v>
      </c>
      <c r="N16" s="25">
        <v>138.18</v>
      </c>
    </row>
    <row r="17" spans="1:14" x14ac:dyDescent="0.25">
      <c r="A17" s="5" t="s">
        <v>8</v>
      </c>
      <c r="B17" s="18" t="s">
        <v>33</v>
      </c>
      <c r="C17" s="6" t="s">
        <v>9</v>
      </c>
      <c r="D17" s="6">
        <v>2</v>
      </c>
      <c r="E17" s="7">
        <v>81.89</v>
      </c>
      <c r="F17" s="7">
        <v>163.78</v>
      </c>
      <c r="G17" s="8">
        <v>46209</v>
      </c>
      <c r="H17" s="8" t="s">
        <v>10</v>
      </c>
      <c r="K17" s="29">
        <v>46219</v>
      </c>
      <c r="L17" s="25">
        <v>93</v>
      </c>
      <c r="M17" s="25">
        <v>1.41</v>
      </c>
      <c r="N17" s="25">
        <v>131.13</v>
      </c>
    </row>
    <row r="18" spans="1:14" ht="15.75" thickBot="1" x14ac:dyDescent="0.3">
      <c r="A18" s="9" t="s">
        <v>11</v>
      </c>
      <c r="B18" s="10" t="s">
        <v>33</v>
      </c>
      <c r="C18" s="11" t="s">
        <v>9</v>
      </c>
      <c r="D18" s="11">
        <v>3</v>
      </c>
      <c r="E18" s="28">
        <v>15.7</v>
      </c>
      <c r="F18" s="28">
        <v>47.1</v>
      </c>
      <c r="G18" s="13">
        <v>46209</v>
      </c>
      <c r="H18" s="13" t="s">
        <v>12</v>
      </c>
      <c r="K18" s="29">
        <v>46220</v>
      </c>
      <c r="L18" s="25">
        <v>93</v>
      </c>
      <c r="M18" s="25">
        <v>1.41</v>
      </c>
      <c r="N18" s="25">
        <v>131.13</v>
      </c>
    </row>
    <row r="19" spans="1:14" x14ac:dyDescent="0.25">
      <c r="A19" s="14" t="s">
        <v>8</v>
      </c>
      <c r="B19" s="19" t="s">
        <v>34</v>
      </c>
      <c r="C19" s="15" t="s">
        <v>9</v>
      </c>
      <c r="D19" s="15">
        <v>3</v>
      </c>
      <c r="E19" s="16">
        <v>190</v>
      </c>
      <c r="F19" s="16">
        <v>570</v>
      </c>
      <c r="G19" s="17">
        <v>46210</v>
      </c>
      <c r="H19" s="17" t="s">
        <v>16</v>
      </c>
      <c r="K19" s="29">
        <v>46221</v>
      </c>
      <c r="L19" s="25">
        <v>93</v>
      </c>
      <c r="M19" s="25">
        <v>1.41</v>
      </c>
      <c r="N19" s="25">
        <v>131.13</v>
      </c>
    </row>
    <row r="20" spans="1:14" x14ac:dyDescent="0.25">
      <c r="A20" s="5" t="s">
        <v>8</v>
      </c>
      <c r="B20" s="18" t="s">
        <v>33</v>
      </c>
      <c r="C20" s="6" t="s">
        <v>9</v>
      </c>
      <c r="D20" s="6">
        <v>2</v>
      </c>
      <c r="E20" s="7">
        <v>81.89</v>
      </c>
      <c r="F20" s="7">
        <v>163.78</v>
      </c>
      <c r="G20" s="8">
        <v>46210</v>
      </c>
      <c r="H20" s="5" t="s">
        <v>10</v>
      </c>
      <c r="K20" s="29">
        <v>46222</v>
      </c>
      <c r="L20" s="25">
        <v>93</v>
      </c>
      <c r="M20" s="25">
        <v>1.41</v>
      </c>
      <c r="N20" s="25">
        <v>131.13</v>
      </c>
    </row>
    <row r="21" spans="1:14" ht="15.75" thickBot="1" x14ac:dyDescent="0.3">
      <c r="A21" s="9" t="s">
        <v>11</v>
      </c>
      <c r="B21" s="10" t="s">
        <v>35</v>
      </c>
      <c r="C21" s="11" t="s">
        <v>9</v>
      </c>
      <c r="D21" s="11">
        <v>5</v>
      </c>
      <c r="E21" s="12">
        <v>15.7</v>
      </c>
      <c r="F21" s="12">
        <v>78.5</v>
      </c>
      <c r="G21" s="13">
        <v>46210</v>
      </c>
      <c r="H21" s="9" t="s">
        <v>12</v>
      </c>
      <c r="K21" s="29">
        <v>46223</v>
      </c>
      <c r="L21" s="25">
        <v>112</v>
      </c>
      <c r="M21" s="25">
        <v>1.41</v>
      </c>
      <c r="N21" s="25">
        <v>157.91999999999999</v>
      </c>
    </row>
    <row r="22" spans="1:14" x14ac:dyDescent="0.25">
      <c r="A22" s="14" t="s">
        <v>8</v>
      </c>
      <c r="B22" s="19" t="s">
        <v>36</v>
      </c>
      <c r="C22" s="15" t="s">
        <v>9</v>
      </c>
      <c r="D22" s="15">
        <v>3</v>
      </c>
      <c r="E22" s="16">
        <v>400</v>
      </c>
      <c r="F22" s="16">
        <v>1200</v>
      </c>
      <c r="G22" s="17">
        <v>46216</v>
      </c>
      <c r="H22" s="14" t="s">
        <v>13</v>
      </c>
      <c r="K22" s="29">
        <v>46224</v>
      </c>
      <c r="L22" s="25">
        <v>97</v>
      </c>
      <c r="M22" s="25">
        <v>1.41</v>
      </c>
      <c r="N22" s="25">
        <v>136.77000000000001</v>
      </c>
    </row>
    <row r="23" spans="1:14" x14ac:dyDescent="0.25">
      <c r="A23" s="5" t="s">
        <v>8</v>
      </c>
      <c r="B23" s="19" t="s">
        <v>36</v>
      </c>
      <c r="C23" s="6" t="s">
        <v>9</v>
      </c>
      <c r="D23" s="6">
        <v>1</v>
      </c>
      <c r="E23" s="7">
        <v>190</v>
      </c>
      <c r="F23" s="7">
        <v>190</v>
      </c>
      <c r="G23" s="17">
        <v>46216</v>
      </c>
      <c r="H23" s="5" t="s">
        <v>16</v>
      </c>
      <c r="K23" s="29">
        <v>46225</v>
      </c>
      <c r="L23" s="25">
        <v>82</v>
      </c>
      <c r="M23" s="25">
        <v>1.41</v>
      </c>
      <c r="N23" s="25">
        <v>115.62</v>
      </c>
    </row>
    <row r="24" spans="1:14" x14ac:dyDescent="0.25">
      <c r="A24" s="5" t="s">
        <v>8</v>
      </c>
      <c r="B24" s="19" t="s">
        <v>36</v>
      </c>
      <c r="C24" s="6" t="s">
        <v>9</v>
      </c>
      <c r="D24" s="6">
        <v>4</v>
      </c>
      <c r="E24" s="7">
        <v>81.89</v>
      </c>
      <c r="F24" s="7">
        <v>327.56</v>
      </c>
      <c r="G24" s="17">
        <v>46216</v>
      </c>
      <c r="H24" s="8" t="s">
        <v>10</v>
      </c>
      <c r="K24" s="29">
        <v>46226</v>
      </c>
      <c r="L24" s="25">
        <v>61</v>
      </c>
      <c r="M24" s="25">
        <v>1.41</v>
      </c>
      <c r="N24" s="25">
        <v>86.01</v>
      </c>
    </row>
    <row r="25" spans="1:14" x14ac:dyDescent="0.25">
      <c r="A25" s="5" t="s">
        <v>8</v>
      </c>
      <c r="B25" s="19" t="s">
        <v>36</v>
      </c>
      <c r="C25" s="6" t="s">
        <v>9</v>
      </c>
      <c r="D25" s="6">
        <v>3</v>
      </c>
      <c r="E25" s="7">
        <v>81.89</v>
      </c>
      <c r="F25" s="7">
        <v>245.67</v>
      </c>
      <c r="G25" s="17">
        <v>46216</v>
      </c>
      <c r="H25" s="8" t="s">
        <v>10</v>
      </c>
      <c r="K25" s="29">
        <v>46227</v>
      </c>
      <c r="L25" s="25">
        <v>53</v>
      </c>
      <c r="M25" s="25">
        <v>1.41</v>
      </c>
      <c r="N25" s="25">
        <v>74.73</v>
      </c>
    </row>
    <row r="26" spans="1:14" ht="15.75" thickBot="1" x14ac:dyDescent="0.3">
      <c r="A26" s="9" t="s">
        <v>11</v>
      </c>
      <c r="B26" s="10" t="s">
        <v>36</v>
      </c>
      <c r="C26" s="11" t="s">
        <v>9</v>
      </c>
      <c r="D26" s="11">
        <v>11</v>
      </c>
      <c r="E26" s="12">
        <v>15.7</v>
      </c>
      <c r="F26" s="12">
        <v>172.7</v>
      </c>
      <c r="G26" s="13">
        <v>46216</v>
      </c>
      <c r="H26" s="13" t="s">
        <v>12</v>
      </c>
      <c r="K26" s="29">
        <v>46228</v>
      </c>
      <c r="L26" s="25">
        <v>53</v>
      </c>
      <c r="M26" s="25">
        <v>1.41</v>
      </c>
      <c r="N26" s="25">
        <v>74.73</v>
      </c>
    </row>
    <row r="27" spans="1:14" x14ac:dyDescent="0.25">
      <c r="A27" s="14" t="s">
        <v>8</v>
      </c>
      <c r="B27" s="15" t="s">
        <v>37</v>
      </c>
      <c r="C27" s="15" t="s">
        <v>9</v>
      </c>
      <c r="D27" s="15">
        <v>3</v>
      </c>
      <c r="E27" s="16">
        <v>300</v>
      </c>
      <c r="F27" s="16">
        <v>900</v>
      </c>
      <c r="G27" s="17">
        <v>46217</v>
      </c>
      <c r="H27" s="17" t="s">
        <v>18</v>
      </c>
      <c r="K27" s="29">
        <v>46229</v>
      </c>
      <c r="L27" s="25">
        <v>53</v>
      </c>
      <c r="M27" s="25">
        <v>1.41</v>
      </c>
      <c r="N27" s="25">
        <v>74.73</v>
      </c>
    </row>
    <row r="28" spans="1:14" x14ac:dyDescent="0.25">
      <c r="A28" s="6" t="s">
        <v>8</v>
      </c>
      <c r="B28" s="6" t="s">
        <v>27</v>
      </c>
      <c r="C28" s="6" t="s">
        <v>9</v>
      </c>
      <c r="D28" s="6">
        <v>2</v>
      </c>
      <c r="E28" s="7">
        <v>94.17</v>
      </c>
      <c r="F28" s="7">
        <v>188.34</v>
      </c>
      <c r="G28" s="17">
        <v>46217</v>
      </c>
      <c r="H28" s="8" t="s">
        <v>15</v>
      </c>
      <c r="K28" s="29">
        <v>46230</v>
      </c>
      <c r="L28" s="25">
        <v>74</v>
      </c>
      <c r="M28" s="25">
        <v>1.41</v>
      </c>
      <c r="N28" s="25">
        <v>104.34</v>
      </c>
    </row>
    <row r="29" spans="1:14" x14ac:dyDescent="0.25">
      <c r="A29" s="5" t="s">
        <v>8</v>
      </c>
      <c r="B29" s="6" t="s">
        <v>38</v>
      </c>
      <c r="C29" s="6" t="s">
        <v>9</v>
      </c>
      <c r="D29" s="6">
        <v>2</v>
      </c>
      <c r="E29" s="7">
        <v>81.89</v>
      </c>
      <c r="F29" s="7">
        <v>163.78</v>
      </c>
      <c r="G29" s="17">
        <v>46217</v>
      </c>
      <c r="H29" s="8" t="s">
        <v>10</v>
      </c>
      <c r="K29" s="29">
        <v>46231</v>
      </c>
      <c r="L29" s="25">
        <v>58</v>
      </c>
      <c r="M29" s="25">
        <v>1.41</v>
      </c>
      <c r="N29" s="25">
        <v>81.78</v>
      </c>
    </row>
    <row r="30" spans="1:14" x14ac:dyDescent="0.25">
      <c r="A30" s="5" t="s">
        <v>8</v>
      </c>
      <c r="B30" s="18" t="s">
        <v>36</v>
      </c>
      <c r="C30" s="6" t="s">
        <v>9</v>
      </c>
      <c r="D30" s="6">
        <v>2</v>
      </c>
      <c r="E30" s="7">
        <v>400</v>
      </c>
      <c r="F30" s="7">
        <v>800</v>
      </c>
      <c r="G30" s="17">
        <v>46217</v>
      </c>
      <c r="H30" s="8" t="s">
        <v>17</v>
      </c>
      <c r="K30" s="29">
        <v>46232</v>
      </c>
      <c r="L30" s="25">
        <v>51</v>
      </c>
      <c r="M30" s="25">
        <v>1.41</v>
      </c>
      <c r="N30" s="25">
        <v>71.91</v>
      </c>
    </row>
    <row r="31" spans="1:14" ht="15.75" thickBot="1" x14ac:dyDescent="0.3">
      <c r="A31" s="9" t="s">
        <v>11</v>
      </c>
      <c r="B31" s="10" t="s">
        <v>39</v>
      </c>
      <c r="C31" s="11" t="s">
        <v>9</v>
      </c>
      <c r="D31" s="11">
        <v>9</v>
      </c>
      <c r="E31" s="12">
        <v>15.7</v>
      </c>
      <c r="F31" s="12">
        <v>141.30000000000001</v>
      </c>
      <c r="G31" s="13">
        <v>46217</v>
      </c>
      <c r="H31" s="13" t="s">
        <v>12</v>
      </c>
      <c r="K31" s="29">
        <v>46233</v>
      </c>
      <c r="L31" s="25">
        <v>47</v>
      </c>
      <c r="M31" s="25">
        <v>1.41</v>
      </c>
      <c r="N31" s="25">
        <v>66.27</v>
      </c>
    </row>
    <row r="32" spans="1:14" x14ac:dyDescent="0.25">
      <c r="A32" s="14" t="s">
        <v>8</v>
      </c>
      <c r="B32" s="19" t="s">
        <v>40</v>
      </c>
      <c r="C32" s="15" t="s">
        <v>9</v>
      </c>
      <c r="D32" s="15">
        <v>3</v>
      </c>
      <c r="E32" s="16">
        <v>400</v>
      </c>
      <c r="F32" s="16">
        <v>1200</v>
      </c>
      <c r="G32" s="17">
        <v>46218</v>
      </c>
      <c r="H32" s="17" t="s">
        <v>13</v>
      </c>
      <c r="K32" s="29">
        <v>46234</v>
      </c>
      <c r="L32" s="25">
        <v>43</v>
      </c>
      <c r="M32" s="25">
        <v>1.41</v>
      </c>
      <c r="N32" s="25">
        <v>60.63</v>
      </c>
    </row>
    <row r="33" spans="1:14" x14ac:dyDescent="0.25">
      <c r="A33" s="5" t="s">
        <v>8</v>
      </c>
      <c r="B33" s="6" t="s">
        <v>40</v>
      </c>
      <c r="C33" s="6" t="s">
        <v>9</v>
      </c>
      <c r="D33" s="6">
        <v>6</v>
      </c>
      <c r="E33" s="16">
        <v>81.89</v>
      </c>
      <c r="F33" s="16">
        <v>491.34</v>
      </c>
      <c r="G33" s="8">
        <v>46218</v>
      </c>
      <c r="H33" s="8" t="s">
        <v>10</v>
      </c>
      <c r="M33" s="33"/>
      <c r="N33" s="34">
        <f>SUM(N2:N32)</f>
        <v>2939.8500000000008</v>
      </c>
    </row>
    <row r="34" spans="1:14" x14ac:dyDescent="0.25">
      <c r="A34" s="5" t="s">
        <v>8</v>
      </c>
      <c r="B34" s="6" t="s">
        <v>40</v>
      </c>
      <c r="C34" s="6" t="s">
        <v>9</v>
      </c>
      <c r="D34" s="6">
        <v>4</v>
      </c>
      <c r="E34" s="16">
        <v>81.89</v>
      </c>
      <c r="F34" s="16">
        <v>327.56</v>
      </c>
      <c r="G34" s="8">
        <v>46218</v>
      </c>
      <c r="H34" s="8" t="s">
        <v>10</v>
      </c>
    </row>
    <row r="35" spans="1:14" ht="15.75" thickBot="1" x14ac:dyDescent="0.3">
      <c r="A35" s="9" t="s">
        <v>11</v>
      </c>
      <c r="B35" s="11" t="s">
        <v>40</v>
      </c>
      <c r="C35" s="11" t="s">
        <v>9</v>
      </c>
      <c r="D35" s="11">
        <v>13</v>
      </c>
      <c r="E35" s="12">
        <v>15.7</v>
      </c>
      <c r="F35" s="12">
        <v>204.1</v>
      </c>
      <c r="G35" s="13">
        <v>46218</v>
      </c>
      <c r="H35" s="13" t="s">
        <v>12</v>
      </c>
    </row>
    <row r="36" spans="1:14" x14ac:dyDescent="0.25">
      <c r="A36" s="5" t="s">
        <v>8</v>
      </c>
      <c r="B36" s="15" t="s">
        <v>23</v>
      </c>
      <c r="C36" s="15" t="s">
        <v>9</v>
      </c>
      <c r="D36" s="15">
        <v>5</v>
      </c>
      <c r="E36" s="16">
        <v>400</v>
      </c>
      <c r="F36" s="16">
        <v>2000</v>
      </c>
      <c r="G36" s="17">
        <v>46219</v>
      </c>
      <c r="H36" s="17" t="s">
        <v>13</v>
      </c>
    </row>
    <row r="37" spans="1:14" ht="15.75" thickBot="1" x14ac:dyDescent="0.3">
      <c r="A37" s="9" t="s">
        <v>11</v>
      </c>
      <c r="B37" s="11" t="s">
        <v>23</v>
      </c>
      <c r="C37" s="11" t="s">
        <v>9</v>
      </c>
      <c r="D37" s="11">
        <v>5</v>
      </c>
      <c r="E37" s="12">
        <v>15.7</v>
      </c>
      <c r="F37" s="12">
        <v>78.5</v>
      </c>
      <c r="G37" s="13">
        <v>46219</v>
      </c>
      <c r="H37" s="13" t="s">
        <v>12</v>
      </c>
    </row>
    <row r="38" spans="1:14" x14ac:dyDescent="0.25">
      <c r="A38" s="5" t="s">
        <v>8</v>
      </c>
      <c r="B38" s="15" t="s">
        <v>41</v>
      </c>
      <c r="C38" s="15" t="s">
        <v>9</v>
      </c>
      <c r="D38" s="15">
        <v>4</v>
      </c>
      <c r="E38" s="16">
        <v>81.89</v>
      </c>
      <c r="F38" s="16">
        <v>327.56</v>
      </c>
      <c r="G38" s="17">
        <v>46223</v>
      </c>
      <c r="H38" s="17" t="s">
        <v>10</v>
      </c>
    </row>
    <row r="39" spans="1:14" x14ac:dyDescent="0.25">
      <c r="A39" s="5" t="s">
        <v>8</v>
      </c>
      <c r="B39" s="15" t="s">
        <v>23</v>
      </c>
      <c r="C39" s="6" t="s">
        <v>9</v>
      </c>
      <c r="D39" s="6">
        <v>8</v>
      </c>
      <c r="E39" s="7">
        <v>81.89</v>
      </c>
      <c r="F39" s="7">
        <v>655.12</v>
      </c>
      <c r="G39" s="17">
        <v>46223</v>
      </c>
      <c r="H39" s="8" t="s">
        <v>10</v>
      </c>
    </row>
    <row r="40" spans="1:14" ht="15.75" thickBot="1" x14ac:dyDescent="0.3">
      <c r="A40" s="9" t="s">
        <v>11</v>
      </c>
      <c r="B40" s="11" t="s">
        <v>41</v>
      </c>
      <c r="C40" s="11" t="s">
        <v>9</v>
      </c>
      <c r="D40" s="11">
        <v>12</v>
      </c>
      <c r="E40" s="12">
        <v>15.7</v>
      </c>
      <c r="F40" s="12">
        <v>188.4</v>
      </c>
      <c r="G40" s="13">
        <v>46223</v>
      </c>
      <c r="H40" s="13" t="s">
        <v>12</v>
      </c>
    </row>
    <row r="41" spans="1:14" x14ac:dyDescent="0.25">
      <c r="A41" s="14" t="s">
        <v>8</v>
      </c>
      <c r="B41" s="15" t="s">
        <v>42</v>
      </c>
      <c r="C41" s="15" t="s">
        <v>9</v>
      </c>
      <c r="D41" s="15">
        <v>6</v>
      </c>
      <c r="E41" s="16">
        <v>81.89</v>
      </c>
      <c r="F41" s="16">
        <v>491.34</v>
      </c>
      <c r="G41" s="17">
        <v>46224</v>
      </c>
      <c r="H41" s="8" t="s">
        <v>31</v>
      </c>
    </row>
    <row r="42" spans="1:14" x14ac:dyDescent="0.25">
      <c r="A42" s="5" t="s">
        <v>8</v>
      </c>
      <c r="B42" s="18" t="s">
        <v>23</v>
      </c>
      <c r="C42" s="6" t="s">
        <v>9</v>
      </c>
      <c r="D42" s="6">
        <v>4</v>
      </c>
      <c r="E42" s="7">
        <v>81.89</v>
      </c>
      <c r="F42" s="7">
        <v>327.56</v>
      </c>
      <c r="G42" s="17">
        <v>46224</v>
      </c>
      <c r="H42" s="5" t="s">
        <v>10</v>
      </c>
    </row>
    <row r="43" spans="1:14" x14ac:dyDescent="0.25">
      <c r="A43" s="15" t="s">
        <v>8</v>
      </c>
      <c r="B43" s="18" t="s">
        <v>43</v>
      </c>
      <c r="C43" s="6" t="s">
        <v>9</v>
      </c>
      <c r="D43" s="6">
        <v>3</v>
      </c>
      <c r="E43" s="7">
        <v>400</v>
      </c>
      <c r="F43" s="7">
        <v>1200</v>
      </c>
      <c r="G43" s="17">
        <v>46224</v>
      </c>
      <c r="H43" s="5" t="s">
        <v>13</v>
      </c>
    </row>
    <row r="44" spans="1:14" x14ac:dyDescent="0.25">
      <c r="A44" s="15" t="s">
        <v>8</v>
      </c>
      <c r="B44" s="6" t="s">
        <v>44</v>
      </c>
      <c r="C44" s="6" t="s">
        <v>9</v>
      </c>
      <c r="D44" s="6">
        <v>2</v>
      </c>
      <c r="E44" s="7">
        <v>190</v>
      </c>
      <c r="F44" s="7">
        <v>380</v>
      </c>
      <c r="G44" s="17">
        <v>46224</v>
      </c>
      <c r="H44" s="8" t="s">
        <v>16</v>
      </c>
    </row>
    <row r="45" spans="1:14" ht="15.75" thickBot="1" x14ac:dyDescent="0.3">
      <c r="A45" s="9" t="s">
        <v>11</v>
      </c>
      <c r="B45" s="11" t="s">
        <v>45</v>
      </c>
      <c r="C45" s="11" t="s">
        <v>9</v>
      </c>
      <c r="D45" s="11">
        <f>SUM(D41:D44)</f>
        <v>15</v>
      </c>
      <c r="E45" s="12">
        <v>15.7</v>
      </c>
      <c r="F45" s="12">
        <v>235.5</v>
      </c>
      <c r="G45" s="13">
        <v>46224</v>
      </c>
      <c r="H45" s="13" t="s">
        <v>12</v>
      </c>
    </row>
    <row r="46" spans="1:14" x14ac:dyDescent="0.25">
      <c r="A46" s="5" t="s">
        <v>8</v>
      </c>
      <c r="B46" s="15" t="s">
        <v>44</v>
      </c>
      <c r="C46" s="15" t="s">
        <v>9</v>
      </c>
      <c r="D46" s="15">
        <v>6</v>
      </c>
      <c r="E46" s="16">
        <v>81.89</v>
      </c>
      <c r="F46" s="16">
        <v>491.34</v>
      </c>
      <c r="G46" s="17">
        <v>46225</v>
      </c>
      <c r="H46" s="17" t="s">
        <v>10</v>
      </c>
    </row>
    <row r="47" spans="1:14" x14ac:dyDescent="0.25">
      <c r="A47" s="5" t="s">
        <v>8</v>
      </c>
      <c r="B47" s="6" t="s">
        <v>46</v>
      </c>
      <c r="C47" s="6" t="s">
        <v>9</v>
      </c>
      <c r="D47" s="6">
        <v>2</v>
      </c>
      <c r="E47" s="7">
        <v>81.89</v>
      </c>
      <c r="F47" s="7">
        <v>163.78</v>
      </c>
      <c r="G47" s="8">
        <v>46225</v>
      </c>
      <c r="H47" s="8" t="s">
        <v>10</v>
      </c>
    </row>
    <row r="48" spans="1:14" x14ac:dyDescent="0.25">
      <c r="A48" s="6" t="s">
        <v>8</v>
      </c>
      <c r="B48" s="6" t="s">
        <v>47</v>
      </c>
      <c r="C48" s="6" t="s">
        <v>9</v>
      </c>
      <c r="D48" s="6">
        <v>4</v>
      </c>
      <c r="E48" s="7">
        <v>300</v>
      </c>
      <c r="F48" s="7">
        <v>1200</v>
      </c>
      <c r="G48" s="8">
        <v>46225</v>
      </c>
      <c r="H48" s="8" t="s">
        <v>18</v>
      </c>
    </row>
    <row r="49" spans="1:8" x14ac:dyDescent="0.25">
      <c r="A49" s="5" t="s">
        <v>8</v>
      </c>
      <c r="B49" s="6" t="s">
        <v>48</v>
      </c>
      <c r="C49" s="6" t="s">
        <v>9</v>
      </c>
      <c r="D49" s="6">
        <v>3</v>
      </c>
      <c r="E49" s="7">
        <v>400</v>
      </c>
      <c r="F49" s="7">
        <v>1200</v>
      </c>
      <c r="G49" s="8">
        <v>46225</v>
      </c>
      <c r="H49" s="8" t="s">
        <v>17</v>
      </c>
    </row>
    <row r="50" spans="1:8" ht="15.75" thickBot="1" x14ac:dyDescent="0.3">
      <c r="A50" s="9" t="s">
        <v>11</v>
      </c>
      <c r="B50" s="11" t="s">
        <v>47</v>
      </c>
      <c r="C50" s="11" t="s">
        <v>9</v>
      </c>
      <c r="D50" s="11">
        <f>SUM(D46:D49)</f>
        <v>15</v>
      </c>
      <c r="E50" s="12">
        <v>15.7</v>
      </c>
      <c r="F50" s="12">
        <v>235.5</v>
      </c>
      <c r="G50" s="13">
        <v>46225</v>
      </c>
      <c r="H50" s="13" t="s">
        <v>12</v>
      </c>
    </row>
    <row r="51" spans="1:8" x14ac:dyDescent="0.25">
      <c r="A51" s="15" t="s">
        <v>8</v>
      </c>
      <c r="B51" s="15" t="s">
        <v>44</v>
      </c>
      <c r="C51" s="15" t="s">
        <v>9</v>
      </c>
      <c r="D51" s="15">
        <v>7</v>
      </c>
      <c r="E51" s="16">
        <v>81.89</v>
      </c>
      <c r="F51" s="16">
        <v>573.23</v>
      </c>
      <c r="G51" s="17">
        <v>46226</v>
      </c>
      <c r="H51" s="17" t="s">
        <v>10</v>
      </c>
    </row>
    <row r="52" spans="1:8" x14ac:dyDescent="0.25">
      <c r="A52" s="15" t="s">
        <v>8</v>
      </c>
      <c r="B52" s="6" t="s">
        <v>42</v>
      </c>
      <c r="C52" s="6" t="s">
        <v>9</v>
      </c>
      <c r="D52" s="6">
        <v>9</v>
      </c>
      <c r="E52" s="7">
        <v>81.89</v>
      </c>
      <c r="F52" s="7">
        <v>737.01</v>
      </c>
      <c r="G52" s="8">
        <v>46226</v>
      </c>
      <c r="H52" s="8" t="s">
        <v>10</v>
      </c>
    </row>
    <row r="53" spans="1:8" x14ac:dyDescent="0.25">
      <c r="A53" s="6" t="s">
        <v>8</v>
      </c>
      <c r="B53" s="6" t="s">
        <v>49</v>
      </c>
      <c r="C53" s="6" t="s">
        <v>9</v>
      </c>
      <c r="D53" s="6">
        <v>5</v>
      </c>
      <c r="E53" s="7">
        <v>400</v>
      </c>
      <c r="F53" s="7">
        <v>2000</v>
      </c>
      <c r="G53" s="8">
        <v>46226</v>
      </c>
      <c r="H53" s="8" t="s">
        <v>13</v>
      </c>
    </row>
    <row r="54" spans="1:8" ht="15.75" thickBot="1" x14ac:dyDescent="0.3">
      <c r="A54" s="9" t="s">
        <v>11</v>
      </c>
      <c r="B54" s="11" t="s">
        <v>50</v>
      </c>
      <c r="C54" s="11" t="s">
        <v>9</v>
      </c>
      <c r="D54" s="11">
        <f>SUM(D51:D53)</f>
        <v>21</v>
      </c>
      <c r="E54" s="12">
        <v>15.7</v>
      </c>
      <c r="F54" s="12">
        <v>329.7</v>
      </c>
      <c r="G54" s="13">
        <v>46226</v>
      </c>
      <c r="H54" s="13" t="s">
        <v>12</v>
      </c>
    </row>
    <row r="55" spans="1:8" x14ac:dyDescent="0.25">
      <c r="A55" s="15" t="s">
        <v>8</v>
      </c>
      <c r="B55" s="15" t="s">
        <v>49</v>
      </c>
      <c r="C55" s="15" t="s">
        <v>9</v>
      </c>
      <c r="D55" s="15">
        <v>2</v>
      </c>
      <c r="E55" s="16">
        <v>81.89</v>
      </c>
      <c r="F55" s="16">
        <v>163.78</v>
      </c>
      <c r="G55" s="17">
        <v>46227</v>
      </c>
      <c r="H55" s="8" t="s">
        <v>31</v>
      </c>
    </row>
    <row r="56" spans="1:8" x14ac:dyDescent="0.25">
      <c r="A56" s="5" t="s">
        <v>8</v>
      </c>
      <c r="B56" s="6" t="s">
        <v>50</v>
      </c>
      <c r="C56" s="6" t="s">
        <v>9</v>
      </c>
      <c r="D56" s="6">
        <v>6</v>
      </c>
      <c r="E56" s="7">
        <v>94.17</v>
      </c>
      <c r="F56" s="7">
        <v>565.02</v>
      </c>
      <c r="G56" s="8">
        <v>46227</v>
      </c>
      <c r="H56" s="8" t="s">
        <v>10</v>
      </c>
    </row>
    <row r="57" spans="1:8" ht="15.75" thickBot="1" x14ac:dyDescent="0.3">
      <c r="A57" s="9" t="s">
        <v>11</v>
      </c>
      <c r="B57" s="11" t="s">
        <v>50</v>
      </c>
      <c r="C57" s="11" t="s">
        <v>9</v>
      </c>
      <c r="D57" s="11">
        <v>8</v>
      </c>
      <c r="E57" s="12">
        <v>15.7</v>
      </c>
      <c r="F57" s="12">
        <v>125.6</v>
      </c>
      <c r="G57" s="13">
        <v>46227</v>
      </c>
      <c r="H57" s="13" t="s">
        <v>12</v>
      </c>
    </row>
    <row r="58" spans="1:8" x14ac:dyDescent="0.25">
      <c r="A58" s="15" t="s">
        <v>8</v>
      </c>
      <c r="B58" s="19" t="s">
        <v>49</v>
      </c>
      <c r="C58" s="15" t="s">
        <v>9</v>
      </c>
      <c r="D58" s="15">
        <v>4</v>
      </c>
      <c r="E58" s="16">
        <v>81.89</v>
      </c>
      <c r="F58" s="16">
        <v>327.56</v>
      </c>
      <c r="G58" s="17">
        <v>46230</v>
      </c>
      <c r="H58" s="17" t="s">
        <v>10</v>
      </c>
    </row>
    <row r="59" spans="1:8" x14ac:dyDescent="0.25">
      <c r="A59" s="15" t="s">
        <v>8</v>
      </c>
      <c r="B59" s="18" t="s">
        <v>49</v>
      </c>
      <c r="C59" s="6" t="s">
        <v>9</v>
      </c>
      <c r="D59" s="6">
        <v>6</v>
      </c>
      <c r="E59" s="7">
        <v>81.89</v>
      </c>
      <c r="F59" s="7">
        <v>491.34</v>
      </c>
      <c r="G59" s="8">
        <v>46230</v>
      </c>
      <c r="H59" s="8" t="s">
        <v>10</v>
      </c>
    </row>
    <row r="60" spans="1:8" ht="15.75" thickBot="1" x14ac:dyDescent="0.3">
      <c r="A60" s="9" t="s">
        <v>11</v>
      </c>
      <c r="B60" s="11" t="s">
        <v>49</v>
      </c>
      <c r="C60" s="11" t="s">
        <v>9</v>
      </c>
      <c r="D60" s="11">
        <v>10</v>
      </c>
      <c r="E60" s="12">
        <v>15.7</v>
      </c>
      <c r="F60" s="12">
        <v>157</v>
      </c>
      <c r="G60" s="13">
        <v>46230</v>
      </c>
      <c r="H60" s="13" t="s">
        <v>12</v>
      </c>
    </row>
    <row r="61" spans="1:8" x14ac:dyDescent="0.25">
      <c r="A61" s="15" t="s">
        <v>8</v>
      </c>
      <c r="B61" s="15" t="s">
        <v>25</v>
      </c>
      <c r="C61" s="15" t="s">
        <v>9</v>
      </c>
      <c r="D61" s="15">
        <v>5</v>
      </c>
      <c r="E61" s="16">
        <v>81.89</v>
      </c>
      <c r="F61" s="16">
        <v>409.45</v>
      </c>
      <c r="G61" s="17">
        <v>46231</v>
      </c>
      <c r="H61" s="17" t="s">
        <v>10</v>
      </c>
    </row>
    <row r="62" spans="1:8" x14ac:dyDescent="0.25">
      <c r="A62" s="15" t="s">
        <v>8</v>
      </c>
      <c r="B62" s="6" t="s">
        <v>49</v>
      </c>
      <c r="C62" s="6" t="s">
        <v>9</v>
      </c>
      <c r="D62" s="6">
        <v>3</v>
      </c>
      <c r="E62" s="7">
        <v>81.89</v>
      </c>
      <c r="F62" s="7">
        <v>245.67</v>
      </c>
      <c r="G62" s="8">
        <v>46231</v>
      </c>
      <c r="H62" s="8" t="s">
        <v>10</v>
      </c>
    </row>
    <row r="63" spans="1:8" x14ac:dyDescent="0.25">
      <c r="A63" s="6" t="s">
        <v>8</v>
      </c>
      <c r="B63" s="6" t="s">
        <v>25</v>
      </c>
      <c r="C63" s="6" t="s">
        <v>9</v>
      </c>
      <c r="D63" s="6">
        <v>6</v>
      </c>
      <c r="E63" s="7">
        <v>400</v>
      </c>
      <c r="F63" s="7">
        <v>2400</v>
      </c>
      <c r="G63" s="8">
        <v>46231</v>
      </c>
      <c r="H63" s="8" t="s">
        <v>13</v>
      </c>
    </row>
    <row r="64" spans="1:8" x14ac:dyDescent="0.25">
      <c r="A64" s="15" t="s">
        <v>8</v>
      </c>
      <c r="B64" s="6" t="s">
        <v>25</v>
      </c>
      <c r="C64" s="6" t="s">
        <v>9</v>
      </c>
      <c r="D64" s="6">
        <v>2</v>
      </c>
      <c r="E64" s="7">
        <v>190</v>
      </c>
      <c r="F64" s="7">
        <v>380</v>
      </c>
      <c r="G64" s="8">
        <v>46231</v>
      </c>
      <c r="H64" s="8" t="s">
        <v>16</v>
      </c>
    </row>
    <row r="65" spans="1:8" x14ac:dyDescent="0.25">
      <c r="A65" s="15" t="s">
        <v>8</v>
      </c>
      <c r="B65" s="6" t="s">
        <v>51</v>
      </c>
      <c r="C65" s="6" t="s">
        <v>9</v>
      </c>
      <c r="D65" s="6">
        <v>2</v>
      </c>
      <c r="E65" s="7">
        <v>81.89</v>
      </c>
      <c r="F65" s="7">
        <v>163.78</v>
      </c>
      <c r="G65" s="8">
        <v>46231</v>
      </c>
      <c r="H65" s="8" t="s">
        <v>10</v>
      </c>
    </row>
    <row r="66" spans="1:8" ht="15.75" thickBot="1" x14ac:dyDescent="0.3">
      <c r="A66" s="9" t="s">
        <v>11</v>
      </c>
      <c r="B66" s="11" t="s">
        <v>52</v>
      </c>
      <c r="C66" s="11" t="s">
        <v>9</v>
      </c>
      <c r="D66" s="11">
        <v>18</v>
      </c>
      <c r="E66" s="12">
        <v>15.7</v>
      </c>
      <c r="F66" s="12">
        <v>282.60000000000002</v>
      </c>
      <c r="G66" s="13">
        <v>46231</v>
      </c>
      <c r="H66" s="13" t="s">
        <v>12</v>
      </c>
    </row>
    <row r="67" spans="1:8" x14ac:dyDescent="0.25">
      <c r="A67" s="15" t="s">
        <v>8</v>
      </c>
      <c r="B67" s="15" t="s">
        <v>25</v>
      </c>
      <c r="C67" s="15" t="s">
        <v>9</v>
      </c>
      <c r="D67" s="15">
        <v>2</v>
      </c>
      <c r="E67" s="16">
        <v>81.89</v>
      </c>
      <c r="F67" s="7">
        <v>163.78</v>
      </c>
      <c r="G67" s="17">
        <v>46232</v>
      </c>
      <c r="H67" s="17" t="s">
        <v>10</v>
      </c>
    </row>
    <row r="68" spans="1:8" x14ac:dyDescent="0.25">
      <c r="A68" s="15" t="s">
        <v>8</v>
      </c>
      <c r="B68" s="6" t="s">
        <v>25</v>
      </c>
      <c r="C68" s="6" t="s">
        <v>9</v>
      </c>
      <c r="D68" s="6">
        <v>3</v>
      </c>
      <c r="E68" s="7">
        <v>81.89</v>
      </c>
      <c r="F68" s="7">
        <v>245.67</v>
      </c>
      <c r="G68" s="8">
        <v>46232</v>
      </c>
      <c r="H68" s="8" t="s">
        <v>10</v>
      </c>
    </row>
    <row r="69" spans="1:8" x14ac:dyDescent="0.25">
      <c r="A69" s="5" t="s">
        <v>8</v>
      </c>
      <c r="B69" s="6" t="s">
        <v>25</v>
      </c>
      <c r="C69" s="6" t="s">
        <v>9</v>
      </c>
      <c r="D69" s="6">
        <v>1</v>
      </c>
      <c r="E69" s="7">
        <v>300</v>
      </c>
      <c r="F69" s="7">
        <v>300</v>
      </c>
      <c r="G69" s="8">
        <v>46232</v>
      </c>
      <c r="H69" s="8" t="s">
        <v>18</v>
      </c>
    </row>
    <row r="70" spans="1:8" x14ac:dyDescent="0.25">
      <c r="A70" s="5" t="s">
        <v>8</v>
      </c>
      <c r="B70" s="6" t="s">
        <v>25</v>
      </c>
      <c r="C70" s="6" t="s">
        <v>9</v>
      </c>
      <c r="D70" s="6">
        <v>1</v>
      </c>
      <c r="E70" s="7">
        <v>400</v>
      </c>
      <c r="F70" s="7">
        <v>400</v>
      </c>
      <c r="G70" s="8">
        <v>46232</v>
      </c>
      <c r="H70" s="8" t="s">
        <v>17</v>
      </c>
    </row>
    <row r="71" spans="1:8" ht="15.75" thickBot="1" x14ac:dyDescent="0.3">
      <c r="A71" s="9" t="s">
        <v>11</v>
      </c>
      <c r="B71" s="11" t="s">
        <v>25</v>
      </c>
      <c r="C71" s="11" t="s">
        <v>9</v>
      </c>
      <c r="D71" s="11">
        <v>7</v>
      </c>
      <c r="E71" s="12">
        <v>15.7</v>
      </c>
      <c r="F71" s="12">
        <v>109.9</v>
      </c>
      <c r="G71" s="13">
        <v>46232</v>
      </c>
      <c r="H71" s="13" t="s">
        <v>12</v>
      </c>
    </row>
    <row r="72" spans="1:8" x14ac:dyDescent="0.25">
      <c r="A72" s="14" t="s">
        <v>8</v>
      </c>
      <c r="B72" s="15" t="s">
        <v>25</v>
      </c>
      <c r="C72" s="15" t="s">
        <v>9</v>
      </c>
      <c r="D72" s="15">
        <v>2</v>
      </c>
      <c r="E72" s="16">
        <v>81.89</v>
      </c>
      <c r="F72" s="16">
        <v>163.78</v>
      </c>
      <c r="G72" s="17">
        <v>46233</v>
      </c>
      <c r="H72" s="17" t="s">
        <v>10</v>
      </c>
    </row>
    <row r="73" spans="1:8" x14ac:dyDescent="0.25">
      <c r="A73" s="5" t="s">
        <v>8</v>
      </c>
      <c r="B73" s="6" t="s">
        <v>25</v>
      </c>
      <c r="C73" s="6" t="s">
        <v>9</v>
      </c>
      <c r="D73" s="6">
        <v>2</v>
      </c>
      <c r="E73" s="7">
        <v>81.89</v>
      </c>
      <c r="F73" s="7">
        <v>163.78</v>
      </c>
      <c r="G73" s="8">
        <v>46233</v>
      </c>
      <c r="H73" s="8" t="s">
        <v>10</v>
      </c>
    </row>
    <row r="74" spans="1:8" ht="15.75" thickBot="1" x14ac:dyDescent="0.3">
      <c r="A74" s="9" t="s">
        <v>11</v>
      </c>
      <c r="B74" s="11" t="s">
        <v>25</v>
      </c>
      <c r="C74" s="11" t="s">
        <v>9</v>
      </c>
      <c r="D74" s="11">
        <v>4</v>
      </c>
      <c r="E74" s="12">
        <v>15.7</v>
      </c>
      <c r="F74" s="12">
        <v>62.8</v>
      </c>
      <c r="G74" s="13">
        <v>46233</v>
      </c>
      <c r="H74" s="13" t="s">
        <v>12</v>
      </c>
    </row>
    <row r="75" spans="1:8" x14ac:dyDescent="0.25">
      <c r="A75" s="5" t="s">
        <v>8</v>
      </c>
      <c r="B75" s="15" t="s">
        <v>25</v>
      </c>
      <c r="C75" s="15" t="s">
        <v>9</v>
      </c>
      <c r="D75" s="15">
        <v>1</v>
      </c>
      <c r="E75" s="16">
        <v>94.17</v>
      </c>
      <c r="F75" s="16">
        <v>94.17</v>
      </c>
      <c r="G75" s="17">
        <v>46234</v>
      </c>
      <c r="H75" s="17" t="s">
        <v>15</v>
      </c>
    </row>
    <row r="76" spans="1:8" x14ac:dyDescent="0.25">
      <c r="A76" s="6" t="s">
        <v>8</v>
      </c>
      <c r="B76" s="6" t="s">
        <v>25</v>
      </c>
      <c r="C76" s="6" t="s">
        <v>9</v>
      </c>
      <c r="D76" s="6">
        <v>3</v>
      </c>
      <c r="E76" s="7">
        <v>81.89</v>
      </c>
      <c r="F76" s="7">
        <v>245.67</v>
      </c>
      <c r="G76" s="8">
        <v>46234</v>
      </c>
      <c r="H76" s="8" t="s">
        <v>10</v>
      </c>
    </row>
    <row r="77" spans="1:8" ht="15.75" thickBot="1" x14ac:dyDescent="0.3">
      <c r="A77" s="9" t="s">
        <v>11</v>
      </c>
      <c r="B77" s="11" t="s">
        <v>25</v>
      </c>
      <c r="C77" s="11" t="s">
        <v>9</v>
      </c>
      <c r="D77" s="11">
        <v>4</v>
      </c>
      <c r="E77" s="12">
        <v>15.7</v>
      </c>
      <c r="F77" s="12">
        <v>62.8</v>
      </c>
      <c r="G77" s="32">
        <v>46234</v>
      </c>
      <c r="H77" s="13" t="s">
        <v>12</v>
      </c>
    </row>
    <row r="78" spans="1:8" ht="15.75" thickBot="1" x14ac:dyDescent="0.3">
      <c r="A78" s="21" t="s">
        <v>19</v>
      </c>
      <c r="B78" s="26" t="s">
        <v>36</v>
      </c>
      <c r="C78" s="22" t="s">
        <v>9</v>
      </c>
      <c r="D78" s="22">
        <v>2</v>
      </c>
      <c r="E78" s="23">
        <v>500</v>
      </c>
      <c r="F78" s="23">
        <v>1000</v>
      </c>
      <c r="G78" s="24">
        <v>46212</v>
      </c>
      <c r="H78" s="21" t="s">
        <v>10</v>
      </c>
    </row>
    <row r="79" spans="1:8" ht="15.75" thickBot="1" x14ac:dyDescent="0.3">
      <c r="A79" s="22" t="s">
        <v>53</v>
      </c>
      <c r="B79" s="22"/>
      <c r="C79" s="22"/>
      <c r="D79" s="22"/>
      <c r="E79" s="23">
        <v>3</v>
      </c>
      <c r="F79" s="23">
        <v>360</v>
      </c>
      <c r="G79" s="24" t="s">
        <v>12</v>
      </c>
      <c r="H79" s="24" t="s">
        <v>31</v>
      </c>
    </row>
    <row r="80" spans="1:8" x14ac:dyDescent="0.25">
      <c r="F80" s="35">
        <f>SUM(F2:F79)</f>
        <v>36268.03</v>
      </c>
    </row>
  </sheetData>
  <dataValidations count="2">
    <dataValidation type="list" allowBlank="1" showInputMessage="1" showErrorMessage="1" sqref="A1:A9 A46 A16:A17 A41:A43 A48:A49 A51:A53 A55:A56 A58:A59 A61:A63 A65 A67:A70 A72:A78 A19:A32 A11:A12 A14 A36:A37" xr:uid="{C1A848B6-4FBF-4578-99C9-6C9A0E1EC956}">
      <formula1>"TRANSPORTATION,OUTBOUND,INBOUND,TRANSFER,RELOCATION,RECONSTRUCTION,"</formula1>
    </dataValidation>
    <dataValidation type="list" allowBlank="1" showInputMessage="1" showErrorMessage="1" sqref="H1:H79" xr:uid="{22721B68-853A-433B-82B8-9BAA05414172}">
      <formula1>"Tbilisi,Batumi,Kutaisi,Gori,Zugdidi,Rustavi,-,"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Nino Tsomaia nts210</dc:creator>
  <cp:keywords/>
  <dc:description/>
  <cp:lastModifiedBy>Nino Tsomaia nts210</cp:lastModifiedBy>
  <cp:revision/>
  <dcterms:created xsi:type="dcterms:W3CDTF">2026-06-02T10:26:48Z</dcterms:created>
  <dcterms:modified xsi:type="dcterms:W3CDTF">2026-08-04T06:46:47Z</dcterms:modified>
  <cp:category/>
  <cp:contentStatus/>
</cp:coreProperties>
</file>