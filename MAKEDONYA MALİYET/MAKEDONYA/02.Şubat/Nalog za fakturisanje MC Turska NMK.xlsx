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imir.trickovic\Desktop\Skladisnine\Obracuni\Madame Coco\2026 02\"/>
    </mc:Choice>
  </mc:AlternateContent>
  <xr:revisionPtr revIDLastSave="0" documentId="8_{77B4DFEC-4006-4811-BCB6-A288EB88729D}" xr6:coauthVersionLast="47" xr6:coauthVersionMax="47" xr10:uidLastSave="{00000000-0000-0000-0000-000000000000}"/>
  <bookViews>
    <workbookView xWindow="-108" yWindow="-108" windowWidth="23256" windowHeight="13896" xr2:uid="{0BA0386D-54DC-459A-BC2D-7CE81F3AAEE4}"/>
  </bookViews>
  <sheets>
    <sheet name="februar 26" sheetId="12" r:id="rId1"/>
    <sheet name="januar 2026" sheetId="11" r:id="rId2"/>
    <sheet name="decembar 2025" sheetId="10" r:id="rId3"/>
    <sheet name="novembar 2025" sheetId="9" r:id="rId4"/>
    <sheet name="oktobar 2025" sheetId="8" r:id="rId5"/>
    <sheet name="septembar 2025" sheetId="7" r:id="rId6"/>
    <sheet name="avgust 2025" sheetId="6" r:id="rId7"/>
    <sheet name="JUL2025 " sheetId="5" r:id="rId8"/>
    <sheet name="JUN2025" sheetId="4" r:id="rId9"/>
    <sheet name="maj2025" sheetId="3" r:id="rId10"/>
    <sheet name="feb2025" sheetId="2" r:id="rId11"/>
    <sheet name="jan2025" sheetId="1" r:id="rId12"/>
  </sheets>
  <definedNames>
    <definedName name="kurs" localSheetId="6">'avgust 2025'!$J$6</definedName>
    <definedName name="kurs" localSheetId="2">'decembar 2025'!$J$6</definedName>
    <definedName name="kurs" localSheetId="10">'feb2025'!$J$6</definedName>
    <definedName name="kurs" localSheetId="0">'februar 26'!$J$6</definedName>
    <definedName name="kurs" localSheetId="11">'jan2025'!$J$6</definedName>
    <definedName name="kurs" localSheetId="1">'januar 2026'!$J$6</definedName>
    <definedName name="kurs" localSheetId="7">'JUL2025 '!$J$6</definedName>
    <definedName name="kurs" localSheetId="8">'JUN2025'!$J$6</definedName>
    <definedName name="kurs" localSheetId="9">'maj2025'!$J$6</definedName>
    <definedName name="kurs" localSheetId="3">'novembar 2025'!$J$6</definedName>
    <definedName name="kurs" localSheetId="4">'oktobar 2025'!$J$6</definedName>
    <definedName name="kurs" localSheetId="5">'septembar 2025'!$J$6</definedName>
    <definedName name="kurs">#REF!</definedName>
    <definedName name="NOVEMB" localSheetId="6">#REF!</definedName>
    <definedName name="NOVEMB" localSheetId="2">#REF!</definedName>
    <definedName name="NOVEMB" localSheetId="10">#REF!</definedName>
    <definedName name="NOVEMB" localSheetId="0">#REF!</definedName>
    <definedName name="NOVEMB" localSheetId="11">#REF!</definedName>
    <definedName name="NOVEMB" localSheetId="1">#REF!</definedName>
    <definedName name="NOVEMB" localSheetId="7">#REF!</definedName>
    <definedName name="NOVEMB" localSheetId="8">#REF!</definedName>
    <definedName name="NOVEMB" localSheetId="9">#REF!</definedName>
    <definedName name="NOVEMB" localSheetId="3">#REF!</definedName>
    <definedName name="NOVEMB" localSheetId="4">#REF!</definedName>
    <definedName name="NOVEMB" localSheetId="5">#REF!</definedName>
    <definedName name="NOVEMB">#REF!</definedName>
    <definedName name="_xlnm.Print_Area" localSheetId="6">'avgust 2025'!$A$1:$J$39</definedName>
    <definedName name="_xlnm.Print_Area" localSheetId="2">'decembar 2025'!$A$1:$J$39</definedName>
    <definedName name="_xlnm.Print_Area" localSheetId="10">'feb2025'!$A$1:$J$38</definedName>
    <definedName name="_xlnm.Print_Area" localSheetId="0">'februar 26'!$A$1:$J$39</definedName>
    <definedName name="_xlnm.Print_Area" localSheetId="11">'jan2025'!$A$1:$J$38</definedName>
    <definedName name="_xlnm.Print_Area" localSheetId="1">'januar 2026'!$A$1:$J$39</definedName>
    <definedName name="_xlnm.Print_Area" localSheetId="7">'JUL2025 '!$A$1:$J$39</definedName>
    <definedName name="_xlnm.Print_Area" localSheetId="8">'JUN2025'!$A$1:$J$39</definedName>
    <definedName name="_xlnm.Print_Area" localSheetId="9">'maj2025'!$A$1:$J$39</definedName>
    <definedName name="_xlnm.Print_Area" localSheetId="3">'novembar 2025'!$A$1:$J$39</definedName>
    <definedName name="_xlnm.Print_Area" localSheetId="4">'oktobar 2025'!$A$1:$J$39</definedName>
    <definedName name="_xlnm.Print_Area" localSheetId="5">'septembar 2025'!$A$1:$J$39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2" l="1"/>
  <c r="I13" i="12"/>
  <c r="I12" i="12"/>
  <c r="I11" i="12"/>
  <c r="I10" i="12"/>
  <c r="I9" i="12"/>
  <c r="I14" i="11"/>
  <c r="I13" i="11"/>
  <c r="I12" i="11"/>
  <c r="I11" i="11"/>
  <c r="I10" i="11"/>
  <c r="I9" i="11"/>
  <c r="I14" i="10"/>
  <c r="I13" i="10"/>
  <c r="I12" i="10"/>
  <c r="I11" i="10"/>
  <c r="I10" i="10"/>
  <c r="I9" i="10"/>
  <c r="I14" i="9"/>
  <c r="I13" i="9"/>
  <c r="I12" i="9"/>
  <c r="I11" i="9"/>
  <c r="I10" i="9"/>
  <c r="I9" i="9"/>
  <c r="I14" i="8"/>
  <c r="I13" i="8"/>
  <c r="I12" i="8"/>
  <c r="I11" i="8"/>
  <c r="I10" i="8"/>
  <c r="I9" i="8"/>
  <c r="I14" i="7"/>
  <c r="I13" i="7"/>
  <c r="I12" i="7"/>
  <c r="I11" i="7"/>
  <c r="I10" i="7"/>
  <c r="I9" i="7"/>
  <c r="I29" i="12" l="1"/>
  <c r="J29" i="12" s="1"/>
  <c r="I29" i="11"/>
  <c r="J29" i="11" s="1"/>
  <c r="I29" i="10"/>
  <c r="J29" i="10" s="1"/>
  <c r="I29" i="8"/>
  <c r="J29" i="8" s="1"/>
  <c r="I29" i="9"/>
  <c r="J29" i="9" s="1"/>
  <c r="I29" i="7"/>
  <c r="J29" i="7" s="1"/>
  <c r="I14" i="6" l="1"/>
  <c r="I13" i="6"/>
  <c r="I12" i="6"/>
  <c r="I11" i="6"/>
  <c r="I10" i="6"/>
  <c r="I9" i="6"/>
  <c r="H10" i="5"/>
  <c r="I14" i="5"/>
  <c r="I13" i="5"/>
  <c r="I12" i="5"/>
  <c r="I11" i="5"/>
  <c r="I10" i="5"/>
  <c r="I29" i="5" s="1"/>
  <c r="J29" i="5" s="1"/>
  <c r="I9" i="5"/>
  <c r="I14" i="4"/>
  <c r="I13" i="4"/>
  <c r="I12" i="4"/>
  <c r="I11" i="4"/>
  <c r="I10" i="4"/>
  <c r="I9" i="4"/>
  <c r="I12" i="3"/>
  <c r="I29" i="6" l="1"/>
  <c r="J29" i="6" s="1"/>
  <c r="I29" i="4"/>
  <c r="J29" i="4" s="1"/>
  <c r="I14" i="3"/>
  <c r="I13" i="3"/>
  <c r="I11" i="3"/>
  <c r="I10" i="3"/>
  <c r="I9" i="3"/>
  <c r="I13" i="2"/>
  <c r="I12" i="2"/>
  <c r="I11" i="2"/>
  <c r="I10" i="2"/>
  <c r="I9" i="2"/>
  <c r="I13" i="1"/>
  <c r="I10" i="1"/>
  <c r="I12" i="1"/>
  <c r="I29" i="3" l="1"/>
  <c r="J29" i="3" s="1"/>
  <c r="I28" i="2"/>
  <c r="J28" i="2" s="1"/>
  <c r="I11" i="1"/>
  <c r="I9" i="1"/>
  <c r="I28" i="1" l="1"/>
  <c r="J28" i="1" s="1"/>
</calcChain>
</file>

<file path=xl/sharedStrings.xml><?xml version="1.0" encoding="utf-8"?>
<sst xmlns="http://schemas.openxmlformats.org/spreadsheetml/2006/main" count="426" uniqueCount="35">
  <si>
    <t>OBRAČUN SKLADIŠNINE - MATERIJALI</t>
  </si>
  <si>
    <t>Client</t>
  </si>
  <si>
    <t>Logistics services for period</t>
  </si>
  <si>
    <t>od</t>
  </si>
  <si>
    <t>do</t>
  </si>
  <si>
    <t>M&amp;M Militzer &amp; Münch d.o.o.</t>
  </si>
  <si>
    <t>Order number</t>
  </si>
  <si>
    <t>No.</t>
  </si>
  <si>
    <t>Service</t>
  </si>
  <si>
    <t>UOM</t>
  </si>
  <si>
    <t>UOM price (€)</t>
  </si>
  <si>
    <t>Qty</t>
  </si>
  <si>
    <t>Amount (€)</t>
  </si>
  <si>
    <t>iznos(RSD)</t>
  </si>
  <si>
    <t>1.</t>
  </si>
  <si>
    <t>2.</t>
  </si>
  <si>
    <t>3.</t>
  </si>
  <si>
    <t>truck</t>
  </si>
  <si>
    <t>4.</t>
  </si>
  <si>
    <t>5.</t>
  </si>
  <si>
    <t>Ukupno:</t>
  </si>
  <si>
    <t>Obracunao</t>
  </si>
  <si>
    <t>Branimir Trickovic</t>
  </si>
  <si>
    <t>Madame Coco NMK</t>
  </si>
  <si>
    <t>Warehouse up to 10 days</t>
  </si>
  <si>
    <t>Import customs clearance up to 5 HS codes</t>
  </si>
  <si>
    <t>declaration</t>
  </si>
  <si>
    <t>HS code</t>
  </si>
  <si>
    <t>Additional HS code</t>
  </si>
  <si>
    <t xml:space="preserve">Delivery Palma Mall Tetovo Avia (7-16 eur pal), up to 7.0 t </t>
  </si>
  <si>
    <t>Additional workforce for unloading</t>
  </si>
  <si>
    <t>worker</t>
  </si>
  <si>
    <t>6.</t>
  </si>
  <si>
    <t>Additional WH</t>
  </si>
  <si>
    <t>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</si>
</sst>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_-* #,##0.0000\ [$RSD-241A]_-;\-* #,##0.0000\ [$RSD-241A]_-;_-* &quot;-&quot;??\ [$RSD-241A]_-;_-@_-"/>
    <numFmt numFmtId="166" formatCode="#,##0.00\ [$€-1]"/>
    <numFmt numFmtId="167" formatCode="#,##0.000"/>
    <numFmt numFmtId="168" formatCode="#,##0.00\ &quot;Din.&quot;"/>
    <numFmt numFmtId="169" formatCode="#,##0.000\ [$€-1]"/>
  </numFmts>
  <fonts count="16" x14ac:knownFonts="1"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i/>
      <sz val="11"/>
      <color indexed="8"/>
      <name val="Arial"/>
      <family val="2"/>
    </font>
    <font>
      <sz val="10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b/>
      <sz val="11"/>
      <color indexed="10"/>
      <name val="Arial"/>
      <family val="2"/>
      <charset val="204"/>
    </font>
    <font>
      <i/>
      <sz val="11"/>
      <color indexed="8"/>
      <name val="Arial"/>
      <family val="2"/>
      <charset val="204"/>
    </font>
    <font>
      <b/>
      <sz val="11"/>
      <color rgb="FFFF0000"/>
      <name val="Arial"/>
      <family val="2"/>
      <charset val="238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165" fontId="0" fillId="2" borderId="0" xfId="0" applyNumberFormat="1" applyFill="1"/>
    <xf numFmtId="2" fontId="2" fillId="3" borderId="1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2" fontId="2" fillId="3" borderId="2" xfId="0" applyNumberFormat="1" applyFont="1" applyFill="1" applyBorder="1" applyAlignment="1">
      <alignment vertical="top"/>
    </xf>
    <xf numFmtId="2" fontId="2" fillId="3" borderId="3" xfId="0" applyNumberFormat="1" applyFont="1" applyFill="1" applyBorder="1" applyAlignment="1">
      <alignment vertical="top"/>
    </xf>
    <xf numFmtId="2" fontId="2" fillId="3" borderId="4" xfId="0" applyNumberFormat="1" applyFont="1" applyFill="1" applyBorder="1" applyAlignment="1">
      <alignment vertical="top"/>
    </xf>
    <xf numFmtId="2" fontId="4" fillId="0" borderId="5" xfId="0" applyNumberFormat="1" applyFont="1" applyBorder="1" applyAlignment="1">
      <alignment horizontal="left"/>
    </xf>
    <xf numFmtId="2" fontId="5" fillId="0" borderId="5" xfId="0" applyNumberFormat="1" applyFont="1" applyBorder="1"/>
    <xf numFmtId="166" fontId="5" fillId="0" borderId="5" xfId="0" applyNumberFormat="1" applyFont="1" applyBorder="1" applyAlignment="1">
      <alignment horizontal="right"/>
    </xf>
    <xf numFmtId="167" fontId="6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8" fontId="7" fillId="0" borderId="5" xfId="0" applyNumberFormat="1" applyFont="1" applyBorder="1"/>
    <xf numFmtId="2" fontId="4" fillId="0" borderId="6" xfId="0" applyNumberFormat="1" applyFont="1" applyBorder="1"/>
    <xf numFmtId="2" fontId="5" fillId="0" borderId="6" xfId="0" applyNumberFormat="1" applyFont="1" applyBorder="1"/>
    <xf numFmtId="166" fontId="5" fillId="0" borderId="6" xfId="0" applyNumberFormat="1" applyFont="1" applyBorder="1" applyAlignment="1">
      <alignment horizontal="right"/>
    </xf>
    <xf numFmtId="167" fontId="6" fillId="0" borderId="6" xfId="0" applyNumberFormat="1" applyFont="1" applyBorder="1" applyAlignment="1">
      <alignment horizontal="right"/>
    </xf>
    <xf numFmtId="166" fontId="7" fillId="0" borderId="6" xfId="0" applyNumberFormat="1" applyFont="1" applyBorder="1" applyAlignment="1">
      <alignment horizontal="right"/>
    </xf>
    <xf numFmtId="166" fontId="5" fillId="0" borderId="6" xfId="0" applyNumberFormat="1" applyFont="1" applyBorder="1" applyAlignment="1">
      <alignment horizontal="right" vertical="top"/>
    </xf>
    <xf numFmtId="167" fontId="6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4" fontId="6" fillId="0" borderId="6" xfId="0" applyNumberFormat="1" applyFont="1" applyBorder="1" applyAlignment="1">
      <alignment horizontal="right" vertical="top"/>
    </xf>
    <xf numFmtId="2" fontId="8" fillId="0" borderId="6" xfId="0" applyNumberFormat="1" applyFont="1" applyBorder="1"/>
    <xf numFmtId="2" fontId="9" fillId="0" borderId="6" xfId="0" applyNumberFormat="1" applyFont="1" applyBorder="1" applyAlignment="1">
      <alignment vertical="top"/>
    </xf>
    <xf numFmtId="166" fontId="9" fillId="0" borderId="6" xfId="0" applyNumberFormat="1" applyFont="1" applyBorder="1" applyAlignment="1">
      <alignment horizontal="right" vertical="top"/>
    </xf>
    <xf numFmtId="167" fontId="10" fillId="0" borderId="6" xfId="0" applyNumberFormat="1" applyFont="1" applyBorder="1" applyAlignment="1">
      <alignment horizontal="right" vertical="top"/>
    </xf>
    <xf numFmtId="166" fontId="11" fillId="0" borderId="6" xfId="0" applyNumberFormat="1" applyFont="1" applyBorder="1" applyAlignment="1">
      <alignment horizontal="right"/>
    </xf>
    <xf numFmtId="168" fontId="11" fillId="0" borderId="6" xfId="0" applyNumberFormat="1" applyFont="1" applyBorder="1"/>
    <xf numFmtId="2" fontId="12" fillId="0" borderId="6" xfId="0" applyNumberFormat="1" applyFont="1" applyBorder="1"/>
    <xf numFmtId="167" fontId="10" fillId="0" borderId="7" xfId="0" applyNumberFormat="1" applyFont="1" applyBorder="1" applyAlignment="1">
      <alignment horizontal="right" vertical="top"/>
    </xf>
    <xf numFmtId="166" fontId="11" fillId="0" borderId="7" xfId="0" applyNumberFormat="1" applyFont="1" applyBorder="1" applyAlignment="1">
      <alignment horizontal="right"/>
    </xf>
    <xf numFmtId="168" fontId="11" fillId="0" borderId="7" xfId="0" applyNumberFormat="1" applyFont="1" applyBorder="1"/>
    <xf numFmtId="0" fontId="13" fillId="0" borderId="0" xfId="0" applyFont="1"/>
    <xf numFmtId="0" fontId="14" fillId="0" borderId="0" xfId="0" applyFont="1"/>
    <xf numFmtId="0" fontId="14" fillId="0" borderId="8" xfId="0" applyFont="1" applyBorder="1" applyAlignment="1">
      <alignment horizontal="right"/>
    </xf>
    <xf numFmtId="166" fontId="15" fillId="0" borderId="8" xfId="0" applyNumberFormat="1" applyFont="1" applyBorder="1" applyAlignment="1">
      <alignment horizontal="right"/>
    </xf>
    <xf numFmtId="168" fontId="15" fillId="0" borderId="8" xfId="0" applyNumberFormat="1" applyFont="1" applyBorder="1"/>
    <xf numFmtId="16" fontId="0" fillId="0" borderId="0" xfId="0" applyNumberFormat="1"/>
    <xf numFmtId="2" fontId="9" fillId="0" borderId="6" xfId="0" applyNumberFormat="1" applyFont="1" applyBorder="1" applyAlignment="1">
      <alignment vertical="top"/>
    </xf>
    <xf numFmtId="2" fontId="9" fillId="0" borderId="6" xfId="0" applyNumberFormat="1" applyFont="1" applyBorder="1" applyAlignment="1">
      <alignment horizontal="left" vertical="top"/>
    </xf>
    <xf numFmtId="2" fontId="5" fillId="0" borderId="9" xfId="0" applyNumberFormat="1" applyFont="1" applyBorder="1" applyAlignment="1">
      <alignment vertical="top" wrapText="1"/>
    </xf>
    <xf numFmtId="2" fontId="5" fillId="0" borderId="10" xfId="0" applyNumberFormat="1" applyFont="1" applyBorder="1" applyAlignment="1">
      <alignment vertical="top" wrapText="1"/>
    </xf>
    <xf numFmtId="2" fontId="5" fillId="0" borderId="11" xfId="0" applyNumberFormat="1" applyFont="1" applyBorder="1" applyAlignment="1">
      <alignment vertical="top" wrapText="1"/>
    </xf>
    <xf numFmtId="2" fontId="9" fillId="0" borderId="6" xfId="0" applyNumberFormat="1" applyFont="1" applyBorder="1" applyAlignment="1">
      <alignment vertical="top" wrapText="1"/>
    </xf>
    <xf numFmtId="1" fontId="0" fillId="2" borderId="0" xfId="0" applyNumberFormat="1" applyFill="1" applyAlignment="1">
      <alignment horizontal="left"/>
    </xf>
    <xf numFmtId="2" fontId="2" fillId="3" borderId="2" xfId="0" applyNumberFormat="1" applyFont="1" applyFill="1" applyBorder="1" applyAlignment="1">
      <alignment horizontal="left" vertical="top"/>
    </xf>
    <xf numFmtId="2" fontId="5" fillId="0" borderId="5" xfId="0" applyNumberFormat="1" applyFont="1" applyBorder="1" applyAlignment="1">
      <alignment vertical="top" wrapText="1"/>
    </xf>
    <xf numFmtId="2" fontId="5" fillId="0" borderId="9" xfId="0" applyNumberFormat="1" applyFont="1" applyBorder="1" applyAlignment="1">
      <alignment horizontal="left" vertical="top" wrapText="1"/>
    </xf>
    <xf numFmtId="2" fontId="5" fillId="0" borderId="10" xfId="0" applyNumberFormat="1" applyFont="1" applyBorder="1" applyAlignment="1">
      <alignment horizontal="left" vertical="top" wrapText="1"/>
    </xf>
    <xf numFmtId="2" fontId="5" fillId="0" borderId="1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A9F0F64E-E89D-4246-B86E-8246BBD51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C9EED1A5-1157-42BA-942A-B756588D0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E69A8313-FAE1-476D-8269-7434FEA38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04B20373-2FF2-44FE-9D61-C528C5F61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EA5FADA6-4647-4755-91CE-BBDC22D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46909065-A4DB-4B88-BC6E-16AB52977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C318E2DB-E8DE-47F0-932C-43C42E0BC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92C26FB1-CD2A-4A70-9850-04A497436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D2293786-5549-42B4-B8D4-82019DA73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6841D1C9-B4AC-4782-9289-BD4FA067B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531AD433-6175-4418-A4F1-3A5438426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9C795931-5704-4089-A902-E604C2840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3BD8-B1E0-40CF-AE91-288C6C61FB10}">
  <dimension ref="A1:J35"/>
  <sheetViews>
    <sheetView tabSelected="1" view="pageBreakPreview" topLeftCell="A3" zoomScaleNormal="100" zoomScaleSheetLayoutView="100" workbookViewId="0">
      <selection activeCell="B12" sqref="B12:E12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46054</v>
      </c>
    </row>
    <row r="5" spans="1:10" x14ac:dyDescent="0.25">
      <c r="B5" s="3"/>
      <c r="C5" s="4"/>
      <c r="F5" s="3"/>
      <c r="I5" s="3" t="s">
        <v>4</v>
      </c>
      <c r="J5" s="6">
        <v>46081</v>
      </c>
    </row>
    <row r="6" spans="1:10" x14ac:dyDescent="0.25">
      <c r="A6" s="7" t="s">
        <v>5</v>
      </c>
      <c r="B6" s="8"/>
      <c r="E6" t="s">
        <v>6</v>
      </c>
      <c r="F6" s="53">
        <v>2602004019</v>
      </c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0</v>
      </c>
      <c r="I9" s="20">
        <f t="shared" ref="I9:I14" si="0">G9*H9</f>
        <v>0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0</v>
      </c>
      <c r="I10" s="20">
        <f t="shared" si="0"/>
        <v>0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0</v>
      </c>
      <c r="I11" s="20">
        <f t="shared" si="0"/>
        <v>0</v>
      </c>
      <c r="J11" s="21"/>
    </row>
    <row r="12" spans="1:10" ht="28.95" customHeight="1" x14ac:dyDescent="0.3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1</v>
      </c>
      <c r="I13" s="26">
        <f t="shared" si="0"/>
        <v>180</v>
      </c>
      <c r="J13" s="21"/>
    </row>
    <row r="14" spans="1:10" ht="30" customHeight="1" x14ac:dyDescent="0.3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2</v>
      </c>
      <c r="I14" s="26">
        <f t="shared" si="0"/>
        <v>90</v>
      </c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3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3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3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270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F6:G6"/>
    <mergeCell ref="B8:E8"/>
    <mergeCell ref="B9:E9"/>
    <mergeCell ref="B10:E10"/>
    <mergeCell ref="B11:E11"/>
    <mergeCell ref="B12:E12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C14D-5856-44A1-905C-6399FEFCC037}">
  <dimension ref="A1:J35"/>
  <sheetViews>
    <sheetView view="pageBreakPreview" topLeftCell="A16" zoomScaleNormal="100" zoomScaleSheetLayoutView="100" workbookViewId="0">
      <selection activeCell="H15" sqref="H15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46023</v>
      </c>
    </row>
    <row r="5" spans="1:10" x14ac:dyDescent="0.25">
      <c r="B5" s="3"/>
      <c r="C5" s="4"/>
      <c r="F5" s="3"/>
      <c r="I5" s="3" t="s">
        <v>4</v>
      </c>
      <c r="J5" s="6">
        <v>46053</v>
      </c>
    </row>
    <row r="6" spans="1:10" x14ac:dyDescent="0.25">
      <c r="A6" s="7" t="s">
        <v>5</v>
      </c>
      <c r="B6" s="8"/>
      <c r="E6" t="s">
        <v>6</v>
      </c>
      <c r="F6" s="53">
        <v>2601001656</v>
      </c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2</v>
      </c>
      <c r="I9" s="20">
        <f t="shared" ref="I9:I14" si="0">G9*H9</f>
        <v>110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56</v>
      </c>
      <c r="I10" s="20">
        <f t="shared" si="0"/>
        <v>84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3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6</v>
      </c>
      <c r="I14" s="26">
        <f t="shared" si="0"/>
        <v>270</v>
      </c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3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3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3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1304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2C3F-3D40-416F-936C-5F896A88B3B7}">
  <dimension ref="A1:J35"/>
  <sheetViews>
    <sheetView view="pageBreakPreview" topLeftCell="A13" zoomScaleNormal="100" zoomScaleSheetLayoutView="100" workbookViewId="0">
      <selection activeCell="H15" sqref="H15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45992</v>
      </c>
    </row>
    <row r="5" spans="1:10" x14ac:dyDescent="0.25">
      <c r="B5" s="3"/>
      <c r="C5" s="4"/>
      <c r="F5" s="3"/>
      <c r="I5" s="3" t="s">
        <v>4</v>
      </c>
      <c r="J5" s="6">
        <v>46022</v>
      </c>
    </row>
    <row r="6" spans="1:10" x14ac:dyDescent="0.25">
      <c r="A6" s="7" t="s">
        <v>5</v>
      </c>
      <c r="B6" s="8"/>
      <c r="E6" t="s">
        <v>6</v>
      </c>
      <c r="F6" s="53">
        <v>2512027283</v>
      </c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2</v>
      </c>
      <c r="I9" s="20">
        <f t="shared" ref="I9:I14" si="0">G9*H9</f>
        <v>110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40</v>
      </c>
      <c r="I10" s="20">
        <f t="shared" si="0"/>
        <v>60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4</v>
      </c>
      <c r="I13" s="26">
        <f t="shared" si="0"/>
        <v>720</v>
      </c>
      <c r="J13" s="21"/>
    </row>
    <row r="14" spans="1:10" ht="30" customHeight="1" x14ac:dyDescent="0.3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8</v>
      </c>
      <c r="I14" s="26">
        <f t="shared" si="0"/>
        <v>360</v>
      </c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3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3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3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1550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12BF-F678-4B2D-BB97-505B8E9D6D7D}">
  <dimension ref="A1:J35"/>
  <sheetViews>
    <sheetView view="pageBreakPreview" zoomScaleNormal="100" zoomScaleSheetLayoutView="100" workbookViewId="0">
      <selection activeCell="H14" sqref="H14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45962</v>
      </c>
    </row>
    <row r="5" spans="1:10" x14ac:dyDescent="0.25">
      <c r="B5" s="3"/>
      <c r="C5" s="4"/>
      <c r="F5" s="3"/>
      <c r="I5" s="3" t="s">
        <v>4</v>
      </c>
      <c r="J5" s="6">
        <v>45991</v>
      </c>
    </row>
    <row r="6" spans="1:10" x14ac:dyDescent="0.25">
      <c r="A6" s="7" t="s">
        <v>5</v>
      </c>
      <c r="B6" s="8"/>
      <c r="E6" t="s">
        <v>6</v>
      </c>
      <c r="F6" s="53">
        <v>2511025420</v>
      </c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4</v>
      </c>
      <c r="I9" s="20">
        <f t="shared" ref="I9:I14" si="0">G9*H9</f>
        <v>220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112</v>
      </c>
      <c r="I10" s="20">
        <f t="shared" si="0"/>
        <v>168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3</v>
      </c>
      <c r="I11" s="20">
        <f t="shared" si="0"/>
        <v>900</v>
      </c>
      <c r="J11" s="21"/>
    </row>
    <row r="12" spans="1:10" ht="28.95" customHeight="1" x14ac:dyDescent="0.3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2</v>
      </c>
      <c r="I13" s="26">
        <f t="shared" si="0"/>
        <v>360</v>
      </c>
      <c r="J13" s="21"/>
    </row>
    <row r="14" spans="1:10" ht="30" customHeight="1" x14ac:dyDescent="0.3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4</v>
      </c>
      <c r="I14" s="26">
        <f t="shared" si="0"/>
        <v>180</v>
      </c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3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3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3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1828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234-35DC-40F4-9988-5AD2625F0079}">
  <dimension ref="A1:J35"/>
  <sheetViews>
    <sheetView view="pageBreakPreview" zoomScaleNormal="100" zoomScaleSheetLayoutView="100" workbookViewId="0">
      <selection activeCell="E35" sqref="E35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45931</v>
      </c>
    </row>
    <row r="5" spans="1:10" x14ac:dyDescent="0.25">
      <c r="B5" s="3"/>
      <c r="C5" s="4"/>
      <c r="F5" s="3"/>
      <c r="I5" s="3" t="s">
        <v>4</v>
      </c>
      <c r="J5" s="6">
        <v>45961</v>
      </c>
    </row>
    <row r="6" spans="1:10" x14ac:dyDescent="0.25">
      <c r="A6" s="7" t="s">
        <v>5</v>
      </c>
      <c r="B6" s="8"/>
      <c r="E6" t="s">
        <v>6</v>
      </c>
      <c r="F6" s="53"/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1</v>
      </c>
      <c r="I9" s="20">
        <f t="shared" ref="I9:I14" si="0">G9*H9</f>
        <v>55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53</v>
      </c>
      <c r="I10" s="20">
        <f t="shared" si="0"/>
        <v>79.5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3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6</v>
      </c>
      <c r="I14" s="26">
        <f t="shared" si="0"/>
        <v>270</v>
      </c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3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3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3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1244.5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6A70-A09B-47F3-9CF2-E12C737E1A7D}">
  <dimension ref="A1:J35"/>
  <sheetViews>
    <sheetView view="pageBreakPreview" zoomScaleNormal="100" zoomScaleSheetLayoutView="100" workbookViewId="0">
      <selection activeCell="B21" sqref="B21:E21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45901</v>
      </c>
    </row>
    <row r="5" spans="1:10" x14ac:dyDescent="0.25">
      <c r="B5" s="3"/>
      <c r="C5" s="4"/>
      <c r="F5" s="3"/>
      <c r="I5" s="3" t="s">
        <v>4</v>
      </c>
      <c r="J5" s="6">
        <v>45930</v>
      </c>
    </row>
    <row r="6" spans="1:10" x14ac:dyDescent="0.25">
      <c r="A6" s="7" t="s">
        <v>5</v>
      </c>
      <c r="B6" s="8"/>
      <c r="E6" t="s">
        <v>6</v>
      </c>
      <c r="F6" s="53"/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1</v>
      </c>
      <c r="I9" s="20">
        <f t="shared" ref="I9:I14" si="0">G9*H9</f>
        <v>55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37</v>
      </c>
      <c r="I10" s="20">
        <f t="shared" si="0"/>
        <v>55.5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3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4</v>
      </c>
      <c r="I14" s="26">
        <f t="shared" si="0"/>
        <v>180</v>
      </c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3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3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3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1130.5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EDB9-B767-4256-AEEA-937EB7885033}">
  <dimension ref="A1:J35"/>
  <sheetViews>
    <sheetView view="pageBreakPreview" topLeftCell="A7" zoomScaleNormal="100" zoomScaleSheetLayoutView="100" workbookViewId="0">
      <selection activeCell="I20" sqref="I20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45870</v>
      </c>
    </row>
    <row r="5" spans="1:10" x14ac:dyDescent="0.25">
      <c r="B5" s="3"/>
      <c r="C5" s="4"/>
      <c r="F5" s="3"/>
      <c r="I5" s="3" t="s">
        <v>4</v>
      </c>
      <c r="J5" s="6">
        <v>45900</v>
      </c>
    </row>
    <row r="6" spans="1:10" x14ac:dyDescent="0.25">
      <c r="A6" s="7" t="s">
        <v>5</v>
      </c>
      <c r="B6" s="8"/>
      <c r="E6" t="s">
        <v>6</v>
      </c>
      <c r="F6" s="53"/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0</v>
      </c>
      <c r="I9" s="20">
        <f t="shared" ref="I9:I14" si="0">G9*H9</f>
        <v>0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69</v>
      </c>
      <c r="I10" s="20">
        <f t="shared" si="0"/>
        <v>103.5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4</v>
      </c>
      <c r="I13" s="26">
        <f t="shared" si="0"/>
        <v>720</v>
      </c>
      <c r="J13" s="21"/>
    </row>
    <row r="14" spans="1:10" ht="30" customHeight="1" x14ac:dyDescent="0.3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8</v>
      </c>
      <c r="I14" s="26">
        <f t="shared" si="0"/>
        <v>360</v>
      </c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3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3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3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1483.5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7591-8D63-46A2-A20A-040A20CB2CD5}">
  <dimension ref="A1:J35"/>
  <sheetViews>
    <sheetView view="pageBreakPreview" topLeftCell="A22" zoomScaleNormal="100" zoomScaleSheetLayoutView="100" workbookViewId="0">
      <selection activeCell="I21" sqref="I21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45839</v>
      </c>
    </row>
    <row r="5" spans="1:10" x14ac:dyDescent="0.25">
      <c r="B5" s="3"/>
      <c r="C5" s="4"/>
      <c r="F5" s="3"/>
      <c r="I5" s="3" t="s">
        <v>4</v>
      </c>
      <c r="J5" s="6">
        <v>45869</v>
      </c>
    </row>
    <row r="6" spans="1:10" x14ac:dyDescent="0.25">
      <c r="A6" s="7" t="s">
        <v>5</v>
      </c>
      <c r="B6" s="8"/>
      <c r="E6" t="s">
        <v>6</v>
      </c>
      <c r="F6" s="53"/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1</v>
      </c>
      <c r="I9" s="20">
        <f t="shared" ref="I9:I14" si="0">G9*H9</f>
        <v>55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f>5-5+4-5+60-5</f>
        <v>54</v>
      </c>
      <c r="I10" s="20">
        <f t="shared" si="0"/>
        <v>81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292</v>
      </c>
      <c r="I12" s="20">
        <f t="shared" si="0"/>
        <v>730</v>
      </c>
      <c r="J12" s="21"/>
    </row>
    <row r="13" spans="1:10" ht="28.95" customHeight="1" x14ac:dyDescent="0.3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3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3</v>
      </c>
      <c r="I14" s="26">
        <f t="shared" si="0"/>
        <v>135</v>
      </c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3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3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3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1841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3114-DF11-47B8-8C09-1D384A869C53}">
  <dimension ref="A1:J35"/>
  <sheetViews>
    <sheetView view="pageBreakPreview" topLeftCell="A19" zoomScaleNormal="100" zoomScaleSheetLayoutView="100" workbookViewId="0">
      <selection activeCell="J17" sqref="J17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45809</v>
      </c>
    </row>
    <row r="5" spans="1:10" x14ac:dyDescent="0.25">
      <c r="B5" s="3"/>
      <c r="C5" s="4"/>
      <c r="F5" s="3"/>
      <c r="I5" s="3" t="s">
        <v>4</v>
      </c>
      <c r="J5" s="6">
        <v>45838</v>
      </c>
    </row>
    <row r="6" spans="1:10" x14ac:dyDescent="0.25">
      <c r="A6" s="7" t="s">
        <v>5</v>
      </c>
      <c r="B6" s="8"/>
      <c r="E6" t="s">
        <v>6</v>
      </c>
      <c r="F6" s="53">
        <v>2505011416</v>
      </c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0</v>
      </c>
      <c r="I9" s="20">
        <f t="shared" ref="I9:I14" si="0">G9*H9</f>
        <v>0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0</v>
      </c>
      <c r="I10" s="20">
        <f t="shared" si="0"/>
        <v>0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0</v>
      </c>
      <c r="I11" s="20">
        <f t="shared" si="0"/>
        <v>0</v>
      </c>
      <c r="J11" s="21"/>
    </row>
    <row r="12" spans="1:10" ht="28.95" customHeight="1" x14ac:dyDescent="0.3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1228</v>
      </c>
      <c r="I12" s="20">
        <f t="shared" si="0"/>
        <v>3070</v>
      </c>
      <c r="J12" s="21"/>
    </row>
    <row r="13" spans="1:10" ht="28.95" customHeight="1" x14ac:dyDescent="0.3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6</v>
      </c>
      <c r="I13" s="26">
        <f t="shared" si="0"/>
        <v>1080</v>
      </c>
      <c r="J13" s="21"/>
    </row>
    <row r="14" spans="1:10" ht="30" customHeight="1" x14ac:dyDescent="0.3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0</v>
      </c>
      <c r="I14" s="26">
        <f t="shared" si="0"/>
        <v>0</v>
      </c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3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3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3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4150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9CFA-8B83-4972-99DA-92E10FC4AFDE}">
  <dimension ref="A1:J35"/>
  <sheetViews>
    <sheetView view="pageBreakPreview" topLeftCell="A16" zoomScaleNormal="100" zoomScaleSheetLayoutView="100" workbookViewId="0">
      <selection activeCell="H12" sqref="H12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45778</v>
      </c>
    </row>
    <row r="5" spans="1:10" x14ac:dyDescent="0.25">
      <c r="B5" s="3"/>
      <c r="C5" s="4"/>
      <c r="F5" s="3"/>
      <c r="I5" s="3" t="s">
        <v>4</v>
      </c>
      <c r="J5" s="6">
        <v>45808</v>
      </c>
    </row>
    <row r="6" spans="1:10" x14ac:dyDescent="0.25">
      <c r="A6" s="7" t="s">
        <v>5</v>
      </c>
      <c r="B6" s="8"/>
      <c r="E6" t="s">
        <v>6</v>
      </c>
      <c r="F6" s="53">
        <v>2505011416</v>
      </c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2</v>
      </c>
      <c r="I9" s="20">
        <f t="shared" ref="I9:I14" si="0">G9*H9</f>
        <v>110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58</v>
      </c>
      <c r="I10" s="20">
        <f t="shared" si="0"/>
        <v>87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515</v>
      </c>
      <c r="I12" s="20">
        <f t="shared" si="0"/>
        <v>1287.5</v>
      </c>
      <c r="J12" s="21"/>
    </row>
    <row r="13" spans="1:10" ht="28.95" customHeight="1" x14ac:dyDescent="0.3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5</v>
      </c>
      <c r="I13" s="26">
        <f t="shared" si="0"/>
        <v>900</v>
      </c>
      <c r="J13" s="21"/>
    </row>
    <row r="14" spans="1:10" ht="30" customHeight="1" x14ac:dyDescent="0.3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0</v>
      </c>
      <c r="I14" s="26">
        <f t="shared" si="0"/>
        <v>0</v>
      </c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3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3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3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2684.5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6:E26"/>
    <mergeCell ref="B27:E27"/>
    <mergeCell ref="B28:E28"/>
    <mergeCell ref="B12:E12"/>
    <mergeCell ref="B20:E20"/>
    <mergeCell ref="B21:E21"/>
    <mergeCell ref="B22:E22"/>
    <mergeCell ref="B23:E23"/>
    <mergeCell ref="B24:E24"/>
    <mergeCell ref="B25:E25"/>
    <mergeCell ref="B14:E14"/>
    <mergeCell ref="B15:E15"/>
    <mergeCell ref="B16:E16"/>
    <mergeCell ref="B17:E17"/>
    <mergeCell ref="B18:E18"/>
    <mergeCell ref="B19:E19"/>
    <mergeCell ref="B13:E13"/>
    <mergeCell ref="F6:G6"/>
    <mergeCell ref="B8:E8"/>
    <mergeCell ref="B9:E9"/>
    <mergeCell ref="B10:E10"/>
    <mergeCell ref="B11:E11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E64F-C122-4334-9D2A-4A03665D1A5F}">
  <dimension ref="A1:J34"/>
  <sheetViews>
    <sheetView view="pageBreakPreview" topLeftCell="A16" zoomScaleNormal="100" zoomScaleSheetLayoutView="100" workbookViewId="0">
      <selection activeCell="B22" sqref="B22:E22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45702</v>
      </c>
    </row>
    <row r="5" spans="1:10" x14ac:dyDescent="0.25">
      <c r="B5" s="3"/>
      <c r="C5" s="4"/>
      <c r="F5" s="3"/>
      <c r="I5" s="3" t="s">
        <v>4</v>
      </c>
      <c r="J5" s="6">
        <v>45710</v>
      </c>
    </row>
    <row r="6" spans="1:10" x14ac:dyDescent="0.25">
      <c r="A6" s="7" t="s">
        <v>5</v>
      </c>
      <c r="B6" s="8"/>
      <c r="E6" t="s">
        <v>6</v>
      </c>
      <c r="F6" s="53">
        <v>2502004321</v>
      </c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0</v>
      </c>
      <c r="I9" s="20">
        <f t="shared" ref="I9:I13" si="0">G9*H9</f>
        <v>0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0</v>
      </c>
      <c r="I10" s="20">
        <f t="shared" si="0"/>
        <v>0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0</v>
      </c>
      <c r="I11" s="20">
        <f t="shared" si="0"/>
        <v>0</v>
      </c>
      <c r="J11" s="21"/>
    </row>
    <row r="12" spans="1:10" ht="28.95" customHeight="1" x14ac:dyDescent="0.3">
      <c r="A12" s="22" t="s">
        <v>18</v>
      </c>
      <c r="B12" s="49" t="s">
        <v>29</v>
      </c>
      <c r="C12" s="50"/>
      <c r="D12" s="50"/>
      <c r="E12" s="51"/>
      <c r="F12" s="23" t="s">
        <v>17</v>
      </c>
      <c r="G12" s="24">
        <v>180</v>
      </c>
      <c r="H12" s="25">
        <v>3</v>
      </c>
      <c r="I12" s="26">
        <f t="shared" si="0"/>
        <v>540</v>
      </c>
      <c r="J12" s="21"/>
    </row>
    <row r="13" spans="1:10" ht="30" customHeight="1" x14ac:dyDescent="0.3">
      <c r="A13" s="22" t="s">
        <v>19</v>
      </c>
      <c r="B13" s="49" t="s">
        <v>30</v>
      </c>
      <c r="C13" s="50"/>
      <c r="D13" s="50"/>
      <c r="E13" s="51"/>
      <c r="F13" s="23" t="s">
        <v>31</v>
      </c>
      <c r="G13" s="24">
        <v>45</v>
      </c>
      <c r="H13" s="25">
        <v>0</v>
      </c>
      <c r="I13" s="26">
        <f t="shared" si="0"/>
        <v>0</v>
      </c>
      <c r="J13" s="21"/>
    </row>
    <row r="14" spans="1:10" ht="30" customHeight="1" x14ac:dyDescent="0.3">
      <c r="A14" s="22"/>
      <c r="B14" s="49"/>
      <c r="C14" s="50"/>
      <c r="D14" s="50"/>
      <c r="E14" s="51"/>
      <c r="F14" s="23"/>
      <c r="G14" s="27"/>
      <c r="H14" s="28"/>
      <c r="I14" s="26"/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9"/>
      <c r="H16" s="30"/>
      <c r="I16" s="20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7"/>
      <c r="H17" s="30"/>
      <c r="I17" s="26"/>
      <c r="J17" s="21"/>
    </row>
    <row r="18" spans="1:10" ht="30" customHeight="1" x14ac:dyDescent="0.3">
      <c r="A18" s="31"/>
      <c r="B18" s="49"/>
      <c r="C18" s="50"/>
      <c r="D18" s="50"/>
      <c r="E18" s="51"/>
      <c r="F18" s="23"/>
      <c r="G18" s="33"/>
      <c r="H18" s="30"/>
      <c r="I18" s="35"/>
      <c r="J18" s="36"/>
    </row>
    <row r="19" spans="1:10" ht="30" customHeight="1" x14ac:dyDescent="0.3">
      <c r="A19" s="37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1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47"/>
      <c r="C23" s="47"/>
      <c r="D23" s="47"/>
      <c r="E23" s="47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8"/>
      <c r="C26" s="48"/>
      <c r="D26" s="48"/>
      <c r="E26" s="48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48"/>
      <c r="C27" s="48"/>
      <c r="D27" s="48"/>
      <c r="E27" s="48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20</v>
      </c>
      <c r="I28" s="44">
        <f>SUM(I9:I27)</f>
        <v>540</v>
      </c>
      <c r="J28" s="45">
        <f>I28*kurs</f>
        <v>0</v>
      </c>
    </row>
    <row r="33" spans="2:10" x14ac:dyDescent="0.25">
      <c r="B33" t="s">
        <v>21</v>
      </c>
      <c r="J33" s="46"/>
    </row>
    <row r="34" spans="2:10" x14ac:dyDescent="0.25">
      <c r="B34" t="s">
        <v>22</v>
      </c>
      <c r="J34" s="46"/>
    </row>
  </sheetData>
  <mergeCells count="21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3305-881B-4120-8CE4-F2DEE17C04B8}">
  <dimension ref="A1:J34"/>
  <sheetViews>
    <sheetView view="pageBreakPreview" topLeftCell="A16" zoomScaleNormal="100" zoomScaleSheetLayoutView="100" workbookViewId="0">
      <selection activeCell="G13" sqref="G13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45684</v>
      </c>
    </row>
    <row r="5" spans="1:10" x14ac:dyDescent="0.25">
      <c r="B5" s="3"/>
      <c r="C5" s="4"/>
      <c r="F5" s="3"/>
      <c r="I5" s="3" t="s">
        <v>4</v>
      </c>
      <c r="J5" s="6">
        <v>45700</v>
      </c>
    </row>
    <row r="6" spans="1:10" x14ac:dyDescent="0.25">
      <c r="A6" s="7" t="s">
        <v>5</v>
      </c>
      <c r="B6" s="8"/>
      <c r="E6" t="s">
        <v>6</v>
      </c>
      <c r="F6" s="53"/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3</v>
      </c>
      <c r="I9" s="20">
        <f t="shared" ref="I9:I13" si="0">G9*H9</f>
        <v>165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109</v>
      </c>
      <c r="I10" s="20">
        <f t="shared" si="0"/>
        <v>163.5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3</v>
      </c>
      <c r="I11" s="20">
        <f t="shared" si="0"/>
        <v>900</v>
      </c>
      <c r="J11" s="21"/>
    </row>
    <row r="12" spans="1:10" ht="28.95" customHeight="1" x14ac:dyDescent="0.3">
      <c r="A12" s="22" t="s">
        <v>18</v>
      </c>
      <c r="B12" s="49" t="s">
        <v>29</v>
      </c>
      <c r="C12" s="50"/>
      <c r="D12" s="50"/>
      <c r="E12" s="51"/>
      <c r="F12" s="23" t="s">
        <v>17</v>
      </c>
      <c r="G12" s="24">
        <v>180</v>
      </c>
      <c r="H12" s="25">
        <v>3</v>
      </c>
      <c r="I12" s="26">
        <f t="shared" si="0"/>
        <v>540</v>
      </c>
      <c r="J12" s="21"/>
    </row>
    <row r="13" spans="1:10" ht="30" customHeight="1" x14ac:dyDescent="0.3">
      <c r="A13" s="22" t="s">
        <v>19</v>
      </c>
      <c r="B13" s="49" t="s">
        <v>30</v>
      </c>
      <c r="C13" s="50"/>
      <c r="D13" s="50"/>
      <c r="E13" s="51"/>
      <c r="F13" s="23" t="s">
        <v>31</v>
      </c>
      <c r="G13" s="24">
        <v>45</v>
      </c>
      <c r="H13" s="25">
        <v>6</v>
      </c>
      <c r="I13" s="26">
        <f t="shared" si="0"/>
        <v>270</v>
      </c>
      <c r="J13" s="21"/>
    </row>
    <row r="14" spans="1:10" ht="30" customHeight="1" x14ac:dyDescent="0.3">
      <c r="A14" s="22"/>
      <c r="B14" s="49"/>
      <c r="C14" s="50"/>
      <c r="D14" s="50"/>
      <c r="E14" s="51"/>
      <c r="F14" s="23"/>
      <c r="G14" s="27"/>
      <c r="H14" s="28"/>
      <c r="I14" s="26"/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9"/>
      <c r="H16" s="30"/>
      <c r="I16" s="20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7"/>
      <c r="H17" s="30"/>
      <c r="I17" s="26"/>
      <c r="J17" s="21"/>
    </row>
    <row r="18" spans="1:10" ht="30" customHeight="1" x14ac:dyDescent="0.3">
      <c r="A18" s="31"/>
      <c r="B18" s="49"/>
      <c r="C18" s="50"/>
      <c r="D18" s="50"/>
      <c r="E18" s="51"/>
      <c r="F18" s="23"/>
      <c r="G18" s="33"/>
      <c r="H18" s="30"/>
      <c r="I18" s="35"/>
      <c r="J18" s="36"/>
    </row>
    <row r="19" spans="1:10" ht="30" customHeight="1" x14ac:dyDescent="0.3">
      <c r="A19" s="37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1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47"/>
      <c r="C23" s="47"/>
      <c r="D23" s="47"/>
      <c r="E23" s="47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8"/>
      <c r="C26" s="48"/>
      <c r="D26" s="48"/>
      <c r="E26" s="48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48"/>
      <c r="C27" s="48"/>
      <c r="D27" s="48"/>
      <c r="E27" s="48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20</v>
      </c>
      <c r="I28" s="44">
        <f>SUM(I9:I27)</f>
        <v>2038.5</v>
      </c>
      <c r="J28" s="45">
        <f>I28*kurs</f>
        <v>0</v>
      </c>
    </row>
    <row r="33" spans="2:10" x14ac:dyDescent="0.25">
      <c r="B33" t="s">
        <v>21</v>
      </c>
      <c r="J33" s="46"/>
    </row>
    <row r="34" spans="2:10" x14ac:dyDescent="0.25">
      <c r="B34" t="s">
        <v>22</v>
      </c>
      <c r="J34" s="46"/>
    </row>
  </sheetData>
  <mergeCells count="21">
    <mergeCell ref="B25:E25"/>
    <mergeCell ref="B26:E26"/>
    <mergeCell ref="B27:E27"/>
    <mergeCell ref="B20:E20"/>
    <mergeCell ref="B21:E21"/>
    <mergeCell ref="B22:E22"/>
    <mergeCell ref="B23:E23"/>
    <mergeCell ref="B24:E24"/>
    <mergeCell ref="B19:E19"/>
    <mergeCell ref="F6:G6"/>
    <mergeCell ref="B8:E8"/>
    <mergeCell ref="B9:E9"/>
    <mergeCell ref="B11:E11"/>
    <mergeCell ref="B12:E12"/>
    <mergeCell ref="B13:E13"/>
    <mergeCell ref="B14:E14"/>
    <mergeCell ref="B15:E15"/>
    <mergeCell ref="B16:E16"/>
    <mergeCell ref="B17:E17"/>
    <mergeCell ref="B18:E18"/>
    <mergeCell ref="B10:E10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februar 26</vt:lpstr>
      <vt:lpstr>januar 2026</vt:lpstr>
      <vt:lpstr>decembar 2025</vt:lpstr>
      <vt:lpstr>novembar 2025</vt:lpstr>
      <vt:lpstr>oktobar 2025</vt:lpstr>
      <vt:lpstr>septembar 2025</vt:lpstr>
      <vt:lpstr>avgust 2025</vt:lpstr>
      <vt:lpstr>JUL2025 </vt:lpstr>
      <vt:lpstr>JUN2025</vt:lpstr>
      <vt:lpstr>maj2025</vt:lpstr>
      <vt:lpstr>feb2025</vt:lpstr>
      <vt:lpstr>jan2025</vt:lpstr>
      <vt:lpstr>'avgust 2025'!kurs</vt:lpstr>
      <vt:lpstr>'decembar 2025'!kurs</vt:lpstr>
      <vt:lpstr>'feb2025'!kurs</vt:lpstr>
      <vt:lpstr>'februar 26'!kurs</vt:lpstr>
      <vt:lpstr>'jan2025'!kurs</vt:lpstr>
      <vt:lpstr>'januar 2026'!kurs</vt:lpstr>
      <vt:lpstr>'JUL2025 '!kurs</vt:lpstr>
      <vt:lpstr>'JUN2025'!kurs</vt:lpstr>
      <vt:lpstr>'maj2025'!kurs</vt:lpstr>
      <vt:lpstr>'novembar 2025'!kurs</vt:lpstr>
      <vt:lpstr>'oktobar 2025'!kurs</vt:lpstr>
      <vt:lpstr>'septembar 2025'!kurs</vt:lpstr>
      <vt:lpstr>'avgust 2025'!Print_Area</vt:lpstr>
      <vt:lpstr>'decembar 2025'!Print_Area</vt:lpstr>
      <vt:lpstr>'feb2025'!Print_Area</vt:lpstr>
      <vt:lpstr>'februar 26'!Print_Area</vt:lpstr>
      <vt:lpstr>'jan2025'!Print_Area</vt:lpstr>
      <vt:lpstr>'januar 2026'!Print_Area</vt:lpstr>
      <vt:lpstr>'JUL2025 '!Print_Area</vt:lpstr>
      <vt:lpstr>'JUN2025'!Print_Area</vt:lpstr>
      <vt:lpstr>'maj2025'!Print_Area</vt:lpstr>
      <vt:lpstr>'novembar 2025'!Print_Area</vt:lpstr>
      <vt:lpstr>'oktobar 2025'!Print_Area</vt:lpstr>
      <vt:lpstr>'septembar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Branimir Trickovic</cp:lastModifiedBy>
  <dcterms:created xsi:type="dcterms:W3CDTF">2025-02-10T14:20:52Z</dcterms:created>
  <dcterms:modified xsi:type="dcterms:W3CDTF">2026-03-12T11:18:03Z</dcterms:modified>
</cp:coreProperties>
</file>