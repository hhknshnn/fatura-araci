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kan.yaman\Desktop\TURQUALITY\MAKEDONYA\01.Ocak\"/>
    </mc:Choice>
  </mc:AlternateContent>
  <xr:revisionPtr revIDLastSave="0" documentId="8_{77B4DFEC-4006-4811-BCB6-A288EB88729D}" xr6:coauthVersionLast="47" xr6:coauthVersionMax="47" xr10:uidLastSave="{00000000-0000-0000-0000-000000000000}"/>
  <bookViews>
    <workbookView xWindow="-120" yWindow="-120" windowWidth="29040" windowHeight="15840" activeTab="1" xr2:uid="{0BA0386D-54DC-459A-BC2D-7CE81F3AAEE4}"/>
  </bookViews>
  <sheets>
    <sheet name="februar 26" sheetId="12" r:id="rId1"/>
    <sheet name="januar 2026" sheetId="11" r:id="rId2"/>
    <sheet name="decembar 2025" sheetId="10" r:id="rId3"/>
    <sheet name="novembar 2025" sheetId="9" r:id="rId4"/>
    <sheet name="oktobar 2025" sheetId="8" r:id="rId5"/>
    <sheet name="septembar 2025" sheetId="7" r:id="rId6"/>
    <sheet name="avgust 2025" sheetId="6" r:id="rId7"/>
    <sheet name="JUL2025 " sheetId="5" r:id="rId8"/>
    <sheet name="JUN2025" sheetId="4" r:id="rId9"/>
    <sheet name="maj2025" sheetId="3" r:id="rId10"/>
    <sheet name="feb2025" sheetId="2" r:id="rId11"/>
    <sheet name="jan2025" sheetId="1" r:id="rId12"/>
  </sheets>
  <definedNames>
    <definedName name="kurs" localSheetId="6">'avgust 2025'!$J$6</definedName>
    <definedName name="kurs" localSheetId="2">'decembar 2025'!$J$6</definedName>
    <definedName name="kurs" localSheetId="10">'feb2025'!$J$6</definedName>
    <definedName name="kurs" localSheetId="0">'februar 26'!$J$6</definedName>
    <definedName name="kurs" localSheetId="11">'jan2025'!$J$6</definedName>
    <definedName name="kurs" localSheetId="1">'januar 2026'!$J$6</definedName>
    <definedName name="kurs" localSheetId="7">'JUL2025 '!$J$6</definedName>
    <definedName name="kurs" localSheetId="8">'JUN2025'!$J$6</definedName>
    <definedName name="kurs" localSheetId="9">'maj2025'!$J$6</definedName>
    <definedName name="kurs" localSheetId="3">'novembar 2025'!$J$6</definedName>
    <definedName name="kurs" localSheetId="4">'oktobar 2025'!$J$6</definedName>
    <definedName name="kurs" localSheetId="5">'septembar 2025'!$J$6</definedName>
    <definedName name="kurs">#REF!</definedName>
    <definedName name="NOVEMB" localSheetId="6">#REF!</definedName>
    <definedName name="NOVEMB" localSheetId="2">#REF!</definedName>
    <definedName name="NOVEMB" localSheetId="10">#REF!</definedName>
    <definedName name="NOVEMB" localSheetId="0">#REF!</definedName>
    <definedName name="NOVEMB" localSheetId="11">#REF!</definedName>
    <definedName name="NOVEMB" localSheetId="1">#REF!</definedName>
    <definedName name="NOVEMB" localSheetId="7">#REF!</definedName>
    <definedName name="NOVEMB" localSheetId="8">#REF!</definedName>
    <definedName name="NOVEMB" localSheetId="9">#REF!</definedName>
    <definedName name="NOVEMB" localSheetId="3">#REF!</definedName>
    <definedName name="NOVEMB" localSheetId="4">#REF!</definedName>
    <definedName name="NOVEMB" localSheetId="5">#REF!</definedName>
    <definedName name="NOVEMB">#REF!</definedName>
    <definedName name="_xlnm.Print_Area" localSheetId="6">'avgust 2025'!$A$1:$J$39</definedName>
    <definedName name="_xlnm.Print_Area" localSheetId="2">'decembar 2025'!$A$1:$J$39</definedName>
    <definedName name="_xlnm.Print_Area" localSheetId="10">'feb2025'!$A$1:$J$38</definedName>
    <definedName name="_xlnm.Print_Area" localSheetId="0">'februar 26'!$A$1:$J$39</definedName>
    <definedName name="_xlnm.Print_Area" localSheetId="11">'jan2025'!$A$1:$J$38</definedName>
    <definedName name="_xlnm.Print_Area" localSheetId="1">'januar 2026'!$A$1:$J$39</definedName>
    <definedName name="_xlnm.Print_Area" localSheetId="7">'JUL2025 '!$A$1:$J$39</definedName>
    <definedName name="_xlnm.Print_Area" localSheetId="8">'JUN2025'!$A$1:$J$39</definedName>
    <definedName name="_xlnm.Print_Area" localSheetId="9">'maj2025'!$A$1:$J$39</definedName>
    <definedName name="_xlnm.Print_Area" localSheetId="3">'novembar 2025'!$A$1:$J$39</definedName>
    <definedName name="_xlnm.Print_Area" localSheetId="4">'oktobar 2025'!$A$1:$J$39</definedName>
    <definedName name="_xlnm.Print_Area" localSheetId="5">'septembar 2025'!$A$1:$J$39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2" l="1"/>
  <c r="I13" i="12"/>
  <c r="I12" i="12"/>
  <c r="I11" i="12"/>
  <c r="I10" i="12"/>
  <c r="I9" i="12"/>
  <c r="I14" i="11"/>
  <c r="I13" i="11"/>
  <c r="I12" i="11"/>
  <c r="I11" i="11"/>
  <c r="I10" i="11"/>
  <c r="I9" i="11"/>
  <c r="I14" i="10"/>
  <c r="I13" i="10"/>
  <c r="I12" i="10"/>
  <c r="I11" i="10"/>
  <c r="I10" i="10"/>
  <c r="I9" i="10"/>
  <c r="I14" i="9"/>
  <c r="I13" i="9"/>
  <c r="I12" i="9"/>
  <c r="I11" i="9"/>
  <c r="I10" i="9"/>
  <c r="I9" i="9"/>
  <c r="I14" i="8"/>
  <c r="I13" i="8"/>
  <c r="I12" i="8"/>
  <c r="I11" i="8"/>
  <c r="I10" i="8"/>
  <c r="I9" i="8"/>
  <c r="I14" i="7"/>
  <c r="I13" i="7"/>
  <c r="I12" i="7"/>
  <c r="I11" i="7"/>
  <c r="I10" i="7"/>
  <c r="I9" i="7"/>
  <c r="I29" i="12" l="1"/>
  <c r="J29" i="12" s="1"/>
  <c r="I29" i="11"/>
  <c r="J29" i="11" s="1"/>
  <c r="I29" i="10"/>
  <c r="J29" i="10" s="1"/>
  <c r="I29" i="8"/>
  <c r="J29" i="8" s="1"/>
  <c r="I29" i="9"/>
  <c r="J29" i="9" s="1"/>
  <c r="I29" i="7"/>
  <c r="J29" i="7" s="1"/>
  <c r="I14" i="6" l="1"/>
  <c r="I13" i="6"/>
  <c r="I12" i="6"/>
  <c r="I11" i="6"/>
  <c r="I10" i="6"/>
  <c r="I9" i="6"/>
  <c r="H10" i="5"/>
  <c r="I14" i="5"/>
  <c r="I13" i="5"/>
  <c r="I12" i="5"/>
  <c r="I11" i="5"/>
  <c r="I10" i="5"/>
  <c r="I29" i="5" s="1"/>
  <c r="J29" i="5" s="1"/>
  <c r="I9" i="5"/>
  <c r="I14" i="4"/>
  <c r="I13" i="4"/>
  <c r="I12" i="4"/>
  <c r="I11" i="4"/>
  <c r="I10" i="4"/>
  <c r="I9" i="4"/>
  <c r="I12" i="3"/>
  <c r="I29" i="6" l="1"/>
  <c r="J29" i="6" s="1"/>
  <c r="I29" i="4"/>
  <c r="J29" i="4" s="1"/>
  <c r="I14" i="3"/>
  <c r="I13" i="3"/>
  <c r="I11" i="3"/>
  <c r="I10" i="3"/>
  <c r="I9" i="3"/>
  <c r="I13" i="2"/>
  <c r="I12" i="2"/>
  <c r="I11" i="2"/>
  <c r="I10" i="2"/>
  <c r="I9" i="2"/>
  <c r="I13" i="1"/>
  <c r="I10" i="1"/>
  <c r="I12" i="1"/>
  <c r="I29" i="3" l="1"/>
  <c r="J29" i="3" s="1"/>
  <c r="I28" i="2"/>
  <c r="J28" i="2" s="1"/>
  <c r="I11" i="1"/>
  <c r="I9" i="1"/>
  <c r="I28" i="1" l="1"/>
  <c r="J28" i="1" s="1"/>
</calcChain>
</file>

<file path=xl/sharedStrings.xml><?xml version="1.0" encoding="utf-8"?>
<sst xmlns="http://schemas.openxmlformats.org/spreadsheetml/2006/main" count="426" uniqueCount="35">
  <si>
    <t>OBRAČUN SKLADIŠNINE - MATERIJALI</t>
  </si>
  <si>
    <t>Client</t>
  </si>
  <si>
    <t>Logistics services for period</t>
  </si>
  <si>
    <t>od</t>
  </si>
  <si>
    <t>do</t>
  </si>
  <si>
    <t>M&amp;M Militzer &amp; Münch d.o.o.</t>
  </si>
  <si>
    <t>Order number</t>
  </si>
  <si>
    <t>No.</t>
  </si>
  <si>
    <t>Service</t>
  </si>
  <si>
    <t>UOM</t>
  </si>
  <si>
    <t>UOM price (€)</t>
  </si>
  <si>
    <t>Qty</t>
  </si>
  <si>
    <t>Amount (€)</t>
  </si>
  <si>
    <t>iznos(RSD)</t>
  </si>
  <si>
    <t>1.</t>
  </si>
  <si>
    <t>2.</t>
  </si>
  <si>
    <t>3.</t>
  </si>
  <si>
    <t>truck</t>
  </si>
  <si>
    <t>4.</t>
  </si>
  <si>
    <t>5.</t>
  </si>
  <si>
    <t>Ukupno:</t>
  </si>
  <si>
    <t>Obracunao</t>
  </si>
  <si>
    <t>Branimir Trickovic</t>
  </si>
  <si>
    <t>Madame Coco NMK</t>
  </si>
  <si>
    <t>Warehouse up to 10 days</t>
  </si>
  <si>
    <t>Import customs clearance up to 5 HS codes</t>
  </si>
  <si>
    <t>declaration</t>
  </si>
  <si>
    <t>HS code</t>
  </si>
  <si>
    <t>Additional HS code</t>
  </si>
  <si>
    <t xml:space="preserve">Delivery Palma Mall Tetovo Avia (7-16 eur pal), up to 7.0 t </t>
  </si>
  <si>
    <t>Additional workforce for unloading</t>
  </si>
  <si>
    <t>worker</t>
  </si>
  <si>
    <t>6.</t>
  </si>
  <si>
    <t>Additional WH</t>
  </si>
  <si>
    <t>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</si>
</sst>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_-* #,##0.0000\ [$RSD-241A]_-;\-* #,##0.0000\ [$RSD-241A]_-;_-* &quot;-&quot;??\ [$RSD-241A]_-;_-@_-"/>
    <numFmt numFmtId="166" formatCode="#,##0.00\ [$€-1]"/>
    <numFmt numFmtId="167" formatCode="#,##0.000"/>
    <numFmt numFmtId="168" formatCode="#,##0.00\ &quot;Din.&quot;"/>
    <numFmt numFmtId="169" formatCode="#,##0.000\ [$€-1]"/>
  </numFmts>
  <fonts count="16" x14ac:knownFonts="1"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i/>
      <sz val="11"/>
      <color indexed="8"/>
      <name val="Arial"/>
      <family val="2"/>
    </font>
    <font>
      <sz val="10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b/>
      <sz val="11"/>
      <color indexed="10"/>
      <name val="Arial"/>
      <family val="2"/>
      <charset val="204"/>
    </font>
    <font>
      <i/>
      <sz val="11"/>
      <color indexed="8"/>
      <name val="Arial"/>
      <family val="2"/>
      <charset val="204"/>
    </font>
    <font>
      <b/>
      <sz val="11"/>
      <color rgb="FFFF0000"/>
      <name val="Arial"/>
      <family val="2"/>
      <charset val="238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165" fontId="0" fillId="2" borderId="0" xfId="0" applyNumberFormat="1" applyFill="1"/>
    <xf numFmtId="2" fontId="2" fillId="3" borderId="1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2" fontId="2" fillId="3" borderId="2" xfId="0" applyNumberFormat="1" applyFont="1" applyFill="1" applyBorder="1" applyAlignment="1">
      <alignment vertical="top"/>
    </xf>
    <xf numFmtId="2" fontId="2" fillId="3" borderId="3" xfId="0" applyNumberFormat="1" applyFont="1" applyFill="1" applyBorder="1" applyAlignment="1">
      <alignment vertical="top"/>
    </xf>
    <xf numFmtId="2" fontId="2" fillId="3" borderId="4" xfId="0" applyNumberFormat="1" applyFont="1" applyFill="1" applyBorder="1" applyAlignment="1">
      <alignment vertical="top"/>
    </xf>
    <xf numFmtId="2" fontId="4" fillId="0" borderId="5" xfId="0" applyNumberFormat="1" applyFont="1" applyBorder="1" applyAlignment="1">
      <alignment horizontal="left"/>
    </xf>
    <xf numFmtId="2" fontId="5" fillId="0" borderId="5" xfId="0" applyNumberFormat="1" applyFont="1" applyBorder="1"/>
    <xf numFmtId="166" fontId="5" fillId="0" borderId="5" xfId="0" applyNumberFormat="1" applyFont="1" applyBorder="1" applyAlignment="1">
      <alignment horizontal="right"/>
    </xf>
    <xf numFmtId="167" fontId="6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8" fontId="7" fillId="0" borderId="5" xfId="0" applyNumberFormat="1" applyFont="1" applyBorder="1"/>
    <xf numFmtId="2" fontId="4" fillId="0" borderId="6" xfId="0" applyNumberFormat="1" applyFont="1" applyBorder="1"/>
    <xf numFmtId="2" fontId="5" fillId="0" borderId="6" xfId="0" applyNumberFormat="1" applyFont="1" applyBorder="1"/>
    <xf numFmtId="166" fontId="5" fillId="0" borderId="6" xfId="0" applyNumberFormat="1" applyFont="1" applyBorder="1" applyAlignment="1">
      <alignment horizontal="right"/>
    </xf>
    <xf numFmtId="167" fontId="6" fillId="0" borderId="6" xfId="0" applyNumberFormat="1" applyFont="1" applyBorder="1" applyAlignment="1">
      <alignment horizontal="right"/>
    </xf>
    <xf numFmtId="166" fontId="7" fillId="0" borderId="6" xfId="0" applyNumberFormat="1" applyFont="1" applyBorder="1" applyAlignment="1">
      <alignment horizontal="right"/>
    </xf>
    <xf numFmtId="166" fontId="5" fillId="0" borderId="6" xfId="0" applyNumberFormat="1" applyFont="1" applyBorder="1" applyAlignment="1">
      <alignment horizontal="right" vertical="top"/>
    </xf>
    <xf numFmtId="167" fontId="6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4" fontId="6" fillId="0" borderId="6" xfId="0" applyNumberFormat="1" applyFont="1" applyBorder="1" applyAlignment="1">
      <alignment horizontal="right" vertical="top"/>
    </xf>
    <xf numFmtId="2" fontId="8" fillId="0" borderId="6" xfId="0" applyNumberFormat="1" applyFont="1" applyBorder="1"/>
    <xf numFmtId="2" fontId="9" fillId="0" borderId="6" xfId="0" applyNumberFormat="1" applyFont="1" applyBorder="1" applyAlignment="1">
      <alignment vertical="top"/>
    </xf>
    <xf numFmtId="166" fontId="9" fillId="0" borderId="6" xfId="0" applyNumberFormat="1" applyFont="1" applyBorder="1" applyAlignment="1">
      <alignment horizontal="right" vertical="top"/>
    </xf>
    <xf numFmtId="167" fontId="10" fillId="0" borderId="6" xfId="0" applyNumberFormat="1" applyFont="1" applyBorder="1" applyAlignment="1">
      <alignment horizontal="right" vertical="top"/>
    </xf>
    <xf numFmtId="166" fontId="11" fillId="0" borderId="6" xfId="0" applyNumberFormat="1" applyFont="1" applyBorder="1" applyAlignment="1">
      <alignment horizontal="right"/>
    </xf>
    <xf numFmtId="168" fontId="11" fillId="0" borderId="6" xfId="0" applyNumberFormat="1" applyFont="1" applyBorder="1"/>
    <xf numFmtId="2" fontId="12" fillId="0" borderId="6" xfId="0" applyNumberFormat="1" applyFont="1" applyBorder="1"/>
    <xf numFmtId="167" fontId="10" fillId="0" borderId="7" xfId="0" applyNumberFormat="1" applyFont="1" applyBorder="1" applyAlignment="1">
      <alignment horizontal="right" vertical="top"/>
    </xf>
    <xf numFmtId="166" fontId="11" fillId="0" borderId="7" xfId="0" applyNumberFormat="1" applyFont="1" applyBorder="1" applyAlignment="1">
      <alignment horizontal="right"/>
    </xf>
    <xf numFmtId="168" fontId="11" fillId="0" borderId="7" xfId="0" applyNumberFormat="1" applyFont="1" applyBorder="1"/>
    <xf numFmtId="0" fontId="13" fillId="0" borderId="0" xfId="0" applyFont="1"/>
    <xf numFmtId="0" fontId="14" fillId="0" borderId="0" xfId="0" applyFont="1"/>
    <xf numFmtId="0" fontId="14" fillId="0" borderId="8" xfId="0" applyFont="1" applyBorder="1" applyAlignment="1">
      <alignment horizontal="right"/>
    </xf>
    <xf numFmtId="166" fontId="15" fillId="0" borderId="8" xfId="0" applyNumberFormat="1" applyFont="1" applyBorder="1" applyAlignment="1">
      <alignment horizontal="right"/>
    </xf>
    <xf numFmtId="168" fontId="15" fillId="0" borderId="8" xfId="0" applyNumberFormat="1" applyFont="1" applyBorder="1"/>
    <xf numFmtId="16" fontId="0" fillId="0" borderId="0" xfId="0" applyNumberFormat="1"/>
    <xf numFmtId="2" fontId="9" fillId="0" borderId="6" xfId="0" applyNumberFormat="1" applyFont="1" applyBorder="1" applyAlignment="1">
      <alignment vertical="top"/>
    </xf>
    <xf numFmtId="2" fontId="9" fillId="0" borderId="6" xfId="0" applyNumberFormat="1" applyFont="1" applyBorder="1" applyAlignment="1">
      <alignment horizontal="left" vertical="top"/>
    </xf>
    <xf numFmtId="2" fontId="5" fillId="0" borderId="9" xfId="0" applyNumberFormat="1" applyFont="1" applyBorder="1" applyAlignment="1">
      <alignment vertical="top" wrapText="1"/>
    </xf>
    <xf numFmtId="2" fontId="5" fillId="0" borderId="10" xfId="0" applyNumberFormat="1" applyFont="1" applyBorder="1" applyAlignment="1">
      <alignment vertical="top" wrapText="1"/>
    </xf>
    <xf numFmtId="2" fontId="5" fillId="0" borderId="11" xfId="0" applyNumberFormat="1" applyFont="1" applyBorder="1" applyAlignment="1">
      <alignment vertical="top" wrapText="1"/>
    </xf>
    <xf numFmtId="2" fontId="9" fillId="0" borderId="6" xfId="0" applyNumberFormat="1" applyFont="1" applyBorder="1" applyAlignment="1">
      <alignment vertical="top" wrapText="1"/>
    </xf>
    <xf numFmtId="1" fontId="0" fillId="2" borderId="0" xfId="0" applyNumberFormat="1" applyFill="1" applyAlignment="1">
      <alignment horizontal="left"/>
    </xf>
    <xf numFmtId="2" fontId="2" fillId="3" borderId="2" xfId="0" applyNumberFormat="1" applyFont="1" applyFill="1" applyBorder="1" applyAlignment="1">
      <alignment horizontal="left" vertical="top"/>
    </xf>
    <xf numFmtId="2" fontId="5" fillId="0" borderId="5" xfId="0" applyNumberFormat="1" applyFont="1" applyBorder="1" applyAlignment="1">
      <alignment vertical="top" wrapText="1"/>
    </xf>
    <xf numFmtId="2" fontId="5" fillId="0" borderId="9" xfId="0" applyNumberFormat="1" applyFont="1" applyBorder="1" applyAlignment="1">
      <alignment horizontal="left" vertical="top" wrapText="1"/>
    </xf>
    <xf numFmtId="2" fontId="5" fillId="0" borderId="10" xfId="0" applyNumberFormat="1" applyFont="1" applyBorder="1" applyAlignment="1">
      <alignment horizontal="left" vertical="top" wrapText="1"/>
    </xf>
    <xf numFmtId="2" fontId="5" fillId="0" borderId="1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A9F0F64E-E89D-4246-B86E-8246BBD51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C9EED1A5-1157-42BA-942A-B756588D0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E69A8313-FAE1-476D-8269-7434FEA38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04B20373-2FF2-44FE-9D61-C528C5F61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EA5FADA6-4647-4755-91CE-BBDC22D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46909065-A4DB-4B88-BC6E-16AB52977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C318E2DB-E8DE-47F0-932C-43C42E0BC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92C26FB1-CD2A-4A70-9850-04A497436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D2293786-5549-42B4-B8D4-82019DA73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6841D1C9-B4AC-4782-9289-BD4FA067B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531AD433-6175-4418-A4F1-3A5438426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9C795931-5704-4089-A902-E604C2840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3BD8-B1E0-40CF-AE91-288C6C61FB10}">
  <dimension ref="A1:J35"/>
  <sheetViews>
    <sheetView view="pageBreakPreview" topLeftCell="A3" zoomScaleNormal="100" zoomScaleSheetLayoutView="100" workbookViewId="0">
      <selection activeCell="B12" sqref="B12:E12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46054</v>
      </c>
    </row>
    <row r="5" spans="1:10" ht="15" x14ac:dyDescent="0.25">
      <c r="B5" s="3"/>
      <c r="C5" s="4"/>
      <c r="F5" s="3"/>
      <c r="I5" s="3" t="s">
        <v>4</v>
      </c>
      <c r="J5" s="6">
        <v>46081</v>
      </c>
    </row>
    <row r="6" spans="1:10" ht="15" x14ac:dyDescent="0.25">
      <c r="A6" s="7" t="s">
        <v>5</v>
      </c>
      <c r="B6" s="8"/>
      <c r="E6" t="s">
        <v>6</v>
      </c>
      <c r="F6" s="53">
        <v>2602004019</v>
      </c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0</v>
      </c>
      <c r="I9" s="20">
        <f t="shared" ref="I9:I14" si="0">G9*H9</f>
        <v>0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0</v>
      </c>
      <c r="I10" s="20">
        <f t="shared" si="0"/>
        <v>0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0</v>
      </c>
      <c r="I11" s="20">
        <f t="shared" si="0"/>
        <v>0</v>
      </c>
      <c r="J11" s="21"/>
    </row>
    <row r="12" spans="1:10" ht="28.9" customHeight="1" x14ac:dyDescent="0.2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" customHeight="1" x14ac:dyDescent="0.2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1</v>
      </c>
      <c r="I13" s="26">
        <f t="shared" si="0"/>
        <v>180</v>
      </c>
      <c r="J13" s="21"/>
    </row>
    <row r="14" spans="1:10" ht="30" customHeight="1" x14ac:dyDescent="0.2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2</v>
      </c>
      <c r="I14" s="26">
        <f t="shared" si="0"/>
        <v>90</v>
      </c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2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2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5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2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2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.75" thickBot="1" x14ac:dyDescent="0.3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270</v>
      </c>
      <c r="J29" s="45">
        <f>I29*kurs</f>
        <v>0</v>
      </c>
    </row>
    <row r="34" spans="2:10" x14ac:dyDescent="0.2">
      <c r="B34" t="s">
        <v>21</v>
      </c>
      <c r="J34" s="46"/>
    </row>
    <row r="35" spans="2:10" x14ac:dyDescent="0.2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C14D-5856-44A1-905C-6399FEFCC037}">
  <dimension ref="A1:J35"/>
  <sheetViews>
    <sheetView tabSelected="1" view="pageBreakPreview" topLeftCell="A16" zoomScaleNormal="100" zoomScaleSheetLayoutView="100" workbookViewId="0">
      <selection activeCell="H15" sqref="H15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46023</v>
      </c>
    </row>
    <row r="5" spans="1:10" ht="15" x14ac:dyDescent="0.25">
      <c r="B5" s="3"/>
      <c r="C5" s="4"/>
      <c r="F5" s="3"/>
      <c r="I5" s="3" t="s">
        <v>4</v>
      </c>
      <c r="J5" s="6">
        <v>46053</v>
      </c>
    </row>
    <row r="6" spans="1:10" ht="15" x14ac:dyDescent="0.25">
      <c r="A6" s="7" t="s">
        <v>5</v>
      </c>
      <c r="B6" s="8"/>
      <c r="E6" t="s">
        <v>6</v>
      </c>
      <c r="F6" s="53">
        <v>2601001656</v>
      </c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2</v>
      </c>
      <c r="I9" s="20">
        <f t="shared" ref="I9:I14" si="0">G9*H9</f>
        <v>110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56</v>
      </c>
      <c r="I10" s="20">
        <f t="shared" si="0"/>
        <v>84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" customHeight="1" x14ac:dyDescent="0.2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" customHeight="1" x14ac:dyDescent="0.2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2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6</v>
      </c>
      <c r="I14" s="26">
        <f t="shared" si="0"/>
        <v>270</v>
      </c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2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2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5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2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2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.75" thickBot="1" x14ac:dyDescent="0.3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1304</v>
      </c>
      <c r="J29" s="45">
        <f>I29*kurs</f>
        <v>0</v>
      </c>
    </row>
    <row r="34" spans="2:10" x14ac:dyDescent="0.2">
      <c r="B34" t="s">
        <v>21</v>
      </c>
      <c r="J34" s="46"/>
    </row>
    <row r="35" spans="2:10" x14ac:dyDescent="0.2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2C3F-3D40-416F-936C-5F896A88B3B7}">
  <dimension ref="A1:J35"/>
  <sheetViews>
    <sheetView view="pageBreakPreview" topLeftCell="A13" zoomScaleNormal="100" zoomScaleSheetLayoutView="100" workbookViewId="0">
      <selection activeCell="H15" sqref="H15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45992</v>
      </c>
    </row>
    <row r="5" spans="1:10" ht="15" x14ac:dyDescent="0.25">
      <c r="B5" s="3"/>
      <c r="C5" s="4"/>
      <c r="F5" s="3"/>
      <c r="I5" s="3" t="s">
        <v>4</v>
      </c>
      <c r="J5" s="6">
        <v>46022</v>
      </c>
    </row>
    <row r="6" spans="1:10" ht="15" x14ac:dyDescent="0.25">
      <c r="A6" s="7" t="s">
        <v>5</v>
      </c>
      <c r="B6" s="8"/>
      <c r="E6" t="s">
        <v>6</v>
      </c>
      <c r="F6" s="53">
        <v>2512027283</v>
      </c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2</v>
      </c>
      <c r="I9" s="20">
        <f t="shared" ref="I9:I14" si="0">G9*H9</f>
        <v>110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40</v>
      </c>
      <c r="I10" s="20">
        <f t="shared" si="0"/>
        <v>60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" customHeight="1" x14ac:dyDescent="0.2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" customHeight="1" x14ac:dyDescent="0.2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4</v>
      </c>
      <c r="I13" s="26">
        <f t="shared" si="0"/>
        <v>720</v>
      </c>
      <c r="J13" s="21"/>
    </row>
    <row r="14" spans="1:10" ht="30" customHeight="1" x14ac:dyDescent="0.2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8</v>
      </c>
      <c r="I14" s="26">
        <f t="shared" si="0"/>
        <v>360</v>
      </c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2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2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5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2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2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.75" thickBot="1" x14ac:dyDescent="0.3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1550</v>
      </c>
      <c r="J29" s="45">
        <f>I29*kurs</f>
        <v>0</v>
      </c>
    </row>
    <row r="34" spans="2:10" x14ac:dyDescent="0.2">
      <c r="B34" t="s">
        <v>21</v>
      </c>
      <c r="J34" s="46"/>
    </row>
    <row r="35" spans="2:10" x14ac:dyDescent="0.2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12BF-F678-4B2D-BB97-505B8E9D6D7D}">
  <dimension ref="A1:J35"/>
  <sheetViews>
    <sheetView view="pageBreakPreview" zoomScaleNormal="100" zoomScaleSheetLayoutView="100" workbookViewId="0">
      <selection activeCell="H14" sqref="H14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45962</v>
      </c>
    </row>
    <row r="5" spans="1:10" ht="15" x14ac:dyDescent="0.25">
      <c r="B5" s="3"/>
      <c r="C5" s="4"/>
      <c r="F5" s="3"/>
      <c r="I5" s="3" t="s">
        <v>4</v>
      </c>
      <c r="J5" s="6">
        <v>45991</v>
      </c>
    </row>
    <row r="6" spans="1:10" ht="15" x14ac:dyDescent="0.25">
      <c r="A6" s="7" t="s">
        <v>5</v>
      </c>
      <c r="B6" s="8"/>
      <c r="E6" t="s">
        <v>6</v>
      </c>
      <c r="F6" s="53">
        <v>2511025420</v>
      </c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4</v>
      </c>
      <c r="I9" s="20">
        <f t="shared" ref="I9:I14" si="0">G9*H9</f>
        <v>220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112</v>
      </c>
      <c r="I10" s="20">
        <f t="shared" si="0"/>
        <v>168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3</v>
      </c>
      <c r="I11" s="20">
        <f t="shared" si="0"/>
        <v>900</v>
      </c>
      <c r="J11" s="21"/>
    </row>
    <row r="12" spans="1:10" ht="28.9" customHeight="1" x14ac:dyDescent="0.2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" customHeight="1" x14ac:dyDescent="0.2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2</v>
      </c>
      <c r="I13" s="26">
        <f t="shared" si="0"/>
        <v>360</v>
      </c>
      <c r="J13" s="21"/>
    </row>
    <row r="14" spans="1:10" ht="30" customHeight="1" x14ac:dyDescent="0.2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4</v>
      </c>
      <c r="I14" s="26">
        <f t="shared" si="0"/>
        <v>180</v>
      </c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2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2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5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2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2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.75" thickBot="1" x14ac:dyDescent="0.3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1828</v>
      </c>
      <c r="J29" s="45">
        <f>I29*kurs</f>
        <v>0</v>
      </c>
    </row>
    <row r="34" spans="2:10" x14ac:dyDescent="0.2">
      <c r="B34" t="s">
        <v>21</v>
      </c>
      <c r="J34" s="46"/>
    </row>
    <row r="35" spans="2:10" x14ac:dyDescent="0.2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234-35DC-40F4-9988-5AD2625F0079}">
  <dimension ref="A1:J35"/>
  <sheetViews>
    <sheetView view="pageBreakPreview" zoomScaleNormal="100" zoomScaleSheetLayoutView="100" workbookViewId="0">
      <selection activeCell="E35" sqref="E35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45931</v>
      </c>
    </row>
    <row r="5" spans="1:10" ht="15" x14ac:dyDescent="0.25">
      <c r="B5" s="3"/>
      <c r="C5" s="4"/>
      <c r="F5" s="3"/>
      <c r="I5" s="3" t="s">
        <v>4</v>
      </c>
      <c r="J5" s="6">
        <v>45961</v>
      </c>
    </row>
    <row r="6" spans="1:10" ht="15" x14ac:dyDescent="0.25">
      <c r="A6" s="7" t="s">
        <v>5</v>
      </c>
      <c r="B6" s="8"/>
      <c r="E6" t="s">
        <v>6</v>
      </c>
      <c r="F6" s="53"/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1</v>
      </c>
      <c r="I9" s="20">
        <f t="shared" ref="I9:I14" si="0">G9*H9</f>
        <v>55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53</v>
      </c>
      <c r="I10" s="20">
        <f t="shared" si="0"/>
        <v>79.5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" customHeight="1" x14ac:dyDescent="0.2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" customHeight="1" x14ac:dyDescent="0.2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2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6</v>
      </c>
      <c r="I14" s="26">
        <f t="shared" si="0"/>
        <v>270</v>
      </c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2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2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5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2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2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.75" thickBot="1" x14ac:dyDescent="0.3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1244.5</v>
      </c>
      <c r="J29" s="45">
        <f>I29*kurs</f>
        <v>0</v>
      </c>
    </row>
    <row r="34" spans="2:10" x14ac:dyDescent="0.2">
      <c r="B34" t="s">
        <v>21</v>
      </c>
      <c r="J34" s="46"/>
    </row>
    <row r="35" spans="2:10" x14ac:dyDescent="0.2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6A70-A09B-47F3-9CF2-E12C737E1A7D}">
  <dimension ref="A1:J35"/>
  <sheetViews>
    <sheetView view="pageBreakPreview" zoomScaleNormal="100" zoomScaleSheetLayoutView="100" workbookViewId="0">
      <selection activeCell="B21" sqref="B21:E21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45901</v>
      </c>
    </row>
    <row r="5" spans="1:10" ht="15" x14ac:dyDescent="0.25">
      <c r="B5" s="3"/>
      <c r="C5" s="4"/>
      <c r="F5" s="3"/>
      <c r="I5" s="3" t="s">
        <v>4</v>
      </c>
      <c r="J5" s="6">
        <v>45930</v>
      </c>
    </row>
    <row r="6" spans="1:10" ht="15" x14ac:dyDescent="0.25">
      <c r="A6" s="7" t="s">
        <v>5</v>
      </c>
      <c r="B6" s="8"/>
      <c r="E6" t="s">
        <v>6</v>
      </c>
      <c r="F6" s="53"/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1</v>
      </c>
      <c r="I9" s="20">
        <f t="shared" ref="I9:I14" si="0">G9*H9</f>
        <v>55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37</v>
      </c>
      <c r="I10" s="20">
        <f t="shared" si="0"/>
        <v>55.5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" customHeight="1" x14ac:dyDescent="0.2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" customHeight="1" x14ac:dyDescent="0.2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2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4</v>
      </c>
      <c r="I14" s="26">
        <f t="shared" si="0"/>
        <v>180</v>
      </c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2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2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5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2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2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.75" thickBot="1" x14ac:dyDescent="0.3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1130.5</v>
      </c>
      <c r="J29" s="45">
        <f>I29*kurs</f>
        <v>0</v>
      </c>
    </row>
    <row r="34" spans="2:10" x14ac:dyDescent="0.2">
      <c r="B34" t="s">
        <v>21</v>
      </c>
      <c r="J34" s="46"/>
    </row>
    <row r="35" spans="2:10" x14ac:dyDescent="0.2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EDB9-B767-4256-AEEA-937EB7885033}">
  <dimension ref="A1:J35"/>
  <sheetViews>
    <sheetView view="pageBreakPreview" topLeftCell="A7" zoomScaleNormal="100" zoomScaleSheetLayoutView="100" workbookViewId="0">
      <selection activeCell="I20" sqref="I20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45870</v>
      </c>
    </row>
    <row r="5" spans="1:10" ht="15" x14ac:dyDescent="0.25">
      <c r="B5" s="3"/>
      <c r="C5" s="4"/>
      <c r="F5" s="3"/>
      <c r="I5" s="3" t="s">
        <v>4</v>
      </c>
      <c r="J5" s="6">
        <v>45900</v>
      </c>
    </row>
    <row r="6" spans="1:10" ht="15" x14ac:dyDescent="0.25">
      <c r="A6" s="7" t="s">
        <v>5</v>
      </c>
      <c r="B6" s="8"/>
      <c r="E6" t="s">
        <v>6</v>
      </c>
      <c r="F6" s="53"/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0</v>
      </c>
      <c r="I9" s="20">
        <f t="shared" ref="I9:I14" si="0">G9*H9</f>
        <v>0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69</v>
      </c>
      <c r="I10" s="20">
        <f t="shared" si="0"/>
        <v>103.5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" customHeight="1" x14ac:dyDescent="0.2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" customHeight="1" x14ac:dyDescent="0.2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4</v>
      </c>
      <c r="I13" s="26">
        <f t="shared" si="0"/>
        <v>720</v>
      </c>
      <c r="J13" s="21"/>
    </row>
    <row r="14" spans="1:10" ht="30" customHeight="1" x14ac:dyDescent="0.2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8</v>
      </c>
      <c r="I14" s="26">
        <f t="shared" si="0"/>
        <v>360</v>
      </c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2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2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5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2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2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.75" thickBot="1" x14ac:dyDescent="0.3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1483.5</v>
      </c>
      <c r="J29" s="45">
        <f>I29*kurs</f>
        <v>0</v>
      </c>
    </row>
    <row r="34" spans="2:10" x14ac:dyDescent="0.2">
      <c r="B34" t="s">
        <v>21</v>
      </c>
      <c r="J34" s="46"/>
    </row>
    <row r="35" spans="2:10" x14ac:dyDescent="0.2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7591-8D63-46A2-A20A-040A20CB2CD5}">
  <dimension ref="A1:J35"/>
  <sheetViews>
    <sheetView view="pageBreakPreview" topLeftCell="A22" zoomScaleNormal="100" zoomScaleSheetLayoutView="100" workbookViewId="0">
      <selection activeCell="I21" sqref="I21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45839</v>
      </c>
    </row>
    <row r="5" spans="1:10" ht="15" x14ac:dyDescent="0.25">
      <c r="B5" s="3"/>
      <c r="C5" s="4"/>
      <c r="F5" s="3"/>
      <c r="I5" s="3" t="s">
        <v>4</v>
      </c>
      <c r="J5" s="6">
        <v>45869</v>
      </c>
    </row>
    <row r="6" spans="1:10" ht="15" x14ac:dyDescent="0.25">
      <c r="A6" s="7" t="s">
        <v>5</v>
      </c>
      <c r="B6" s="8"/>
      <c r="E6" t="s">
        <v>6</v>
      </c>
      <c r="F6" s="53"/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1</v>
      </c>
      <c r="I9" s="20">
        <f t="shared" ref="I9:I14" si="0">G9*H9</f>
        <v>55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f>5-5+4-5+60-5</f>
        <v>54</v>
      </c>
      <c r="I10" s="20">
        <f t="shared" si="0"/>
        <v>81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" customHeight="1" x14ac:dyDescent="0.2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292</v>
      </c>
      <c r="I12" s="20">
        <f t="shared" si="0"/>
        <v>730</v>
      </c>
      <c r="J12" s="21"/>
    </row>
    <row r="13" spans="1:10" ht="28.9" customHeight="1" x14ac:dyDescent="0.2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2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3</v>
      </c>
      <c r="I14" s="26">
        <f t="shared" si="0"/>
        <v>135</v>
      </c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2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2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5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2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2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.75" thickBot="1" x14ac:dyDescent="0.3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1841</v>
      </c>
      <c r="J29" s="45">
        <f>I29*kurs</f>
        <v>0</v>
      </c>
    </row>
    <row r="34" spans="2:10" x14ac:dyDescent="0.2">
      <c r="B34" t="s">
        <v>21</v>
      </c>
      <c r="J34" s="46"/>
    </row>
    <row r="35" spans="2:10" x14ac:dyDescent="0.2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3114-DF11-47B8-8C09-1D384A869C53}">
  <dimension ref="A1:J35"/>
  <sheetViews>
    <sheetView view="pageBreakPreview" topLeftCell="A19" zoomScaleNormal="100" zoomScaleSheetLayoutView="100" workbookViewId="0">
      <selection activeCell="J17" sqref="J17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45809</v>
      </c>
    </row>
    <row r="5" spans="1:10" ht="15" x14ac:dyDescent="0.25">
      <c r="B5" s="3"/>
      <c r="C5" s="4"/>
      <c r="F5" s="3"/>
      <c r="I5" s="3" t="s">
        <v>4</v>
      </c>
      <c r="J5" s="6">
        <v>45838</v>
      </c>
    </row>
    <row r="6" spans="1:10" ht="15" x14ac:dyDescent="0.25">
      <c r="A6" s="7" t="s">
        <v>5</v>
      </c>
      <c r="B6" s="8"/>
      <c r="E6" t="s">
        <v>6</v>
      </c>
      <c r="F6" s="53">
        <v>2505011416</v>
      </c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0</v>
      </c>
      <c r="I9" s="20">
        <f t="shared" ref="I9:I14" si="0">G9*H9</f>
        <v>0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0</v>
      </c>
      <c r="I10" s="20">
        <f t="shared" si="0"/>
        <v>0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0</v>
      </c>
      <c r="I11" s="20">
        <f t="shared" si="0"/>
        <v>0</v>
      </c>
      <c r="J11" s="21"/>
    </row>
    <row r="12" spans="1:10" ht="28.9" customHeight="1" x14ac:dyDescent="0.2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1228</v>
      </c>
      <c r="I12" s="20">
        <f t="shared" si="0"/>
        <v>3070</v>
      </c>
      <c r="J12" s="21"/>
    </row>
    <row r="13" spans="1:10" ht="28.9" customHeight="1" x14ac:dyDescent="0.2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6</v>
      </c>
      <c r="I13" s="26">
        <f t="shared" si="0"/>
        <v>1080</v>
      </c>
      <c r="J13" s="21"/>
    </row>
    <row r="14" spans="1:10" ht="30" customHeight="1" x14ac:dyDescent="0.2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0</v>
      </c>
      <c r="I14" s="26">
        <f t="shared" si="0"/>
        <v>0</v>
      </c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2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2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5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2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2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.75" thickBot="1" x14ac:dyDescent="0.3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4150</v>
      </c>
      <c r="J29" s="45">
        <f>I29*kurs</f>
        <v>0</v>
      </c>
    </row>
    <row r="34" spans="2:10" x14ac:dyDescent="0.2">
      <c r="B34" t="s">
        <v>21</v>
      </c>
      <c r="J34" s="46"/>
    </row>
    <row r="35" spans="2:10" x14ac:dyDescent="0.2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9CFA-8B83-4972-99DA-92E10FC4AFDE}">
  <dimension ref="A1:J35"/>
  <sheetViews>
    <sheetView view="pageBreakPreview" topLeftCell="A16" zoomScaleNormal="100" zoomScaleSheetLayoutView="100" workbookViewId="0">
      <selection activeCell="H12" sqref="H12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45778</v>
      </c>
    </row>
    <row r="5" spans="1:10" ht="15" x14ac:dyDescent="0.25">
      <c r="B5" s="3"/>
      <c r="C5" s="4"/>
      <c r="F5" s="3"/>
      <c r="I5" s="3" t="s">
        <v>4</v>
      </c>
      <c r="J5" s="6">
        <v>45808</v>
      </c>
    </row>
    <row r="6" spans="1:10" ht="15" x14ac:dyDescent="0.25">
      <c r="A6" s="7" t="s">
        <v>5</v>
      </c>
      <c r="B6" s="8"/>
      <c r="E6" t="s">
        <v>6</v>
      </c>
      <c r="F6" s="53">
        <v>2505011416</v>
      </c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2</v>
      </c>
      <c r="I9" s="20">
        <f t="shared" ref="I9:I14" si="0">G9*H9</f>
        <v>110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58</v>
      </c>
      <c r="I10" s="20">
        <f t="shared" si="0"/>
        <v>87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" customHeight="1" x14ac:dyDescent="0.2">
      <c r="A12" s="22" t="s">
        <v>18</v>
      </c>
      <c r="B12" s="56" t="s">
        <v>33</v>
      </c>
      <c r="C12" s="57"/>
      <c r="D12" s="57"/>
      <c r="E12" s="58"/>
      <c r="F12" s="23" t="s">
        <v>34</v>
      </c>
      <c r="G12" s="24">
        <v>2.5</v>
      </c>
      <c r="H12" s="19">
        <v>515</v>
      </c>
      <c r="I12" s="20">
        <f t="shared" si="0"/>
        <v>1287.5</v>
      </c>
      <c r="J12" s="21"/>
    </row>
    <row r="13" spans="1:10" ht="28.9" customHeight="1" x14ac:dyDescent="0.2">
      <c r="A13" s="22" t="s">
        <v>19</v>
      </c>
      <c r="B13" s="49" t="s">
        <v>29</v>
      </c>
      <c r="C13" s="50"/>
      <c r="D13" s="50"/>
      <c r="E13" s="51"/>
      <c r="F13" s="23" t="s">
        <v>17</v>
      </c>
      <c r="G13" s="24">
        <v>180</v>
      </c>
      <c r="H13" s="25">
        <v>5</v>
      </c>
      <c r="I13" s="26">
        <f t="shared" si="0"/>
        <v>900</v>
      </c>
      <c r="J13" s="21"/>
    </row>
    <row r="14" spans="1:10" ht="30" customHeight="1" x14ac:dyDescent="0.2">
      <c r="A14" s="22" t="s">
        <v>32</v>
      </c>
      <c r="B14" s="49" t="s">
        <v>30</v>
      </c>
      <c r="C14" s="50"/>
      <c r="D14" s="50"/>
      <c r="E14" s="51"/>
      <c r="F14" s="23" t="s">
        <v>31</v>
      </c>
      <c r="G14" s="24">
        <v>45</v>
      </c>
      <c r="H14" s="25">
        <v>0</v>
      </c>
      <c r="I14" s="26">
        <f t="shared" si="0"/>
        <v>0</v>
      </c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7"/>
      <c r="H16" s="28"/>
      <c r="I16" s="26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9"/>
      <c r="H17" s="30"/>
      <c r="I17" s="20"/>
      <c r="J17" s="21"/>
    </row>
    <row r="18" spans="1:10" ht="30" customHeight="1" x14ac:dyDescent="0.2">
      <c r="A18" s="22"/>
      <c r="B18" s="49"/>
      <c r="C18" s="50"/>
      <c r="D18" s="50"/>
      <c r="E18" s="51"/>
      <c r="F18" s="23"/>
      <c r="G18" s="27"/>
      <c r="H18" s="30"/>
      <c r="I18" s="26"/>
      <c r="J18" s="21"/>
    </row>
    <row r="19" spans="1:10" ht="30" customHeight="1" x14ac:dyDescent="0.2">
      <c r="A19" s="31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5">
      <c r="A20" s="37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49"/>
      <c r="C21" s="50"/>
      <c r="D21" s="50"/>
      <c r="E21" s="51"/>
      <c r="F21" s="23"/>
      <c r="G21" s="33"/>
      <c r="H21" s="30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52"/>
      <c r="C23" s="52"/>
      <c r="D23" s="52"/>
      <c r="E23" s="52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7"/>
      <c r="C26" s="47"/>
      <c r="D26" s="47"/>
      <c r="E26" s="47"/>
      <c r="F26" s="32"/>
      <c r="G26" s="33"/>
      <c r="H26" s="34"/>
      <c r="I26" s="35"/>
      <c r="J26" s="36"/>
    </row>
    <row r="27" spans="1:10" ht="30" customHeight="1" x14ac:dyDescent="0.2">
      <c r="A27" s="31"/>
      <c r="B27" s="48"/>
      <c r="C27" s="48"/>
      <c r="D27" s="48"/>
      <c r="E27" s="48"/>
      <c r="F27" s="32"/>
      <c r="G27" s="33"/>
      <c r="H27" s="34"/>
      <c r="I27" s="35"/>
      <c r="J27" s="36"/>
    </row>
    <row r="28" spans="1:10" ht="30" customHeight="1" thickBot="1" x14ac:dyDescent="0.25">
      <c r="A28" s="31"/>
      <c r="B28" s="48"/>
      <c r="C28" s="48"/>
      <c r="D28" s="48"/>
      <c r="E28" s="48"/>
      <c r="F28" s="32"/>
      <c r="G28" s="33"/>
      <c r="H28" s="38"/>
      <c r="I28" s="39"/>
      <c r="J28" s="40"/>
    </row>
    <row r="29" spans="1:10" ht="15.75" thickBot="1" x14ac:dyDescent="0.3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2684.5</v>
      </c>
      <c r="J29" s="45">
        <f>I29*kurs</f>
        <v>0</v>
      </c>
    </row>
    <row r="34" spans="2:10" x14ac:dyDescent="0.2">
      <c r="B34" t="s">
        <v>21</v>
      </c>
      <c r="J34" s="46"/>
    </row>
    <row r="35" spans="2:10" x14ac:dyDescent="0.2">
      <c r="B35" t="s">
        <v>22</v>
      </c>
      <c r="J35" s="46"/>
    </row>
  </sheetData>
  <mergeCells count="22">
    <mergeCell ref="B13:E13"/>
    <mergeCell ref="F6:G6"/>
    <mergeCell ref="B8:E8"/>
    <mergeCell ref="B9:E9"/>
    <mergeCell ref="B10:E10"/>
    <mergeCell ref="B11:E11"/>
    <mergeCell ref="B26:E26"/>
    <mergeCell ref="B27:E27"/>
    <mergeCell ref="B28:E28"/>
    <mergeCell ref="B12:E12"/>
    <mergeCell ref="B20:E20"/>
    <mergeCell ref="B21:E21"/>
    <mergeCell ref="B22:E22"/>
    <mergeCell ref="B23:E23"/>
    <mergeCell ref="B24:E24"/>
    <mergeCell ref="B25:E25"/>
    <mergeCell ref="B14:E14"/>
    <mergeCell ref="B15:E15"/>
    <mergeCell ref="B16:E16"/>
    <mergeCell ref="B17:E17"/>
    <mergeCell ref="B18:E18"/>
    <mergeCell ref="B19:E19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E64F-C122-4334-9D2A-4A03665D1A5F}">
  <dimension ref="A1:J34"/>
  <sheetViews>
    <sheetView view="pageBreakPreview" topLeftCell="A16" zoomScaleNormal="100" zoomScaleSheetLayoutView="100" workbookViewId="0">
      <selection activeCell="B22" sqref="B22:E22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45702</v>
      </c>
    </row>
    <row r="5" spans="1:10" ht="15" x14ac:dyDescent="0.25">
      <c r="B5" s="3"/>
      <c r="C5" s="4"/>
      <c r="F5" s="3"/>
      <c r="I5" s="3" t="s">
        <v>4</v>
      </c>
      <c r="J5" s="6">
        <v>45710</v>
      </c>
    </row>
    <row r="6" spans="1:10" ht="15" x14ac:dyDescent="0.25">
      <c r="A6" s="7" t="s">
        <v>5</v>
      </c>
      <c r="B6" s="8"/>
      <c r="E6" t="s">
        <v>6</v>
      </c>
      <c r="F6" s="53">
        <v>2502004321</v>
      </c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0</v>
      </c>
      <c r="I9" s="20">
        <f t="shared" ref="I9:I13" si="0">G9*H9</f>
        <v>0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0</v>
      </c>
      <c r="I10" s="20">
        <f t="shared" si="0"/>
        <v>0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0</v>
      </c>
      <c r="I11" s="20">
        <f t="shared" si="0"/>
        <v>0</v>
      </c>
      <c r="J11" s="21"/>
    </row>
    <row r="12" spans="1:10" ht="28.9" customHeight="1" x14ac:dyDescent="0.2">
      <c r="A12" s="22" t="s">
        <v>18</v>
      </c>
      <c r="B12" s="49" t="s">
        <v>29</v>
      </c>
      <c r="C12" s="50"/>
      <c r="D12" s="50"/>
      <c r="E12" s="51"/>
      <c r="F12" s="23" t="s">
        <v>17</v>
      </c>
      <c r="G12" s="24">
        <v>180</v>
      </c>
      <c r="H12" s="25">
        <v>3</v>
      </c>
      <c r="I12" s="26">
        <f t="shared" si="0"/>
        <v>540</v>
      </c>
      <c r="J12" s="21"/>
    </row>
    <row r="13" spans="1:10" ht="30" customHeight="1" x14ac:dyDescent="0.2">
      <c r="A13" s="22" t="s">
        <v>19</v>
      </c>
      <c r="B13" s="49" t="s">
        <v>30</v>
      </c>
      <c r="C13" s="50"/>
      <c r="D13" s="50"/>
      <c r="E13" s="51"/>
      <c r="F13" s="23" t="s">
        <v>31</v>
      </c>
      <c r="G13" s="24">
        <v>45</v>
      </c>
      <c r="H13" s="25">
        <v>0</v>
      </c>
      <c r="I13" s="26">
        <f t="shared" si="0"/>
        <v>0</v>
      </c>
      <c r="J13" s="21"/>
    </row>
    <row r="14" spans="1:10" ht="30" customHeight="1" x14ac:dyDescent="0.2">
      <c r="A14" s="22"/>
      <c r="B14" s="49"/>
      <c r="C14" s="50"/>
      <c r="D14" s="50"/>
      <c r="E14" s="51"/>
      <c r="F14" s="23"/>
      <c r="G14" s="27"/>
      <c r="H14" s="28"/>
      <c r="I14" s="26"/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9"/>
      <c r="H16" s="30"/>
      <c r="I16" s="20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7"/>
      <c r="H17" s="30"/>
      <c r="I17" s="26"/>
      <c r="J17" s="21"/>
    </row>
    <row r="18" spans="1:10" ht="30" customHeight="1" x14ac:dyDescent="0.2">
      <c r="A18" s="31"/>
      <c r="B18" s="49"/>
      <c r="C18" s="50"/>
      <c r="D18" s="50"/>
      <c r="E18" s="51"/>
      <c r="F18" s="23"/>
      <c r="G18" s="33"/>
      <c r="H18" s="30"/>
      <c r="I18" s="35"/>
      <c r="J18" s="36"/>
    </row>
    <row r="19" spans="1:10" ht="30" customHeight="1" x14ac:dyDescent="0.25">
      <c r="A19" s="37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">
      <c r="A20" s="31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47"/>
      <c r="C23" s="47"/>
      <c r="D23" s="47"/>
      <c r="E23" s="47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8"/>
      <c r="C26" s="48"/>
      <c r="D26" s="48"/>
      <c r="E26" s="48"/>
      <c r="F26" s="32"/>
      <c r="G26" s="33"/>
      <c r="H26" s="34"/>
      <c r="I26" s="35"/>
      <c r="J26" s="36"/>
    </row>
    <row r="27" spans="1:10" ht="30" customHeight="1" thickBot="1" x14ac:dyDescent="0.25">
      <c r="A27" s="31"/>
      <c r="B27" s="48"/>
      <c r="C27" s="48"/>
      <c r="D27" s="48"/>
      <c r="E27" s="48"/>
      <c r="F27" s="32"/>
      <c r="G27" s="33"/>
      <c r="H27" s="38"/>
      <c r="I27" s="39"/>
      <c r="J27" s="40"/>
    </row>
    <row r="28" spans="1:10" ht="15.75" thickBot="1" x14ac:dyDescent="0.3">
      <c r="A28" s="41"/>
      <c r="B28" s="41"/>
      <c r="C28" s="42"/>
      <c r="D28" s="42"/>
      <c r="E28" s="42"/>
      <c r="F28" s="42"/>
      <c r="G28" s="42"/>
      <c r="H28" s="43" t="s">
        <v>20</v>
      </c>
      <c r="I28" s="44">
        <f>SUM(I9:I27)</f>
        <v>540</v>
      </c>
      <c r="J28" s="45">
        <f>I28*kurs</f>
        <v>0</v>
      </c>
    </row>
    <row r="33" spans="2:10" x14ac:dyDescent="0.2">
      <c r="B33" t="s">
        <v>21</v>
      </c>
      <c r="J33" s="46"/>
    </row>
    <row r="34" spans="2:10" x14ac:dyDescent="0.2">
      <c r="B34" t="s">
        <v>22</v>
      </c>
      <c r="J34" s="46"/>
    </row>
  </sheetData>
  <mergeCells count="21"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3305-881B-4120-8CE4-F2DEE17C04B8}">
  <dimension ref="A1:J34"/>
  <sheetViews>
    <sheetView view="pageBreakPreview" topLeftCell="A16" zoomScaleNormal="100" zoomScaleSheetLayoutView="100" workbookViewId="0">
      <selection activeCell="G13" sqref="G13"/>
    </sheetView>
  </sheetViews>
  <sheetFormatPr defaultRowHeight="14.25" x14ac:dyDescent="0.2"/>
  <cols>
    <col min="1" max="1" width="6.125" customWidth="1"/>
    <col min="2" max="2" width="15.25" customWidth="1"/>
    <col min="3" max="3" width="10.125" customWidth="1"/>
    <col min="4" max="4" width="11.125" customWidth="1"/>
    <col min="5" max="5" width="14.25" customWidth="1"/>
    <col min="6" max="6" width="10.125" customWidth="1"/>
    <col min="7" max="7" width="16.75" customWidth="1"/>
    <col min="8" max="8" width="12.375" bestFit="1" customWidth="1"/>
    <col min="9" max="9" width="15.625" customWidth="1"/>
    <col min="10" max="10" width="17.75" customWidth="1"/>
    <col min="257" max="257" width="12.125" customWidth="1"/>
    <col min="258" max="258" width="15.25" customWidth="1"/>
    <col min="259" max="259" width="10.125" customWidth="1"/>
    <col min="260" max="260" width="12.125" bestFit="1" customWidth="1"/>
    <col min="261" max="261" width="14.75" customWidth="1"/>
    <col min="262" max="262" width="10.125" customWidth="1"/>
    <col min="263" max="263" width="18.875" bestFit="1" customWidth="1"/>
    <col min="264" max="264" width="10.625" customWidth="1"/>
    <col min="265" max="265" width="12.375" customWidth="1"/>
    <col min="266" max="266" width="14.875" customWidth="1"/>
    <col min="513" max="513" width="12.125" customWidth="1"/>
    <col min="514" max="514" width="15.25" customWidth="1"/>
    <col min="515" max="515" width="10.125" customWidth="1"/>
    <col min="516" max="516" width="12.125" bestFit="1" customWidth="1"/>
    <col min="517" max="517" width="14.75" customWidth="1"/>
    <col min="518" max="518" width="10.125" customWidth="1"/>
    <col min="519" max="519" width="18.875" bestFit="1" customWidth="1"/>
    <col min="520" max="520" width="10.625" customWidth="1"/>
    <col min="521" max="521" width="12.375" customWidth="1"/>
    <col min="522" max="522" width="14.875" customWidth="1"/>
    <col min="769" max="769" width="12.125" customWidth="1"/>
    <col min="770" max="770" width="15.25" customWidth="1"/>
    <col min="771" max="771" width="10.125" customWidth="1"/>
    <col min="772" max="772" width="12.125" bestFit="1" customWidth="1"/>
    <col min="773" max="773" width="14.75" customWidth="1"/>
    <col min="774" max="774" width="10.125" customWidth="1"/>
    <col min="775" max="775" width="18.875" bestFit="1" customWidth="1"/>
    <col min="776" max="776" width="10.625" customWidth="1"/>
    <col min="777" max="777" width="12.375" customWidth="1"/>
    <col min="778" max="778" width="14.875" customWidth="1"/>
    <col min="1025" max="1025" width="12.125" customWidth="1"/>
    <col min="1026" max="1026" width="15.25" customWidth="1"/>
    <col min="1027" max="1027" width="10.125" customWidth="1"/>
    <col min="1028" max="1028" width="12.125" bestFit="1" customWidth="1"/>
    <col min="1029" max="1029" width="14.75" customWidth="1"/>
    <col min="1030" max="1030" width="10.125" customWidth="1"/>
    <col min="1031" max="1031" width="18.875" bestFit="1" customWidth="1"/>
    <col min="1032" max="1032" width="10.625" customWidth="1"/>
    <col min="1033" max="1033" width="12.375" customWidth="1"/>
    <col min="1034" max="1034" width="14.875" customWidth="1"/>
    <col min="1281" max="1281" width="12.125" customWidth="1"/>
    <col min="1282" max="1282" width="15.25" customWidth="1"/>
    <col min="1283" max="1283" width="10.125" customWidth="1"/>
    <col min="1284" max="1284" width="12.125" bestFit="1" customWidth="1"/>
    <col min="1285" max="1285" width="14.75" customWidth="1"/>
    <col min="1286" max="1286" width="10.125" customWidth="1"/>
    <col min="1287" max="1287" width="18.875" bestFit="1" customWidth="1"/>
    <col min="1288" max="1288" width="10.625" customWidth="1"/>
    <col min="1289" max="1289" width="12.375" customWidth="1"/>
    <col min="1290" max="1290" width="14.875" customWidth="1"/>
    <col min="1537" max="1537" width="12.125" customWidth="1"/>
    <col min="1538" max="1538" width="15.25" customWidth="1"/>
    <col min="1539" max="1539" width="10.125" customWidth="1"/>
    <col min="1540" max="1540" width="12.125" bestFit="1" customWidth="1"/>
    <col min="1541" max="1541" width="14.75" customWidth="1"/>
    <col min="1542" max="1542" width="10.125" customWidth="1"/>
    <col min="1543" max="1543" width="18.875" bestFit="1" customWidth="1"/>
    <col min="1544" max="1544" width="10.625" customWidth="1"/>
    <col min="1545" max="1545" width="12.375" customWidth="1"/>
    <col min="1546" max="1546" width="14.875" customWidth="1"/>
    <col min="1793" max="1793" width="12.125" customWidth="1"/>
    <col min="1794" max="1794" width="15.25" customWidth="1"/>
    <col min="1795" max="1795" width="10.125" customWidth="1"/>
    <col min="1796" max="1796" width="12.125" bestFit="1" customWidth="1"/>
    <col min="1797" max="1797" width="14.75" customWidth="1"/>
    <col min="1798" max="1798" width="10.125" customWidth="1"/>
    <col min="1799" max="1799" width="18.875" bestFit="1" customWidth="1"/>
    <col min="1800" max="1800" width="10.625" customWidth="1"/>
    <col min="1801" max="1801" width="12.375" customWidth="1"/>
    <col min="1802" max="1802" width="14.875" customWidth="1"/>
    <col min="2049" max="2049" width="12.125" customWidth="1"/>
    <col min="2050" max="2050" width="15.25" customWidth="1"/>
    <col min="2051" max="2051" width="10.125" customWidth="1"/>
    <col min="2052" max="2052" width="12.125" bestFit="1" customWidth="1"/>
    <col min="2053" max="2053" width="14.75" customWidth="1"/>
    <col min="2054" max="2054" width="10.125" customWidth="1"/>
    <col min="2055" max="2055" width="18.875" bestFit="1" customWidth="1"/>
    <col min="2056" max="2056" width="10.625" customWidth="1"/>
    <col min="2057" max="2057" width="12.375" customWidth="1"/>
    <col min="2058" max="2058" width="14.875" customWidth="1"/>
    <col min="2305" max="2305" width="12.125" customWidth="1"/>
    <col min="2306" max="2306" width="15.25" customWidth="1"/>
    <col min="2307" max="2307" width="10.125" customWidth="1"/>
    <col min="2308" max="2308" width="12.125" bestFit="1" customWidth="1"/>
    <col min="2309" max="2309" width="14.75" customWidth="1"/>
    <col min="2310" max="2310" width="10.125" customWidth="1"/>
    <col min="2311" max="2311" width="18.875" bestFit="1" customWidth="1"/>
    <col min="2312" max="2312" width="10.625" customWidth="1"/>
    <col min="2313" max="2313" width="12.375" customWidth="1"/>
    <col min="2314" max="2314" width="14.875" customWidth="1"/>
    <col min="2561" max="2561" width="12.125" customWidth="1"/>
    <col min="2562" max="2562" width="15.25" customWidth="1"/>
    <col min="2563" max="2563" width="10.125" customWidth="1"/>
    <col min="2564" max="2564" width="12.125" bestFit="1" customWidth="1"/>
    <col min="2565" max="2565" width="14.75" customWidth="1"/>
    <col min="2566" max="2566" width="10.125" customWidth="1"/>
    <col min="2567" max="2567" width="18.875" bestFit="1" customWidth="1"/>
    <col min="2568" max="2568" width="10.625" customWidth="1"/>
    <col min="2569" max="2569" width="12.375" customWidth="1"/>
    <col min="2570" max="2570" width="14.875" customWidth="1"/>
    <col min="2817" max="2817" width="12.125" customWidth="1"/>
    <col min="2818" max="2818" width="15.25" customWidth="1"/>
    <col min="2819" max="2819" width="10.125" customWidth="1"/>
    <col min="2820" max="2820" width="12.125" bestFit="1" customWidth="1"/>
    <col min="2821" max="2821" width="14.75" customWidth="1"/>
    <col min="2822" max="2822" width="10.125" customWidth="1"/>
    <col min="2823" max="2823" width="18.875" bestFit="1" customWidth="1"/>
    <col min="2824" max="2824" width="10.625" customWidth="1"/>
    <col min="2825" max="2825" width="12.375" customWidth="1"/>
    <col min="2826" max="2826" width="14.875" customWidth="1"/>
    <col min="3073" max="3073" width="12.125" customWidth="1"/>
    <col min="3074" max="3074" width="15.25" customWidth="1"/>
    <col min="3075" max="3075" width="10.125" customWidth="1"/>
    <col min="3076" max="3076" width="12.125" bestFit="1" customWidth="1"/>
    <col min="3077" max="3077" width="14.75" customWidth="1"/>
    <col min="3078" max="3078" width="10.125" customWidth="1"/>
    <col min="3079" max="3079" width="18.875" bestFit="1" customWidth="1"/>
    <col min="3080" max="3080" width="10.625" customWidth="1"/>
    <col min="3081" max="3081" width="12.375" customWidth="1"/>
    <col min="3082" max="3082" width="14.875" customWidth="1"/>
    <col min="3329" max="3329" width="12.125" customWidth="1"/>
    <col min="3330" max="3330" width="15.25" customWidth="1"/>
    <col min="3331" max="3331" width="10.125" customWidth="1"/>
    <col min="3332" max="3332" width="12.125" bestFit="1" customWidth="1"/>
    <col min="3333" max="3333" width="14.75" customWidth="1"/>
    <col min="3334" max="3334" width="10.125" customWidth="1"/>
    <col min="3335" max="3335" width="18.875" bestFit="1" customWidth="1"/>
    <col min="3336" max="3336" width="10.625" customWidth="1"/>
    <col min="3337" max="3337" width="12.375" customWidth="1"/>
    <col min="3338" max="3338" width="14.875" customWidth="1"/>
    <col min="3585" max="3585" width="12.125" customWidth="1"/>
    <col min="3586" max="3586" width="15.25" customWidth="1"/>
    <col min="3587" max="3587" width="10.125" customWidth="1"/>
    <col min="3588" max="3588" width="12.125" bestFit="1" customWidth="1"/>
    <col min="3589" max="3589" width="14.75" customWidth="1"/>
    <col min="3590" max="3590" width="10.125" customWidth="1"/>
    <col min="3591" max="3591" width="18.875" bestFit="1" customWidth="1"/>
    <col min="3592" max="3592" width="10.625" customWidth="1"/>
    <col min="3593" max="3593" width="12.375" customWidth="1"/>
    <col min="3594" max="3594" width="14.875" customWidth="1"/>
    <col min="3841" max="3841" width="12.125" customWidth="1"/>
    <col min="3842" max="3842" width="15.25" customWidth="1"/>
    <col min="3843" max="3843" width="10.125" customWidth="1"/>
    <col min="3844" max="3844" width="12.125" bestFit="1" customWidth="1"/>
    <col min="3845" max="3845" width="14.75" customWidth="1"/>
    <col min="3846" max="3846" width="10.125" customWidth="1"/>
    <col min="3847" max="3847" width="18.875" bestFit="1" customWidth="1"/>
    <col min="3848" max="3848" width="10.625" customWidth="1"/>
    <col min="3849" max="3849" width="12.375" customWidth="1"/>
    <col min="3850" max="3850" width="14.875" customWidth="1"/>
    <col min="4097" max="4097" width="12.125" customWidth="1"/>
    <col min="4098" max="4098" width="15.25" customWidth="1"/>
    <col min="4099" max="4099" width="10.125" customWidth="1"/>
    <col min="4100" max="4100" width="12.125" bestFit="1" customWidth="1"/>
    <col min="4101" max="4101" width="14.75" customWidth="1"/>
    <col min="4102" max="4102" width="10.125" customWidth="1"/>
    <col min="4103" max="4103" width="18.875" bestFit="1" customWidth="1"/>
    <col min="4104" max="4104" width="10.625" customWidth="1"/>
    <col min="4105" max="4105" width="12.375" customWidth="1"/>
    <col min="4106" max="4106" width="14.875" customWidth="1"/>
    <col min="4353" max="4353" width="12.125" customWidth="1"/>
    <col min="4354" max="4354" width="15.25" customWidth="1"/>
    <col min="4355" max="4355" width="10.125" customWidth="1"/>
    <col min="4356" max="4356" width="12.125" bestFit="1" customWidth="1"/>
    <col min="4357" max="4357" width="14.75" customWidth="1"/>
    <col min="4358" max="4358" width="10.125" customWidth="1"/>
    <col min="4359" max="4359" width="18.875" bestFit="1" customWidth="1"/>
    <col min="4360" max="4360" width="10.625" customWidth="1"/>
    <col min="4361" max="4361" width="12.375" customWidth="1"/>
    <col min="4362" max="4362" width="14.875" customWidth="1"/>
    <col min="4609" max="4609" width="12.125" customWidth="1"/>
    <col min="4610" max="4610" width="15.25" customWidth="1"/>
    <col min="4611" max="4611" width="10.125" customWidth="1"/>
    <col min="4612" max="4612" width="12.125" bestFit="1" customWidth="1"/>
    <col min="4613" max="4613" width="14.75" customWidth="1"/>
    <col min="4614" max="4614" width="10.125" customWidth="1"/>
    <col min="4615" max="4615" width="18.875" bestFit="1" customWidth="1"/>
    <col min="4616" max="4616" width="10.625" customWidth="1"/>
    <col min="4617" max="4617" width="12.375" customWidth="1"/>
    <col min="4618" max="4618" width="14.875" customWidth="1"/>
    <col min="4865" max="4865" width="12.125" customWidth="1"/>
    <col min="4866" max="4866" width="15.25" customWidth="1"/>
    <col min="4867" max="4867" width="10.125" customWidth="1"/>
    <col min="4868" max="4868" width="12.125" bestFit="1" customWidth="1"/>
    <col min="4869" max="4869" width="14.75" customWidth="1"/>
    <col min="4870" max="4870" width="10.125" customWidth="1"/>
    <col min="4871" max="4871" width="18.875" bestFit="1" customWidth="1"/>
    <col min="4872" max="4872" width="10.625" customWidth="1"/>
    <col min="4873" max="4873" width="12.375" customWidth="1"/>
    <col min="4874" max="4874" width="14.875" customWidth="1"/>
    <col min="5121" max="5121" width="12.125" customWidth="1"/>
    <col min="5122" max="5122" width="15.25" customWidth="1"/>
    <col min="5123" max="5123" width="10.125" customWidth="1"/>
    <col min="5124" max="5124" width="12.125" bestFit="1" customWidth="1"/>
    <col min="5125" max="5125" width="14.75" customWidth="1"/>
    <col min="5126" max="5126" width="10.125" customWidth="1"/>
    <col min="5127" max="5127" width="18.875" bestFit="1" customWidth="1"/>
    <col min="5128" max="5128" width="10.625" customWidth="1"/>
    <col min="5129" max="5129" width="12.375" customWidth="1"/>
    <col min="5130" max="5130" width="14.875" customWidth="1"/>
    <col min="5377" max="5377" width="12.125" customWidth="1"/>
    <col min="5378" max="5378" width="15.25" customWidth="1"/>
    <col min="5379" max="5379" width="10.125" customWidth="1"/>
    <col min="5380" max="5380" width="12.125" bestFit="1" customWidth="1"/>
    <col min="5381" max="5381" width="14.75" customWidth="1"/>
    <col min="5382" max="5382" width="10.125" customWidth="1"/>
    <col min="5383" max="5383" width="18.875" bestFit="1" customWidth="1"/>
    <col min="5384" max="5384" width="10.625" customWidth="1"/>
    <col min="5385" max="5385" width="12.375" customWidth="1"/>
    <col min="5386" max="5386" width="14.875" customWidth="1"/>
    <col min="5633" max="5633" width="12.125" customWidth="1"/>
    <col min="5634" max="5634" width="15.25" customWidth="1"/>
    <col min="5635" max="5635" width="10.125" customWidth="1"/>
    <col min="5636" max="5636" width="12.125" bestFit="1" customWidth="1"/>
    <col min="5637" max="5637" width="14.75" customWidth="1"/>
    <col min="5638" max="5638" width="10.125" customWidth="1"/>
    <col min="5639" max="5639" width="18.875" bestFit="1" customWidth="1"/>
    <col min="5640" max="5640" width="10.625" customWidth="1"/>
    <col min="5641" max="5641" width="12.375" customWidth="1"/>
    <col min="5642" max="5642" width="14.875" customWidth="1"/>
    <col min="5889" max="5889" width="12.125" customWidth="1"/>
    <col min="5890" max="5890" width="15.25" customWidth="1"/>
    <col min="5891" max="5891" width="10.125" customWidth="1"/>
    <col min="5892" max="5892" width="12.125" bestFit="1" customWidth="1"/>
    <col min="5893" max="5893" width="14.75" customWidth="1"/>
    <col min="5894" max="5894" width="10.125" customWidth="1"/>
    <col min="5895" max="5895" width="18.875" bestFit="1" customWidth="1"/>
    <col min="5896" max="5896" width="10.625" customWidth="1"/>
    <col min="5897" max="5897" width="12.375" customWidth="1"/>
    <col min="5898" max="5898" width="14.875" customWidth="1"/>
    <col min="6145" max="6145" width="12.125" customWidth="1"/>
    <col min="6146" max="6146" width="15.25" customWidth="1"/>
    <col min="6147" max="6147" width="10.125" customWidth="1"/>
    <col min="6148" max="6148" width="12.125" bestFit="1" customWidth="1"/>
    <col min="6149" max="6149" width="14.75" customWidth="1"/>
    <col min="6150" max="6150" width="10.125" customWidth="1"/>
    <col min="6151" max="6151" width="18.875" bestFit="1" customWidth="1"/>
    <col min="6152" max="6152" width="10.625" customWidth="1"/>
    <col min="6153" max="6153" width="12.375" customWidth="1"/>
    <col min="6154" max="6154" width="14.875" customWidth="1"/>
    <col min="6401" max="6401" width="12.125" customWidth="1"/>
    <col min="6402" max="6402" width="15.25" customWidth="1"/>
    <col min="6403" max="6403" width="10.125" customWidth="1"/>
    <col min="6404" max="6404" width="12.125" bestFit="1" customWidth="1"/>
    <col min="6405" max="6405" width="14.75" customWidth="1"/>
    <col min="6406" max="6406" width="10.125" customWidth="1"/>
    <col min="6407" max="6407" width="18.875" bestFit="1" customWidth="1"/>
    <col min="6408" max="6408" width="10.625" customWidth="1"/>
    <col min="6409" max="6409" width="12.375" customWidth="1"/>
    <col min="6410" max="6410" width="14.875" customWidth="1"/>
    <col min="6657" max="6657" width="12.125" customWidth="1"/>
    <col min="6658" max="6658" width="15.25" customWidth="1"/>
    <col min="6659" max="6659" width="10.125" customWidth="1"/>
    <col min="6660" max="6660" width="12.125" bestFit="1" customWidth="1"/>
    <col min="6661" max="6661" width="14.75" customWidth="1"/>
    <col min="6662" max="6662" width="10.125" customWidth="1"/>
    <col min="6663" max="6663" width="18.875" bestFit="1" customWidth="1"/>
    <col min="6664" max="6664" width="10.625" customWidth="1"/>
    <col min="6665" max="6665" width="12.375" customWidth="1"/>
    <col min="6666" max="6666" width="14.875" customWidth="1"/>
    <col min="6913" max="6913" width="12.125" customWidth="1"/>
    <col min="6914" max="6914" width="15.25" customWidth="1"/>
    <col min="6915" max="6915" width="10.125" customWidth="1"/>
    <col min="6916" max="6916" width="12.125" bestFit="1" customWidth="1"/>
    <col min="6917" max="6917" width="14.75" customWidth="1"/>
    <col min="6918" max="6918" width="10.125" customWidth="1"/>
    <col min="6919" max="6919" width="18.875" bestFit="1" customWidth="1"/>
    <col min="6920" max="6920" width="10.625" customWidth="1"/>
    <col min="6921" max="6921" width="12.375" customWidth="1"/>
    <col min="6922" max="6922" width="14.875" customWidth="1"/>
    <col min="7169" max="7169" width="12.125" customWidth="1"/>
    <col min="7170" max="7170" width="15.25" customWidth="1"/>
    <col min="7171" max="7171" width="10.125" customWidth="1"/>
    <col min="7172" max="7172" width="12.125" bestFit="1" customWidth="1"/>
    <col min="7173" max="7173" width="14.75" customWidth="1"/>
    <col min="7174" max="7174" width="10.125" customWidth="1"/>
    <col min="7175" max="7175" width="18.875" bestFit="1" customWidth="1"/>
    <col min="7176" max="7176" width="10.625" customWidth="1"/>
    <col min="7177" max="7177" width="12.375" customWidth="1"/>
    <col min="7178" max="7178" width="14.875" customWidth="1"/>
    <col min="7425" max="7425" width="12.125" customWidth="1"/>
    <col min="7426" max="7426" width="15.25" customWidth="1"/>
    <col min="7427" max="7427" width="10.125" customWidth="1"/>
    <col min="7428" max="7428" width="12.125" bestFit="1" customWidth="1"/>
    <col min="7429" max="7429" width="14.75" customWidth="1"/>
    <col min="7430" max="7430" width="10.125" customWidth="1"/>
    <col min="7431" max="7431" width="18.875" bestFit="1" customWidth="1"/>
    <col min="7432" max="7432" width="10.625" customWidth="1"/>
    <col min="7433" max="7433" width="12.375" customWidth="1"/>
    <col min="7434" max="7434" width="14.875" customWidth="1"/>
    <col min="7681" max="7681" width="12.125" customWidth="1"/>
    <col min="7682" max="7682" width="15.25" customWidth="1"/>
    <col min="7683" max="7683" width="10.125" customWidth="1"/>
    <col min="7684" max="7684" width="12.125" bestFit="1" customWidth="1"/>
    <col min="7685" max="7685" width="14.75" customWidth="1"/>
    <col min="7686" max="7686" width="10.125" customWidth="1"/>
    <col min="7687" max="7687" width="18.875" bestFit="1" customWidth="1"/>
    <col min="7688" max="7688" width="10.625" customWidth="1"/>
    <col min="7689" max="7689" width="12.375" customWidth="1"/>
    <col min="7690" max="7690" width="14.875" customWidth="1"/>
    <col min="7937" max="7937" width="12.125" customWidth="1"/>
    <col min="7938" max="7938" width="15.25" customWidth="1"/>
    <col min="7939" max="7939" width="10.125" customWidth="1"/>
    <col min="7940" max="7940" width="12.125" bestFit="1" customWidth="1"/>
    <col min="7941" max="7941" width="14.75" customWidth="1"/>
    <col min="7942" max="7942" width="10.125" customWidth="1"/>
    <col min="7943" max="7943" width="18.875" bestFit="1" customWidth="1"/>
    <col min="7944" max="7944" width="10.625" customWidth="1"/>
    <col min="7945" max="7945" width="12.375" customWidth="1"/>
    <col min="7946" max="7946" width="14.875" customWidth="1"/>
    <col min="8193" max="8193" width="12.125" customWidth="1"/>
    <col min="8194" max="8194" width="15.25" customWidth="1"/>
    <col min="8195" max="8195" width="10.125" customWidth="1"/>
    <col min="8196" max="8196" width="12.125" bestFit="1" customWidth="1"/>
    <col min="8197" max="8197" width="14.75" customWidth="1"/>
    <col min="8198" max="8198" width="10.125" customWidth="1"/>
    <col min="8199" max="8199" width="18.875" bestFit="1" customWidth="1"/>
    <col min="8200" max="8200" width="10.625" customWidth="1"/>
    <col min="8201" max="8201" width="12.375" customWidth="1"/>
    <col min="8202" max="8202" width="14.875" customWidth="1"/>
    <col min="8449" max="8449" width="12.125" customWidth="1"/>
    <col min="8450" max="8450" width="15.25" customWidth="1"/>
    <col min="8451" max="8451" width="10.125" customWidth="1"/>
    <col min="8452" max="8452" width="12.125" bestFit="1" customWidth="1"/>
    <col min="8453" max="8453" width="14.75" customWidth="1"/>
    <col min="8454" max="8454" width="10.125" customWidth="1"/>
    <col min="8455" max="8455" width="18.875" bestFit="1" customWidth="1"/>
    <col min="8456" max="8456" width="10.625" customWidth="1"/>
    <col min="8457" max="8457" width="12.375" customWidth="1"/>
    <col min="8458" max="8458" width="14.875" customWidth="1"/>
    <col min="8705" max="8705" width="12.125" customWidth="1"/>
    <col min="8706" max="8706" width="15.25" customWidth="1"/>
    <col min="8707" max="8707" width="10.125" customWidth="1"/>
    <col min="8708" max="8708" width="12.125" bestFit="1" customWidth="1"/>
    <col min="8709" max="8709" width="14.75" customWidth="1"/>
    <col min="8710" max="8710" width="10.125" customWidth="1"/>
    <col min="8711" max="8711" width="18.875" bestFit="1" customWidth="1"/>
    <col min="8712" max="8712" width="10.625" customWidth="1"/>
    <col min="8713" max="8713" width="12.375" customWidth="1"/>
    <col min="8714" max="8714" width="14.875" customWidth="1"/>
    <col min="8961" max="8961" width="12.125" customWidth="1"/>
    <col min="8962" max="8962" width="15.25" customWidth="1"/>
    <col min="8963" max="8963" width="10.125" customWidth="1"/>
    <col min="8964" max="8964" width="12.125" bestFit="1" customWidth="1"/>
    <col min="8965" max="8965" width="14.75" customWidth="1"/>
    <col min="8966" max="8966" width="10.125" customWidth="1"/>
    <col min="8967" max="8967" width="18.875" bestFit="1" customWidth="1"/>
    <col min="8968" max="8968" width="10.625" customWidth="1"/>
    <col min="8969" max="8969" width="12.375" customWidth="1"/>
    <col min="8970" max="8970" width="14.875" customWidth="1"/>
    <col min="9217" max="9217" width="12.125" customWidth="1"/>
    <col min="9218" max="9218" width="15.25" customWidth="1"/>
    <col min="9219" max="9219" width="10.125" customWidth="1"/>
    <col min="9220" max="9220" width="12.125" bestFit="1" customWidth="1"/>
    <col min="9221" max="9221" width="14.75" customWidth="1"/>
    <col min="9222" max="9222" width="10.125" customWidth="1"/>
    <col min="9223" max="9223" width="18.875" bestFit="1" customWidth="1"/>
    <col min="9224" max="9224" width="10.625" customWidth="1"/>
    <col min="9225" max="9225" width="12.375" customWidth="1"/>
    <col min="9226" max="9226" width="14.875" customWidth="1"/>
    <col min="9473" max="9473" width="12.125" customWidth="1"/>
    <col min="9474" max="9474" width="15.25" customWidth="1"/>
    <col min="9475" max="9475" width="10.125" customWidth="1"/>
    <col min="9476" max="9476" width="12.125" bestFit="1" customWidth="1"/>
    <col min="9477" max="9477" width="14.75" customWidth="1"/>
    <col min="9478" max="9478" width="10.125" customWidth="1"/>
    <col min="9479" max="9479" width="18.875" bestFit="1" customWidth="1"/>
    <col min="9480" max="9480" width="10.625" customWidth="1"/>
    <col min="9481" max="9481" width="12.375" customWidth="1"/>
    <col min="9482" max="9482" width="14.875" customWidth="1"/>
    <col min="9729" max="9729" width="12.125" customWidth="1"/>
    <col min="9730" max="9730" width="15.25" customWidth="1"/>
    <col min="9731" max="9731" width="10.125" customWidth="1"/>
    <col min="9732" max="9732" width="12.125" bestFit="1" customWidth="1"/>
    <col min="9733" max="9733" width="14.75" customWidth="1"/>
    <col min="9734" max="9734" width="10.125" customWidth="1"/>
    <col min="9735" max="9735" width="18.875" bestFit="1" customWidth="1"/>
    <col min="9736" max="9736" width="10.625" customWidth="1"/>
    <col min="9737" max="9737" width="12.375" customWidth="1"/>
    <col min="9738" max="9738" width="14.875" customWidth="1"/>
    <col min="9985" max="9985" width="12.125" customWidth="1"/>
    <col min="9986" max="9986" width="15.25" customWidth="1"/>
    <col min="9987" max="9987" width="10.125" customWidth="1"/>
    <col min="9988" max="9988" width="12.125" bestFit="1" customWidth="1"/>
    <col min="9989" max="9989" width="14.75" customWidth="1"/>
    <col min="9990" max="9990" width="10.125" customWidth="1"/>
    <col min="9991" max="9991" width="18.875" bestFit="1" customWidth="1"/>
    <col min="9992" max="9992" width="10.625" customWidth="1"/>
    <col min="9993" max="9993" width="12.375" customWidth="1"/>
    <col min="9994" max="9994" width="14.875" customWidth="1"/>
    <col min="10241" max="10241" width="12.125" customWidth="1"/>
    <col min="10242" max="10242" width="15.25" customWidth="1"/>
    <col min="10243" max="10243" width="10.125" customWidth="1"/>
    <col min="10244" max="10244" width="12.125" bestFit="1" customWidth="1"/>
    <col min="10245" max="10245" width="14.75" customWidth="1"/>
    <col min="10246" max="10246" width="10.125" customWidth="1"/>
    <col min="10247" max="10247" width="18.875" bestFit="1" customWidth="1"/>
    <col min="10248" max="10248" width="10.625" customWidth="1"/>
    <col min="10249" max="10249" width="12.375" customWidth="1"/>
    <col min="10250" max="10250" width="14.875" customWidth="1"/>
    <col min="10497" max="10497" width="12.125" customWidth="1"/>
    <col min="10498" max="10498" width="15.25" customWidth="1"/>
    <col min="10499" max="10499" width="10.125" customWidth="1"/>
    <col min="10500" max="10500" width="12.125" bestFit="1" customWidth="1"/>
    <col min="10501" max="10501" width="14.75" customWidth="1"/>
    <col min="10502" max="10502" width="10.125" customWidth="1"/>
    <col min="10503" max="10503" width="18.875" bestFit="1" customWidth="1"/>
    <col min="10504" max="10504" width="10.625" customWidth="1"/>
    <col min="10505" max="10505" width="12.375" customWidth="1"/>
    <col min="10506" max="10506" width="14.875" customWidth="1"/>
    <col min="10753" max="10753" width="12.125" customWidth="1"/>
    <col min="10754" max="10754" width="15.25" customWidth="1"/>
    <col min="10755" max="10755" width="10.125" customWidth="1"/>
    <col min="10756" max="10756" width="12.125" bestFit="1" customWidth="1"/>
    <col min="10757" max="10757" width="14.75" customWidth="1"/>
    <col min="10758" max="10758" width="10.125" customWidth="1"/>
    <col min="10759" max="10759" width="18.875" bestFit="1" customWidth="1"/>
    <col min="10760" max="10760" width="10.625" customWidth="1"/>
    <col min="10761" max="10761" width="12.375" customWidth="1"/>
    <col min="10762" max="10762" width="14.875" customWidth="1"/>
    <col min="11009" max="11009" width="12.125" customWidth="1"/>
    <col min="11010" max="11010" width="15.25" customWidth="1"/>
    <col min="11011" max="11011" width="10.125" customWidth="1"/>
    <col min="11012" max="11012" width="12.125" bestFit="1" customWidth="1"/>
    <col min="11013" max="11013" width="14.75" customWidth="1"/>
    <col min="11014" max="11014" width="10.125" customWidth="1"/>
    <col min="11015" max="11015" width="18.875" bestFit="1" customWidth="1"/>
    <col min="11016" max="11016" width="10.625" customWidth="1"/>
    <col min="11017" max="11017" width="12.375" customWidth="1"/>
    <col min="11018" max="11018" width="14.875" customWidth="1"/>
    <col min="11265" max="11265" width="12.125" customWidth="1"/>
    <col min="11266" max="11266" width="15.25" customWidth="1"/>
    <col min="11267" max="11267" width="10.125" customWidth="1"/>
    <col min="11268" max="11268" width="12.125" bestFit="1" customWidth="1"/>
    <col min="11269" max="11269" width="14.75" customWidth="1"/>
    <col min="11270" max="11270" width="10.125" customWidth="1"/>
    <col min="11271" max="11271" width="18.875" bestFit="1" customWidth="1"/>
    <col min="11272" max="11272" width="10.625" customWidth="1"/>
    <col min="11273" max="11273" width="12.375" customWidth="1"/>
    <col min="11274" max="11274" width="14.875" customWidth="1"/>
    <col min="11521" max="11521" width="12.125" customWidth="1"/>
    <col min="11522" max="11522" width="15.25" customWidth="1"/>
    <col min="11523" max="11523" width="10.125" customWidth="1"/>
    <col min="11524" max="11524" width="12.125" bestFit="1" customWidth="1"/>
    <col min="11525" max="11525" width="14.75" customWidth="1"/>
    <col min="11526" max="11526" width="10.125" customWidth="1"/>
    <col min="11527" max="11527" width="18.875" bestFit="1" customWidth="1"/>
    <col min="11528" max="11528" width="10.625" customWidth="1"/>
    <col min="11529" max="11529" width="12.375" customWidth="1"/>
    <col min="11530" max="11530" width="14.875" customWidth="1"/>
    <col min="11777" max="11777" width="12.125" customWidth="1"/>
    <col min="11778" max="11778" width="15.25" customWidth="1"/>
    <col min="11779" max="11779" width="10.125" customWidth="1"/>
    <col min="11780" max="11780" width="12.125" bestFit="1" customWidth="1"/>
    <col min="11781" max="11781" width="14.75" customWidth="1"/>
    <col min="11782" max="11782" width="10.125" customWidth="1"/>
    <col min="11783" max="11783" width="18.875" bestFit="1" customWidth="1"/>
    <col min="11784" max="11784" width="10.625" customWidth="1"/>
    <col min="11785" max="11785" width="12.375" customWidth="1"/>
    <col min="11786" max="11786" width="14.875" customWidth="1"/>
    <col min="12033" max="12033" width="12.125" customWidth="1"/>
    <col min="12034" max="12034" width="15.25" customWidth="1"/>
    <col min="12035" max="12035" width="10.125" customWidth="1"/>
    <col min="12036" max="12036" width="12.125" bestFit="1" customWidth="1"/>
    <col min="12037" max="12037" width="14.75" customWidth="1"/>
    <col min="12038" max="12038" width="10.125" customWidth="1"/>
    <col min="12039" max="12039" width="18.875" bestFit="1" customWidth="1"/>
    <col min="12040" max="12040" width="10.625" customWidth="1"/>
    <col min="12041" max="12041" width="12.375" customWidth="1"/>
    <col min="12042" max="12042" width="14.875" customWidth="1"/>
    <col min="12289" max="12289" width="12.125" customWidth="1"/>
    <col min="12290" max="12290" width="15.25" customWidth="1"/>
    <col min="12291" max="12291" width="10.125" customWidth="1"/>
    <col min="12292" max="12292" width="12.125" bestFit="1" customWidth="1"/>
    <col min="12293" max="12293" width="14.75" customWidth="1"/>
    <col min="12294" max="12294" width="10.125" customWidth="1"/>
    <col min="12295" max="12295" width="18.875" bestFit="1" customWidth="1"/>
    <col min="12296" max="12296" width="10.625" customWidth="1"/>
    <col min="12297" max="12297" width="12.375" customWidth="1"/>
    <col min="12298" max="12298" width="14.875" customWidth="1"/>
    <col min="12545" max="12545" width="12.125" customWidth="1"/>
    <col min="12546" max="12546" width="15.25" customWidth="1"/>
    <col min="12547" max="12547" width="10.125" customWidth="1"/>
    <col min="12548" max="12548" width="12.125" bestFit="1" customWidth="1"/>
    <col min="12549" max="12549" width="14.75" customWidth="1"/>
    <col min="12550" max="12550" width="10.125" customWidth="1"/>
    <col min="12551" max="12551" width="18.875" bestFit="1" customWidth="1"/>
    <col min="12552" max="12552" width="10.625" customWidth="1"/>
    <col min="12553" max="12553" width="12.375" customWidth="1"/>
    <col min="12554" max="12554" width="14.875" customWidth="1"/>
    <col min="12801" max="12801" width="12.125" customWidth="1"/>
    <col min="12802" max="12802" width="15.25" customWidth="1"/>
    <col min="12803" max="12803" width="10.125" customWidth="1"/>
    <col min="12804" max="12804" width="12.125" bestFit="1" customWidth="1"/>
    <col min="12805" max="12805" width="14.75" customWidth="1"/>
    <col min="12806" max="12806" width="10.125" customWidth="1"/>
    <col min="12807" max="12807" width="18.875" bestFit="1" customWidth="1"/>
    <col min="12808" max="12808" width="10.625" customWidth="1"/>
    <col min="12809" max="12809" width="12.375" customWidth="1"/>
    <col min="12810" max="12810" width="14.875" customWidth="1"/>
    <col min="13057" max="13057" width="12.125" customWidth="1"/>
    <col min="13058" max="13058" width="15.25" customWidth="1"/>
    <col min="13059" max="13059" width="10.125" customWidth="1"/>
    <col min="13060" max="13060" width="12.125" bestFit="1" customWidth="1"/>
    <col min="13061" max="13061" width="14.75" customWidth="1"/>
    <col min="13062" max="13062" width="10.125" customWidth="1"/>
    <col min="13063" max="13063" width="18.875" bestFit="1" customWidth="1"/>
    <col min="13064" max="13064" width="10.625" customWidth="1"/>
    <col min="13065" max="13065" width="12.375" customWidth="1"/>
    <col min="13066" max="13066" width="14.875" customWidth="1"/>
    <col min="13313" max="13313" width="12.125" customWidth="1"/>
    <col min="13314" max="13314" width="15.25" customWidth="1"/>
    <col min="13315" max="13315" width="10.125" customWidth="1"/>
    <col min="13316" max="13316" width="12.125" bestFit="1" customWidth="1"/>
    <col min="13317" max="13317" width="14.75" customWidth="1"/>
    <col min="13318" max="13318" width="10.125" customWidth="1"/>
    <col min="13319" max="13319" width="18.875" bestFit="1" customWidth="1"/>
    <col min="13320" max="13320" width="10.625" customWidth="1"/>
    <col min="13321" max="13321" width="12.375" customWidth="1"/>
    <col min="13322" max="13322" width="14.875" customWidth="1"/>
    <col min="13569" max="13569" width="12.125" customWidth="1"/>
    <col min="13570" max="13570" width="15.25" customWidth="1"/>
    <col min="13571" max="13571" width="10.125" customWidth="1"/>
    <col min="13572" max="13572" width="12.125" bestFit="1" customWidth="1"/>
    <col min="13573" max="13573" width="14.75" customWidth="1"/>
    <col min="13574" max="13574" width="10.125" customWidth="1"/>
    <col min="13575" max="13575" width="18.875" bestFit="1" customWidth="1"/>
    <col min="13576" max="13576" width="10.625" customWidth="1"/>
    <col min="13577" max="13577" width="12.375" customWidth="1"/>
    <col min="13578" max="13578" width="14.875" customWidth="1"/>
    <col min="13825" max="13825" width="12.125" customWidth="1"/>
    <col min="13826" max="13826" width="15.25" customWidth="1"/>
    <col min="13827" max="13827" width="10.125" customWidth="1"/>
    <col min="13828" max="13828" width="12.125" bestFit="1" customWidth="1"/>
    <col min="13829" max="13829" width="14.75" customWidth="1"/>
    <col min="13830" max="13830" width="10.125" customWidth="1"/>
    <col min="13831" max="13831" width="18.875" bestFit="1" customWidth="1"/>
    <col min="13832" max="13832" width="10.625" customWidth="1"/>
    <col min="13833" max="13833" width="12.375" customWidth="1"/>
    <col min="13834" max="13834" width="14.875" customWidth="1"/>
    <col min="14081" max="14081" width="12.125" customWidth="1"/>
    <col min="14082" max="14082" width="15.25" customWidth="1"/>
    <col min="14083" max="14083" width="10.125" customWidth="1"/>
    <col min="14084" max="14084" width="12.125" bestFit="1" customWidth="1"/>
    <col min="14085" max="14085" width="14.75" customWidth="1"/>
    <col min="14086" max="14086" width="10.125" customWidth="1"/>
    <col min="14087" max="14087" width="18.875" bestFit="1" customWidth="1"/>
    <col min="14088" max="14088" width="10.625" customWidth="1"/>
    <col min="14089" max="14089" width="12.375" customWidth="1"/>
    <col min="14090" max="14090" width="14.875" customWidth="1"/>
    <col min="14337" max="14337" width="12.125" customWidth="1"/>
    <col min="14338" max="14338" width="15.25" customWidth="1"/>
    <col min="14339" max="14339" width="10.125" customWidth="1"/>
    <col min="14340" max="14340" width="12.125" bestFit="1" customWidth="1"/>
    <col min="14341" max="14341" width="14.75" customWidth="1"/>
    <col min="14342" max="14342" width="10.125" customWidth="1"/>
    <col min="14343" max="14343" width="18.875" bestFit="1" customWidth="1"/>
    <col min="14344" max="14344" width="10.625" customWidth="1"/>
    <col min="14345" max="14345" width="12.375" customWidth="1"/>
    <col min="14346" max="14346" width="14.875" customWidth="1"/>
    <col min="14593" max="14593" width="12.125" customWidth="1"/>
    <col min="14594" max="14594" width="15.25" customWidth="1"/>
    <col min="14595" max="14595" width="10.125" customWidth="1"/>
    <col min="14596" max="14596" width="12.125" bestFit="1" customWidth="1"/>
    <col min="14597" max="14597" width="14.75" customWidth="1"/>
    <col min="14598" max="14598" width="10.125" customWidth="1"/>
    <col min="14599" max="14599" width="18.875" bestFit="1" customWidth="1"/>
    <col min="14600" max="14600" width="10.625" customWidth="1"/>
    <col min="14601" max="14601" width="12.375" customWidth="1"/>
    <col min="14602" max="14602" width="14.875" customWidth="1"/>
    <col min="14849" max="14849" width="12.125" customWidth="1"/>
    <col min="14850" max="14850" width="15.25" customWidth="1"/>
    <col min="14851" max="14851" width="10.125" customWidth="1"/>
    <col min="14852" max="14852" width="12.125" bestFit="1" customWidth="1"/>
    <col min="14853" max="14853" width="14.75" customWidth="1"/>
    <col min="14854" max="14854" width="10.125" customWidth="1"/>
    <col min="14855" max="14855" width="18.875" bestFit="1" customWidth="1"/>
    <col min="14856" max="14856" width="10.625" customWidth="1"/>
    <col min="14857" max="14857" width="12.375" customWidth="1"/>
    <col min="14858" max="14858" width="14.875" customWidth="1"/>
    <col min="15105" max="15105" width="12.125" customWidth="1"/>
    <col min="15106" max="15106" width="15.25" customWidth="1"/>
    <col min="15107" max="15107" width="10.125" customWidth="1"/>
    <col min="15108" max="15108" width="12.125" bestFit="1" customWidth="1"/>
    <col min="15109" max="15109" width="14.75" customWidth="1"/>
    <col min="15110" max="15110" width="10.125" customWidth="1"/>
    <col min="15111" max="15111" width="18.875" bestFit="1" customWidth="1"/>
    <col min="15112" max="15112" width="10.625" customWidth="1"/>
    <col min="15113" max="15113" width="12.375" customWidth="1"/>
    <col min="15114" max="15114" width="14.875" customWidth="1"/>
    <col min="15361" max="15361" width="12.125" customWidth="1"/>
    <col min="15362" max="15362" width="15.25" customWidth="1"/>
    <col min="15363" max="15363" width="10.125" customWidth="1"/>
    <col min="15364" max="15364" width="12.125" bestFit="1" customWidth="1"/>
    <col min="15365" max="15365" width="14.75" customWidth="1"/>
    <col min="15366" max="15366" width="10.125" customWidth="1"/>
    <col min="15367" max="15367" width="18.875" bestFit="1" customWidth="1"/>
    <col min="15368" max="15368" width="10.625" customWidth="1"/>
    <col min="15369" max="15369" width="12.375" customWidth="1"/>
    <col min="15370" max="15370" width="14.875" customWidth="1"/>
    <col min="15617" max="15617" width="12.125" customWidth="1"/>
    <col min="15618" max="15618" width="15.25" customWidth="1"/>
    <col min="15619" max="15619" width="10.125" customWidth="1"/>
    <col min="15620" max="15620" width="12.125" bestFit="1" customWidth="1"/>
    <col min="15621" max="15621" width="14.75" customWidth="1"/>
    <col min="15622" max="15622" width="10.125" customWidth="1"/>
    <col min="15623" max="15623" width="18.875" bestFit="1" customWidth="1"/>
    <col min="15624" max="15624" width="10.625" customWidth="1"/>
    <col min="15625" max="15625" width="12.375" customWidth="1"/>
    <col min="15626" max="15626" width="14.875" customWidth="1"/>
    <col min="15873" max="15873" width="12.125" customWidth="1"/>
    <col min="15874" max="15874" width="15.25" customWidth="1"/>
    <col min="15875" max="15875" width="10.125" customWidth="1"/>
    <col min="15876" max="15876" width="12.125" bestFit="1" customWidth="1"/>
    <col min="15877" max="15877" width="14.75" customWidth="1"/>
    <col min="15878" max="15878" width="10.125" customWidth="1"/>
    <col min="15879" max="15879" width="18.875" bestFit="1" customWidth="1"/>
    <col min="15880" max="15880" width="10.625" customWidth="1"/>
    <col min="15881" max="15881" width="12.375" customWidth="1"/>
    <col min="15882" max="15882" width="14.875" customWidth="1"/>
    <col min="16129" max="16129" width="12.125" customWidth="1"/>
    <col min="16130" max="16130" width="15.25" customWidth="1"/>
    <col min="16131" max="16131" width="10.125" customWidth="1"/>
    <col min="16132" max="16132" width="12.125" bestFit="1" customWidth="1"/>
    <col min="16133" max="16133" width="14.75" customWidth="1"/>
    <col min="16134" max="16134" width="10.125" customWidth="1"/>
    <col min="16135" max="16135" width="18.875" bestFit="1" customWidth="1"/>
    <col min="16136" max="16136" width="10.625" customWidth="1"/>
    <col min="16137" max="16137" width="12.375" customWidth="1"/>
    <col min="16138" max="16138" width="14.875" customWidth="1"/>
  </cols>
  <sheetData>
    <row r="1" spans="1:10" ht="15.75" x14ac:dyDescent="0.25">
      <c r="E1" s="1" t="s">
        <v>0</v>
      </c>
      <c r="G1" s="2"/>
    </row>
    <row r="2" spans="1:10" x14ac:dyDescent="0.2">
      <c r="D2" s="3"/>
      <c r="F2" s="3"/>
    </row>
    <row r="3" spans="1:10" ht="15" x14ac:dyDescent="0.25">
      <c r="B3" s="3"/>
      <c r="C3" s="4"/>
      <c r="E3" t="s">
        <v>1</v>
      </c>
      <c r="J3" s="3" t="s">
        <v>2</v>
      </c>
    </row>
    <row r="4" spans="1:10" ht="15" x14ac:dyDescent="0.25">
      <c r="B4" s="3"/>
      <c r="C4" s="4"/>
      <c r="E4" s="5" t="s">
        <v>23</v>
      </c>
      <c r="F4" s="3"/>
      <c r="I4" s="3" t="s">
        <v>3</v>
      </c>
      <c r="J4" s="6">
        <v>45684</v>
      </c>
    </row>
    <row r="5" spans="1:10" ht="15" x14ac:dyDescent="0.25">
      <c r="B5" s="3"/>
      <c r="C5" s="4"/>
      <c r="F5" s="3"/>
      <c r="I5" s="3" t="s">
        <v>4</v>
      </c>
      <c r="J5" s="6">
        <v>45700</v>
      </c>
    </row>
    <row r="6" spans="1:10" ht="15" x14ac:dyDescent="0.25">
      <c r="A6" s="7" t="s">
        <v>5</v>
      </c>
      <c r="B6" s="8"/>
      <c r="E6" t="s">
        <v>6</v>
      </c>
      <c r="F6" s="53"/>
      <c r="G6" s="53"/>
      <c r="I6" s="3"/>
      <c r="J6" s="9"/>
    </row>
    <row r="7" spans="1:10" ht="13.5" customHeight="1" thickBot="1" x14ac:dyDescent="0.25"/>
    <row r="8" spans="1:10" ht="30" customHeight="1" thickBot="1" x14ac:dyDescent="0.25">
      <c r="A8" s="10" t="s">
        <v>7</v>
      </c>
      <c r="B8" s="54" t="s">
        <v>8</v>
      </c>
      <c r="C8" s="54"/>
      <c r="D8" s="54"/>
      <c r="E8" s="54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" customHeight="1" x14ac:dyDescent="0.2">
      <c r="A9" s="16" t="s">
        <v>14</v>
      </c>
      <c r="B9" s="55" t="s">
        <v>25</v>
      </c>
      <c r="C9" s="55"/>
      <c r="D9" s="55"/>
      <c r="E9" s="55"/>
      <c r="F9" s="17" t="s">
        <v>26</v>
      </c>
      <c r="G9" s="18">
        <v>55</v>
      </c>
      <c r="H9" s="19">
        <v>3</v>
      </c>
      <c r="I9" s="20">
        <f t="shared" ref="I9:I13" si="0">G9*H9</f>
        <v>165</v>
      </c>
      <c r="J9" s="21"/>
    </row>
    <row r="10" spans="1:10" ht="28.9" customHeight="1" x14ac:dyDescent="0.2">
      <c r="A10" s="22" t="s">
        <v>15</v>
      </c>
      <c r="B10" s="55" t="s">
        <v>28</v>
      </c>
      <c r="C10" s="55"/>
      <c r="D10" s="55"/>
      <c r="E10" s="55"/>
      <c r="F10" s="17" t="s">
        <v>27</v>
      </c>
      <c r="G10" s="18">
        <v>1.5</v>
      </c>
      <c r="H10" s="19">
        <v>109</v>
      </c>
      <c r="I10" s="20">
        <f t="shared" si="0"/>
        <v>163.5</v>
      </c>
      <c r="J10" s="21"/>
    </row>
    <row r="11" spans="1:10" ht="28.9" customHeight="1" x14ac:dyDescent="0.2">
      <c r="A11" s="22" t="s">
        <v>16</v>
      </c>
      <c r="B11" s="55" t="s">
        <v>24</v>
      </c>
      <c r="C11" s="55"/>
      <c r="D11" s="55"/>
      <c r="E11" s="55"/>
      <c r="F11" s="23" t="s">
        <v>17</v>
      </c>
      <c r="G11" s="24">
        <v>300</v>
      </c>
      <c r="H11" s="19">
        <v>3</v>
      </c>
      <c r="I11" s="20">
        <f t="shared" si="0"/>
        <v>900</v>
      </c>
      <c r="J11" s="21"/>
    </row>
    <row r="12" spans="1:10" ht="28.9" customHeight="1" x14ac:dyDescent="0.2">
      <c r="A12" s="22" t="s">
        <v>18</v>
      </c>
      <c r="B12" s="49" t="s">
        <v>29</v>
      </c>
      <c r="C12" s="50"/>
      <c r="D12" s="50"/>
      <c r="E12" s="51"/>
      <c r="F12" s="23" t="s">
        <v>17</v>
      </c>
      <c r="G12" s="24">
        <v>180</v>
      </c>
      <c r="H12" s="25">
        <v>3</v>
      </c>
      <c r="I12" s="26">
        <f t="shared" si="0"/>
        <v>540</v>
      </c>
      <c r="J12" s="21"/>
    </row>
    <row r="13" spans="1:10" ht="30" customHeight="1" x14ac:dyDescent="0.2">
      <c r="A13" s="22" t="s">
        <v>19</v>
      </c>
      <c r="B13" s="49" t="s">
        <v>30</v>
      </c>
      <c r="C13" s="50"/>
      <c r="D13" s="50"/>
      <c r="E13" s="51"/>
      <c r="F13" s="23" t="s">
        <v>31</v>
      </c>
      <c r="G13" s="24">
        <v>45</v>
      </c>
      <c r="H13" s="25">
        <v>6</v>
      </c>
      <c r="I13" s="26">
        <f t="shared" si="0"/>
        <v>270</v>
      </c>
      <c r="J13" s="21"/>
    </row>
    <row r="14" spans="1:10" ht="30" customHeight="1" x14ac:dyDescent="0.2">
      <c r="A14" s="22"/>
      <c r="B14" s="49"/>
      <c r="C14" s="50"/>
      <c r="D14" s="50"/>
      <c r="E14" s="51"/>
      <c r="F14" s="23"/>
      <c r="G14" s="27"/>
      <c r="H14" s="28"/>
      <c r="I14" s="26"/>
      <c r="J14" s="21"/>
    </row>
    <row r="15" spans="1:10" ht="30" customHeight="1" x14ac:dyDescent="0.2">
      <c r="A15" s="22"/>
      <c r="B15" s="49"/>
      <c r="C15" s="50"/>
      <c r="D15" s="50"/>
      <c r="E15" s="51"/>
      <c r="F15" s="23"/>
      <c r="G15" s="27"/>
      <c r="H15" s="28"/>
      <c r="I15" s="26"/>
      <c r="J15" s="21"/>
    </row>
    <row r="16" spans="1:10" ht="30" customHeight="1" x14ac:dyDescent="0.2">
      <c r="A16" s="22"/>
      <c r="B16" s="49"/>
      <c r="C16" s="50"/>
      <c r="D16" s="50"/>
      <c r="E16" s="51"/>
      <c r="F16" s="23"/>
      <c r="G16" s="29"/>
      <c r="H16" s="30"/>
      <c r="I16" s="20"/>
      <c r="J16" s="21"/>
    </row>
    <row r="17" spans="1:10" ht="30" customHeight="1" x14ac:dyDescent="0.2">
      <c r="A17" s="22"/>
      <c r="B17" s="49"/>
      <c r="C17" s="50"/>
      <c r="D17" s="50"/>
      <c r="E17" s="51"/>
      <c r="F17" s="23"/>
      <c r="G17" s="27"/>
      <c r="H17" s="30"/>
      <c r="I17" s="26"/>
      <c r="J17" s="21"/>
    </row>
    <row r="18" spans="1:10" ht="30" customHeight="1" x14ac:dyDescent="0.2">
      <c r="A18" s="31"/>
      <c r="B18" s="49"/>
      <c r="C18" s="50"/>
      <c r="D18" s="50"/>
      <c r="E18" s="51"/>
      <c r="F18" s="23"/>
      <c r="G18" s="33"/>
      <c r="H18" s="30"/>
      <c r="I18" s="35"/>
      <c r="J18" s="36"/>
    </row>
    <row r="19" spans="1:10" ht="30" customHeight="1" x14ac:dyDescent="0.25">
      <c r="A19" s="37"/>
      <c r="B19" s="49"/>
      <c r="C19" s="50"/>
      <c r="D19" s="50"/>
      <c r="E19" s="51"/>
      <c r="F19" s="23"/>
      <c r="G19" s="33"/>
      <c r="H19" s="30"/>
      <c r="I19" s="35"/>
      <c r="J19" s="36"/>
    </row>
    <row r="20" spans="1:10" ht="30" customHeight="1" x14ac:dyDescent="0.2">
      <c r="A20" s="31"/>
      <c r="B20" s="49"/>
      <c r="C20" s="50"/>
      <c r="D20" s="50"/>
      <c r="E20" s="51"/>
      <c r="F20" s="23"/>
      <c r="G20" s="33"/>
      <c r="H20" s="30"/>
      <c r="I20" s="35"/>
      <c r="J20" s="36"/>
    </row>
    <row r="21" spans="1:10" ht="30" customHeight="1" x14ac:dyDescent="0.2">
      <c r="A21" s="31"/>
      <c r="B21" s="52"/>
      <c r="C21" s="52"/>
      <c r="D21" s="52"/>
      <c r="E21" s="52"/>
      <c r="F21" s="32"/>
      <c r="G21" s="33"/>
      <c r="H21" s="34"/>
      <c r="I21" s="35"/>
      <c r="J21" s="36"/>
    </row>
    <row r="22" spans="1:10" ht="30" customHeight="1" x14ac:dyDescent="0.2">
      <c r="A22" s="31"/>
      <c r="B22" s="52"/>
      <c r="C22" s="52"/>
      <c r="D22" s="52"/>
      <c r="E22" s="52"/>
      <c r="F22" s="32"/>
      <c r="G22" s="33"/>
      <c r="H22" s="34"/>
      <c r="I22" s="35"/>
      <c r="J22" s="36"/>
    </row>
    <row r="23" spans="1:10" ht="30" customHeight="1" x14ac:dyDescent="0.2">
      <c r="A23" s="31"/>
      <c r="B23" s="47"/>
      <c r="C23" s="47"/>
      <c r="D23" s="47"/>
      <c r="E23" s="47"/>
      <c r="F23" s="32"/>
      <c r="G23" s="33"/>
      <c r="H23" s="34"/>
      <c r="I23" s="35"/>
      <c r="J23" s="36"/>
    </row>
    <row r="24" spans="1:10" ht="30" customHeight="1" x14ac:dyDescent="0.2">
      <c r="A24" s="31"/>
      <c r="B24" s="47"/>
      <c r="C24" s="47"/>
      <c r="D24" s="47"/>
      <c r="E24" s="47"/>
      <c r="F24" s="32"/>
      <c r="G24" s="33"/>
      <c r="H24" s="34"/>
      <c r="I24" s="35"/>
      <c r="J24" s="36"/>
    </row>
    <row r="25" spans="1:10" ht="30" customHeight="1" x14ac:dyDescent="0.2">
      <c r="A25" s="31"/>
      <c r="B25" s="47"/>
      <c r="C25" s="47"/>
      <c r="D25" s="47"/>
      <c r="E25" s="47"/>
      <c r="F25" s="32"/>
      <c r="G25" s="33"/>
      <c r="H25" s="34"/>
      <c r="I25" s="35"/>
      <c r="J25" s="36"/>
    </row>
    <row r="26" spans="1:10" ht="30" customHeight="1" x14ac:dyDescent="0.2">
      <c r="A26" s="31"/>
      <c r="B26" s="48"/>
      <c r="C26" s="48"/>
      <c r="D26" s="48"/>
      <c r="E26" s="48"/>
      <c r="F26" s="32"/>
      <c r="G26" s="33"/>
      <c r="H26" s="34"/>
      <c r="I26" s="35"/>
      <c r="J26" s="36"/>
    </row>
    <row r="27" spans="1:10" ht="30" customHeight="1" thickBot="1" x14ac:dyDescent="0.25">
      <c r="A27" s="31"/>
      <c r="B27" s="48"/>
      <c r="C27" s="48"/>
      <c r="D27" s="48"/>
      <c r="E27" s="48"/>
      <c r="F27" s="32"/>
      <c r="G27" s="33"/>
      <c r="H27" s="38"/>
      <c r="I27" s="39"/>
      <c r="J27" s="40"/>
    </row>
    <row r="28" spans="1:10" ht="15.75" thickBot="1" x14ac:dyDescent="0.3">
      <c r="A28" s="41"/>
      <c r="B28" s="41"/>
      <c r="C28" s="42"/>
      <c r="D28" s="42"/>
      <c r="E28" s="42"/>
      <c r="F28" s="42"/>
      <c r="G28" s="42"/>
      <c r="H28" s="43" t="s">
        <v>20</v>
      </c>
      <c r="I28" s="44">
        <f>SUM(I9:I27)</f>
        <v>2038.5</v>
      </c>
      <c r="J28" s="45">
        <f>I28*kurs</f>
        <v>0</v>
      </c>
    </row>
    <row r="33" spans="2:10" x14ac:dyDescent="0.2">
      <c r="B33" t="s">
        <v>21</v>
      </c>
      <c r="J33" s="46"/>
    </row>
    <row r="34" spans="2:10" x14ac:dyDescent="0.2">
      <c r="B34" t="s">
        <v>22</v>
      </c>
      <c r="J34" s="46"/>
    </row>
  </sheetData>
  <mergeCells count="21">
    <mergeCell ref="B19:E19"/>
    <mergeCell ref="F6:G6"/>
    <mergeCell ref="B8:E8"/>
    <mergeCell ref="B9:E9"/>
    <mergeCell ref="B11:E11"/>
    <mergeCell ref="B12:E12"/>
    <mergeCell ref="B13:E13"/>
    <mergeCell ref="B14:E14"/>
    <mergeCell ref="B15:E15"/>
    <mergeCell ref="B16:E16"/>
    <mergeCell ref="B17:E17"/>
    <mergeCell ref="B18:E18"/>
    <mergeCell ref="B10:E10"/>
    <mergeCell ref="B25:E25"/>
    <mergeCell ref="B26:E26"/>
    <mergeCell ref="B27:E27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12</vt:i4>
      </vt:variant>
      <vt:variant>
        <vt:lpstr>Adlandırılmış Aralıklar</vt:lpstr>
      </vt:variant>
      <vt:variant>
        <vt:i4>24</vt:i4>
      </vt:variant>
    </vt:vector>
  </HeadingPairs>
  <TitlesOfParts>
    <vt:vector size="36" baseType="lpstr">
      <vt:lpstr>februar 26</vt:lpstr>
      <vt:lpstr>januar 2026</vt:lpstr>
      <vt:lpstr>decembar 2025</vt:lpstr>
      <vt:lpstr>novembar 2025</vt:lpstr>
      <vt:lpstr>oktobar 2025</vt:lpstr>
      <vt:lpstr>septembar 2025</vt:lpstr>
      <vt:lpstr>avgust 2025</vt:lpstr>
      <vt:lpstr>JUL2025 </vt:lpstr>
      <vt:lpstr>JUN2025</vt:lpstr>
      <vt:lpstr>maj2025</vt:lpstr>
      <vt:lpstr>feb2025</vt:lpstr>
      <vt:lpstr>jan2025</vt:lpstr>
      <vt:lpstr>'avgust 2025'!kurs</vt:lpstr>
      <vt:lpstr>'decembar 2025'!kurs</vt:lpstr>
      <vt:lpstr>'feb2025'!kurs</vt:lpstr>
      <vt:lpstr>'februar 26'!kurs</vt:lpstr>
      <vt:lpstr>'jan2025'!kurs</vt:lpstr>
      <vt:lpstr>'januar 2026'!kurs</vt:lpstr>
      <vt:lpstr>'JUL2025 '!kurs</vt:lpstr>
      <vt:lpstr>'JUN2025'!kurs</vt:lpstr>
      <vt:lpstr>'maj2025'!kurs</vt:lpstr>
      <vt:lpstr>'novembar 2025'!kurs</vt:lpstr>
      <vt:lpstr>'oktobar 2025'!kurs</vt:lpstr>
      <vt:lpstr>'septembar 2025'!kurs</vt:lpstr>
      <vt:lpstr>'avgust 2025'!Yazdırma_Alanı</vt:lpstr>
      <vt:lpstr>'decembar 2025'!Yazdırma_Alanı</vt:lpstr>
      <vt:lpstr>'feb2025'!Yazdırma_Alanı</vt:lpstr>
      <vt:lpstr>'februar 26'!Yazdırma_Alanı</vt:lpstr>
      <vt:lpstr>'jan2025'!Yazdırma_Alanı</vt:lpstr>
      <vt:lpstr>'januar 2026'!Yazdırma_Alanı</vt:lpstr>
      <vt:lpstr>'JUL2025 '!Yazdırma_Alanı</vt:lpstr>
      <vt:lpstr>'JUN2025'!Yazdırma_Alanı</vt:lpstr>
      <vt:lpstr>'maj2025'!Yazdırma_Alanı</vt:lpstr>
      <vt:lpstr>'novembar 2025'!Yazdırma_Alanı</vt:lpstr>
      <vt:lpstr>'oktobar 2025'!Yazdırma_Alanı</vt:lpstr>
      <vt:lpstr>'septembar 2025'!Yazdırma_Alanı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Özkan Yaman</cp:lastModifiedBy>
  <dcterms:created xsi:type="dcterms:W3CDTF">2025-02-10T14:20:52Z</dcterms:created>
  <dcterms:modified xsi:type="dcterms:W3CDTF">2026-04-20T12:02:27Z</dcterms:modified>
</cp:coreProperties>
</file>