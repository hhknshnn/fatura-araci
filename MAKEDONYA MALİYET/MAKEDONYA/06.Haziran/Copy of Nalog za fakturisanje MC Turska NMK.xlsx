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Madame Coco\MAKEDONIJA KOSOVO\"/>
    </mc:Choice>
  </mc:AlternateContent>
  <xr:revisionPtr revIDLastSave="0" documentId="13_ncr:1_{F3AAA45C-1813-4C45-A0C6-3D44E084F590}" xr6:coauthVersionLast="47" xr6:coauthVersionMax="47" xr10:uidLastSave="{00000000-0000-0000-0000-000000000000}"/>
  <bookViews>
    <workbookView xWindow="-120" yWindow="-120" windowWidth="29040" windowHeight="15840" xr2:uid="{0BA0386D-54DC-459A-BC2D-7CE81F3AAEE4}"/>
  </bookViews>
  <sheets>
    <sheet name="Jun 2026" sheetId="3" r:id="rId1"/>
    <sheet name="Mart 2025" sheetId="2" r:id="rId2"/>
    <sheet name="jan2025" sheetId="1" r:id="rId3"/>
  </sheets>
  <definedNames>
    <definedName name="kurs" localSheetId="2">'jan2025'!$J$6</definedName>
    <definedName name="kurs" localSheetId="0">'Jun 2026'!$J$6</definedName>
    <definedName name="kurs" localSheetId="1">'Mart 2025'!$J$6</definedName>
    <definedName name="kurs">#REF!</definedName>
    <definedName name="NOVEMB" localSheetId="2">#REF!</definedName>
    <definedName name="NOVEMB" localSheetId="0">#REF!</definedName>
    <definedName name="NOVEMB" localSheetId="1">#REF!</definedName>
    <definedName name="NOVEMB">#REF!</definedName>
    <definedName name="_xlnm.Print_Area" localSheetId="2">'jan2025'!$A$1:$J$38</definedName>
    <definedName name="_xlnm.Print_Area" localSheetId="0">'Jun 2026'!$A$1:$J$38</definedName>
    <definedName name="_xlnm.Print_Area" localSheetId="1">'Mart 2025'!$A$1:$J$38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3" i="3" l="1"/>
  <c r="I12" i="3"/>
  <c r="I11" i="3"/>
  <c r="I10" i="3"/>
  <c r="I9" i="3"/>
  <c r="I13" i="2"/>
  <c r="I12" i="2"/>
  <c r="I11" i="2"/>
  <c r="I10" i="2"/>
  <c r="I9" i="2"/>
  <c r="I13" i="1"/>
  <c r="I10" i="1"/>
  <c r="I12" i="1"/>
  <c r="I28" i="3" l="1"/>
  <c r="J28" i="3" s="1"/>
  <c r="I28" i="2"/>
  <c r="J28" i="2" s="1"/>
  <c r="I11" i="1"/>
  <c r="I9" i="1"/>
  <c r="I28" i="1" l="1"/>
  <c r="J28" i="1" s="1"/>
</calcChain>
</file>

<file path=xl/sharedStrings.xml><?xml version="1.0" encoding="utf-8"?>
<sst xmlns="http://schemas.openxmlformats.org/spreadsheetml/2006/main" count="99" uniqueCount="32">
  <si>
    <t>OBRAČUN SKLADIŠNINE - MATERIJALI</t>
  </si>
  <si>
    <t>Client</t>
  </si>
  <si>
    <t>Logistics services for period</t>
  </si>
  <si>
    <t>od</t>
  </si>
  <si>
    <t>do</t>
  </si>
  <si>
    <t>M&amp;M Militzer &amp; Münch d.o.o.</t>
  </si>
  <si>
    <t>Order number</t>
  </si>
  <si>
    <t>No.</t>
  </si>
  <si>
    <t>Service</t>
  </si>
  <si>
    <t>UOM</t>
  </si>
  <si>
    <t>UOM price (€)</t>
  </si>
  <si>
    <t>Qty</t>
  </si>
  <si>
    <t>Amount (€)</t>
  </si>
  <si>
    <t>iznos(RSD)</t>
  </si>
  <si>
    <t>1.</t>
  </si>
  <si>
    <t>2.</t>
  </si>
  <si>
    <t>3.</t>
  </si>
  <si>
    <t>truck</t>
  </si>
  <si>
    <t>4.</t>
  </si>
  <si>
    <t>5.</t>
  </si>
  <si>
    <t>Ukupno:</t>
  </si>
  <si>
    <t>Obracunao</t>
  </si>
  <si>
    <t>Branimir Trickovic</t>
  </si>
  <si>
    <t>Madame Coco NMK</t>
  </si>
  <si>
    <t>Warehouse up to 10 days</t>
  </si>
  <si>
    <t>Import customs clearance up to 5 HS codes</t>
  </si>
  <si>
    <t>declaration</t>
  </si>
  <si>
    <t>HS code</t>
  </si>
  <si>
    <t>Additional HS code</t>
  </si>
  <si>
    <t xml:space="preserve">Delivery Palma Mall Tetovo Avia (7-16 eur pal), up to 7.0 t </t>
  </si>
  <si>
    <t>Additional workforce for unloading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</si>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</sst>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yy;@"/>
    <numFmt numFmtId="165" formatCode="_-* #,##0.0000\ [$RSD-241A]_-;\-* #,##0.0000\ [$RSD-241A]_-;_-* &quot;-&quot;??\ [$RSD-241A]_-;_-@_-"/>
    <numFmt numFmtId="166" formatCode="#,##0.00\ [$€-1]"/>
    <numFmt numFmtId="167" formatCode="#,##0.000"/>
    <numFmt numFmtId="168" formatCode="#,##0.00\ &quot;Din.&quot;"/>
    <numFmt numFmtId="169" formatCode="#,##0.000\ [$€-1]"/>
  </numFmts>
  <fonts count="16" x14ac:knownFonts="1">
    <font>
      <sz val="11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1"/>
      <color indexed="8"/>
      <name val="Arial"/>
      <family val="2"/>
      <charset val="204"/>
    </font>
    <font>
      <b/>
      <sz val="11"/>
      <color theme="1"/>
      <name val="Arial"/>
      <family val="2"/>
      <charset val="238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i/>
      <sz val="11"/>
      <color indexed="8"/>
      <name val="Arial"/>
      <family val="2"/>
    </font>
    <font>
      <sz val="10"/>
      <color indexed="8"/>
      <name val="Arial"/>
      <family val="2"/>
      <charset val="204"/>
    </font>
    <font>
      <sz val="11"/>
      <color indexed="8"/>
      <name val="Arial"/>
      <family val="2"/>
      <charset val="204"/>
    </font>
    <font>
      <b/>
      <sz val="11"/>
      <color indexed="10"/>
      <name val="Arial"/>
      <family val="2"/>
      <charset val="204"/>
    </font>
    <font>
      <i/>
      <sz val="11"/>
      <color indexed="8"/>
      <name val="Arial"/>
      <family val="2"/>
      <charset val="204"/>
    </font>
    <font>
      <b/>
      <sz val="11"/>
      <color rgb="FFFF0000"/>
      <name val="Arial"/>
      <family val="2"/>
      <charset val="238"/>
    </font>
    <font>
      <sz val="11"/>
      <color indexed="8"/>
      <name val="Calibri"/>
      <family val="2"/>
      <charset val="204"/>
    </font>
    <font>
      <b/>
      <sz val="10"/>
      <color indexed="8"/>
      <name val="Arial"/>
      <family val="2"/>
      <charset val="204"/>
    </font>
    <font>
      <b/>
      <sz val="1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right"/>
    </xf>
    <xf numFmtId="165" fontId="0" fillId="2" borderId="0" xfId="0" applyNumberFormat="1" applyFill="1"/>
    <xf numFmtId="2" fontId="2" fillId="3" borderId="1" xfId="0" applyNumberFormat="1" applyFont="1" applyFill="1" applyBorder="1" applyAlignment="1">
      <alignment vertical="top"/>
    </xf>
    <xf numFmtId="0" fontId="2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vertical="top" wrapText="1"/>
    </xf>
    <xf numFmtId="2" fontId="2" fillId="3" borderId="2" xfId="0" applyNumberFormat="1" applyFont="1" applyFill="1" applyBorder="1" applyAlignment="1">
      <alignment vertical="top"/>
    </xf>
    <xf numFmtId="2" fontId="2" fillId="3" borderId="3" xfId="0" applyNumberFormat="1" applyFont="1" applyFill="1" applyBorder="1" applyAlignment="1">
      <alignment vertical="top"/>
    </xf>
    <xf numFmtId="2" fontId="2" fillId="3" borderId="4" xfId="0" applyNumberFormat="1" applyFont="1" applyFill="1" applyBorder="1" applyAlignment="1">
      <alignment vertical="top"/>
    </xf>
    <xf numFmtId="2" fontId="4" fillId="0" borderId="5" xfId="0" applyNumberFormat="1" applyFont="1" applyBorder="1" applyAlignment="1">
      <alignment horizontal="left"/>
    </xf>
    <xf numFmtId="2" fontId="5" fillId="0" borderId="5" xfId="0" applyNumberFormat="1" applyFont="1" applyBorder="1"/>
    <xf numFmtId="166" fontId="5" fillId="0" borderId="5" xfId="0" applyNumberFormat="1" applyFont="1" applyBorder="1" applyAlignment="1">
      <alignment horizontal="right"/>
    </xf>
    <xf numFmtId="167" fontId="6" fillId="0" borderId="5" xfId="0" applyNumberFormat="1" applyFont="1" applyBorder="1" applyAlignment="1">
      <alignment horizontal="right"/>
    </xf>
    <xf numFmtId="166" fontId="7" fillId="0" borderId="5" xfId="0" applyNumberFormat="1" applyFont="1" applyBorder="1" applyAlignment="1">
      <alignment horizontal="right"/>
    </xf>
    <xf numFmtId="168" fontId="7" fillId="0" borderId="5" xfId="0" applyNumberFormat="1" applyFont="1" applyBorder="1"/>
    <xf numFmtId="2" fontId="4" fillId="0" borderId="6" xfId="0" applyNumberFormat="1" applyFont="1" applyBorder="1"/>
    <xf numFmtId="2" fontId="5" fillId="0" borderId="6" xfId="0" applyNumberFormat="1" applyFont="1" applyBorder="1"/>
    <xf numFmtId="166" fontId="5" fillId="0" borderId="6" xfId="0" applyNumberFormat="1" applyFont="1" applyBorder="1" applyAlignment="1">
      <alignment horizontal="right"/>
    </xf>
    <xf numFmtId="167" fontId="6" fillId="0" borderId="6" xfId="0" applyNumberFormat="1" applyFont="1" applyBorder="1" applyAlignment="1">
      <alignment horizontal="right"/>
    </xf>
    <xf numFmtId="166" fontId="7" fillId="0" borderId="6" xfId="0" applyNumberFormat="1" applyFont="1" applyBorder="1" applyAlignment="1">
      <alignment horizontal="right"/>
    </xf>
    <xf numFmtId="166" fontId="5" fillId="0" borderId="6" xfId="0" applyNumberFormat="1" applyFont="1" applyBorder="1" applyAlignment="1">
      <alignment horizontal="right" vertical="top"/>
    </xf>
    <xf numFmtId="167" fontId="6" fillId="0" borderId="6" xfId="0" applyNumberFormat="1" applyFont="1" applyBorder="1" applyAlignment="1">
      <alignment horizontal="right" vertical="top"/>
    </xf>
    <xf numFmtId="169" fontId="5" fillId="0" borderId="6" xfId="0" applyNumberFormat="1" applyFont="1" applyBorder="1" applyAlignment="1">
      <alignment horizontal="right" vertical="top"/>
    </xf>
    <xf numFmtId="4" fontId="6" fillId="0" borderId="6" xfId="0" applyNumberFormat="1" applyFont="1" applyBorder="1" applyAlignment="1">
      <alignment horizontal="right" vertical="top"/>
    </xf>
    <xf numFmtId="2" fontId="8" fillId="0" borderId="6" xfId="0" applyNumberFormat="1" applyFont="1" applyBorder="1"/>
    <xf numFmtId="2" fontId="9" fillId="0" borderId="6" xfId="0" applyNumberFormat="1" applyFont="1" applyBorder="1" applyAlignment="1">
      <alignment vertical="top"/>
    </xf>
    <xf numFmtId="166" fontId="9" fillId="0" borderId="6" xfId="0" applyNumberFormat="1" applyFont="1" applyBorder="1" applyAlignment="1">
      <alignment horizontal="right" vertical="top"/>
    </xf>
    <xf numFmtId="167" fontId="10" fillId="0" borderId="6" xfId="0" applyNumberFormat="1" applyFont="1" applyBorder="1" applyAlignment="1">
      <alignment horizontal="right" vertical="top"/>
    </xf>
    <xf numFmtId="166" fontId="11" fillId="0" borderId="6" xfId="0" applyNumberFormat="1" applyFont="1" applyBorder="1" applyAlignment="1">
      <alignment horizontal="right"/>
    </xf>
    <xf numFmtId="168" fontId="11" fillId="0" borderId="6" xfId="0" applyNumberFormat="1" applyFont="1" applyBorder="1"/>
    <xf numFmtId="2" fontId="12" fillId="0" borderId="6" xfId="0" applyNumberFormat="1" applyFont="1" applyBorder="1"/>
    <xf numFmtId="167" fontId="10" fillId="0" borderId="7" xfId="0" applyNumberFormat="1" applyFont="1" applyBorder="1" applyAlignment="1">
      <alignment horizontal="right" vertical="top"/>
    </xf>
    <xf numFmtId="166" fontId="11" fillId="0" borderId="7" xfId="0" applyNumberFormat="1" applyFont="1" applyBorder="1" applyAlignment="1">
      <alignment horizontal="right"/>
    </xf>
    <xf numFmtId="168" fontId="11" fillId="0" borderId="7" xfId="0" applyNumberFormat="1" applyFont="1" applyBorder="1"/>
    <xf numFmtId="0" fontId="13" fillId="0" borderId="0" xfId="0" applyFont="1"/>
    <xf numFmtId="0" fontId="14" fillId="0" borderId="0" xfId="0" applyFont="1"/>
    <xf numFmtId="0" fontId="14" fillId="0" borderId="8" xfId="0" applyFont="1" applyBorder="1" applyAlignment="1">
      <alignment horizontal="right"/>
    </xf>
    <xf numFmtId="166" fontId="15" fillId="0" borderId="8" xfId="0" applyNumberFormat="1" applyFont="1" applyBorder="1" applyAlignment="1">
      <alignment horizontal="right"/>
    </xf>
    <xf numFmtId="168" fontId="15" fillId="0" borderId="8" xfId="0" applyNumberFormat="1" applyFont="1" applyBorder="1"/>
    <xf numFmtId="16" fontId="0" fillId="0" borderId="0" xfId="0" applyNumberFormat="1"/>
    <xf numFmtId="2" fontId="9" fillId="0" borderId="6" xfId="0" applyNumberFormat="1" applyFont="1" applyBorder="1" applyAlignment="1">
      <alignment vertical="top"/>
    </xf>
    <xf numFmtId="2" fontId="9" fillId="0" borderId="6" xfId="0" applyNumberFormat="1" applyFont="1" applyBorder="1" applyAlignment="1">
      <alignment horizontal="left" vertical="top"/>
    </xf>
    <xf numFmtId="2" fontId="5" fillId="0" borderId="9" xfId="0" applyNumberFormat="1" applyFont="1" applyBorder="1" applyAlignment="1">
      <alignment vertical="top" wrapText="1"/>
    </xf>
    <xf numFmtId="2" fontId="5" fillId="0" borderId="10" xfId="0" applyNumberFormat="1" applyFont="1" applyBorder="1" applyAlignment="1">
      <alignment vertical="top" wrapText="1"/>
    </xf>
    <xf numFmtId="2" fontId="5" fillId="0" borderId="11" xfId="0" applyNumberFormat="1" applyFont="1" applyBorder="1" applyAlignment="1">
      <alignment vertical="top" wrapText="1"/>
    </xf>
    <xf numFmtId="2" fontId="9" fillId="0" borderId="6" xfId="0" applyNumberFormat="1" applyFont="1" applyBorder="1" applyAlignment="1">
      <alignment vertical="top" wrapText="1"/>
    </xf>
    <xf numFmtId="1" fontId="0" fillId="2" borderId="0" xfId="0" applyNumberFormat="1" applyFill="1" applyAlignment="1">
      <alignment horizontal="left"/>
    </xf>
    <xf numFmtId="2" fontId="2" fillId="3" borderId="2" xfId="0" applyNumberFormat="1" applyFont="1" applyFill="1" applyBorder="1" applyAlignment="1">
      <alignment horizontal="left" vertical="top"/>
    </xf>
    <xf numFmtId="2" fontId="5" fillId="0" borderId="5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48A156E9-F484-45B3-957E-721ECBCF8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" y="26670"/>
          <a:ext cx="2916555" cy="7524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AF773BCD-C49F-445E-9314-CF637BFE1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9C795931-5704-4089-A902-E604C2840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" y="26670"/>
          <a:ext cx="2916555" cy="752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6FE97-8704-4DBD-B31E-6CBDDF87B132}">
  <dimension ref="A1:J34"/>
  <sheetViews>
    <sheetView tabSelected="1" view="pageBreakPreview" zoomScaleNormal="100" zoomScaleSheetLayoutView="100" workbookViewId="0">
      <selection activeCell="F6" sqref="F6:G6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23</v>
      </c>
      <c r="F4" s="3"/>
      <c r="I4" s="3" t="s">
        <v>3</v>
      </c>
      <c r="J4" s="6">
        <v>46174</v>
      </c>
    </row>
    <row r="5" spans="1:10" x14ac:dyDescent="0.25">
      <c r="B5" s="3"/>
      <c r="C5" s="4"/>
      <c r="F5" s="3"/>
      <c r="I5" s="3" t="s">
        <v>4</v>
      </c>
      <c r="J5" s="6">
        <v>46203</v>
      </c>
    </row>
    <row r="6" spans="1:10" x14ac:dyDescent="0.25">
      <c r="A6" s="7" t="s">
        <v>5</v>
      </c>
      <c r="B6" s="8"/>
      <c r="E6" t="s">
        <v>6</v>
      </c>
      <c r="F6" s="53">
        <v>2606013116</v>
      </c>
      <c r="G6" s="53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2</v>
      </c>
      <c r="I9" s="20">
        <f t="shared" ref="I9:I13" si="0">G9*H9</f>
        <v>110</v>
      </c>
      <c r="J9" s="21"/>
    </row>
    <row r="10" spans="1:10" ht="28.95" customHeight="1" x14ac:dyDescent="0.3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v>55</v>
      </c>
      <c r="I10" s="20">
        <f t="shared" si="0"/>
        <v>82.5</v>
      </c>
      <c r="J10" s="21"/>
    </row>
    <row r="11" spans="1:10" ht="28.95" customHeight="1" x14ac:dyDescent="0.3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1</v>
      </c>
      <c r="I11" s="20">
        <f t="shared" si="0"/>
        <v>300</v>
      </c>
      <c r="J11" s="21"/>
    </row>
    <row r="12" spans="1:10" ht="28.95" customHeight="1" x14ac:dyDescent="0.3">
      <c r="A12" s="22" t="s">
        <v>18</v>
      </c>
      <c r="B12" s="49" t="s">
        <v>29</v>
      </c>
      <c r="C12" s="50"/>
      <c r="D12" s="50"/>
      <c r="E12" s="51"/>
      <c r="F12" s="23" t="s">
        <v>17</v>
      </c>
      <c r="G12" s="24">
        <v>180</v>
      </c>
      <c r="H12" s="25">
        <v>2</v>
      </c>
      <c r="I12" s="26">
        <f t="shared" si="0"/>
        <v>360</v>
      </c>
      <c r="J12" s="21"/>
    </row>
    <row r="13" spans="1:10" ht="30" customHeight="1" x14ac:dyDescent="0.3">
      <c r="A13" s="22" t="s">
        <v>19</v>
      </c>
      <c r="B13" s="49" t="s">
        <v>30</v>
      </c>
      <c r="C13" s="50"/>
      <c r="D13" s="50"/>
      <c r="E13" s="51"/>
      <c r="F13" s="23" t="s">
        <v>31</v>
      </c>
      <c r="G13" s="24">
        <v>45</v>
      </c>
      <c r="H13" s="25">
        <v>4</v>
      </c>
      <c r="I13" s="26">
        <f t="shared" si="0"/>
        <v>180</v>
      </c>
      <c r="J13" s="21"/>
    </row>
    <row r="14" spans="1:10" ht="30" customHeight="1" x14ac:dyDescent="0.3">
      <c r="A14" s="22"/>
      <c r="B14" s="49"/>
      <c r="C14" s="50"/>
      <c r="D14" s="50"/>
      <c r="E14" s="51"/>
      <c r="F14" s="23"/>
      <c r="G14" s="27"/>
      <c r="H14" s="28"/>
      <c r="I14" s="26"/>
      <c r="J14" s="21"/>
    </row>
    <row r="15" spans="1:10" ht="30" customHeight="1" x14ac:dyDescent="0.3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3">
      <c r="A16" s="22"/>
      <c r="B16" s="49"/>
      <c r="C16" s="50"/>
      <c r="D16" s="50"/>
      <c r="E16" s="51"/>
      <c r="F16" s="23"/>
      <c r="G16" s="29"/>
      <c r="H16" s="30"/>
      <c r="I16" s="20"/>
      <c r="J16" s="21"/>
    </row>
    <row r="17" spans="1:10" ht="30" customHeight="1" x14ac:dyDescent="0.3">
      <c r="A17" s="22"/>
      <c r="B17" s="49"/>
      <c r="C17" s="50"/>
      <c r="D17" s="50"/>
      <c r="E17" s="51"/>
      <c r="F17" s="23"/>
      <c r="G17" s="27"/>
      <c r="H17" s="30"/>
      <c r="I17" s="26"/>
      <c r="J17" s="21"/>
    </row>
    <row r="18" spans="1:10" ht="30" customHeight="1" x14ac:dyDescent="0.3">
      <c r="A18" s="31"/>
      <c r="B18" s="49"/>
      <c r="C18" s="50"/>
      <c r="D18" s="50"/>
      <c r="E18" s="51"/>
      <c r="F18" s="23"/>
      <c r="G18" s="33"/>
      <c r="H18" s="30"/>
      <c r="I18" s="35"/>
      <c r="J18" s="36"/>
    </row>
    <row r="19" spans="1:10" ht="30" customHeight="1" x14ac:dyDescent="0.3">
      <c r="A19" s="37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3">
      <c r="A20" s="31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3">
      <c r="A21" s="31"/>
      <c r="B21" s="52"/>
      <c r="C21" s="52"/>
      <c r="D21" s="52"/>
      <c r="E21" s="52"/>
      <c r="F21" s="32"/>
      <c r="G21" s="33"/>
      <c r="H21" s="34"/>
      <c r="I21" s="35"/>
      <c r="J21" s="36"/>
    </row>
    <row r="22" spans="1:10" ht="30" customHeight="1" x14ac:dyDescent="0.3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3">
      <c r="A23" s="31"/>
      <c r="B23" s="47"/>
      <c r="C23" s="47"/>
      <c r="D23" s="47"/>
      <c r="E23" s="47"/>
      <c r="F23" s="32"/>
      <c r="G23" s="33"/>
      <c r="H23" s="34"/>
      <c r="I23" s="35"/>
      <c r="J23" s="36"/>
    </row>
    <row r="24" spans="1:10" ht="30" customHeight="1" x14ac:dyDescent="0.3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3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3">
      <c r="A26" s="31"/>
      <c r="B26" s="48"/>
      <c r="C26" s="48"/>
      <c r="D26" s="48"/>
      <c r="E26" s="48"/>
      <c r="F26" s="32"/>
      <c r="G26" s="33"/>
      <c r="H26" s="34"/>
      <c r="I26" s="35"/>
      <c r="J26" s="36"/>
    </row>
    <row r="27" spans="1:10" ht="30" customHeight="1" thickBot="1" x14ac:dyDescent="0.35">
      <c r="A27" s="31"/>
      <c r="B27" s="48"/>
      <c r="C27" s="48"/>
      <c r="D27" s="48"/>
      <c r="E27" s="48"/>
      <c r="F27" s="32"/>
      <c r="G27" s="33"/>
      <c r="H27" s="38"/>
      <c r="I27" s="39"/>
      <c r="J27" s="40"/>
    </row>
    <row r="28" spans="1:10" ht="15" thickBot="1" x14ac:dyDescent="0.35">
      <c r="A28" s="41"/>
      <c r="B28" s="41"/>
      <c r="C28" s="42"/>
      <c r="D28" s="42"/>
      <c r="E28" s="42"/>
      <c r="F28" s="42"/>
      <c r="G28" s="42"/>
      <c r="H28" s="43" t="s">
        <v>20</v>
      </c>
      <c r="I28" s="44">
        <f>SUM(I9:I27)</f>
        <v>1032.5</v>
      </c>
      <c r="J28" s="45">
        <f>I28*kurs</f>
        <v>0</v>
      </c>
    </row>
    <row r="33" spans="2:10" x14ac:dyDescent="0.25">
      <c r="B33" t="s">
        <v>21</v>
      </c>
      <c r="J33" s="46"/>
    </row>
    <row r="34" spans="2:10" x14ac:dyDescent="0.25">
      <c r="B34" t="s">
        <v>22</v>
      </c>
      <c r="J34" s="46"/>
    </row>
  </sheetData>
  <mergeCells count="21">
    <mergeCell ref="B25:E25"/>
    <mergeCell ref="B26:E26"/>
    <mergeCell ref="B27:E27"/>
    <mergeCell ref="B19:E19"/>
    <mergeCell ref="B20:E20"/>
    <mergeCell ref="B21:E21"/>
    <mergeCell ref="B22:E22"/>
    <mergeCell ref="B23:E23"/>
    <mergeCell ref="B24:E24"/>
    <mergeCell ref="B13:E13"/>
    <mergeCell ref="B14:E14"/>
    <mergeCell ref="B15:E15"/>
    <mergeCell ref="B16:E16"/>
    <mergeCell ref="B17:E17"/>
    <mergeCell ref="B18:E18"/>
    <mergeCell ref="F6:G6"/>
    <mergeCell ref="B8:E8"/>
    <mergeCell ref="B9:E9"/>
    <mergeCell ref="B10:E10"/>
    <mergeCell ref="B11:E11"/>
    <mergeCell ref="B12:E12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557E-4986-4AC8-B633-F88458C7C9B8}">
  <dimension ref="A1:J34"/>
  <sheetViews>
    <sheetView view="pageBreakPreview" zoomScaleNormal="100" zoomScaleSheetLayoutView="100" workbookViewId="0">
      <selection activeCell="G8" sqref="G8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23</v>
      </c>
      <c r="F4" s="3"/>
      <c r="I4" s="3" t="s">
        <v>3</v>
      </c>
      <c r="J4" s="6">
        <v>46082</v>
      </c>
    </row>
    <row r="5" spans="1:10" x14ac:dyDescent="0.25">
      <c r="B5" s="3"/>
      <c r="C5" s="4"/>
      <c r="F5" s="3"/>
      <c r="I5" s="3" t="s">
        <v>4</v>
      </c>
      <c r="J5" s="6">
        <v>46112</v>
      </c>
    </row>
    <row r="6" spans="1:10" x14ac:dyDescent="0.25">
      <c r="A6" s="7" t="s">
        <v>5</v>
      </c>
      <c r="B6" s="8"/>
      <c r="E6" t="s">
        <v>6</v>
      </c>
      <c r="F6" s="53">
        <v>2604008535</v>
      </c>
      <c r="G6" s="53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2</v>
      </c>
      <c r="I9" s="20">
        <f t="shared" ref="I9:I13" si="0">G9*H9</f>
        <v>110</v>
      </c>
      <c r="J9" s="21"/>
    </row>
    <row r="10" spans="1:10" ht="28.95" customHeight="1" x14ac:dyDescent="0.3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v>128</v>
      </c>
      <c r="I10" s="20">
        <f t="shared" si="0"/>
        <v>192</v>
      </c>
      <c r="J10" s="21"/>
    </row>
    <row r="11" spans="1:10" ht="28.95" customHeight="1" x14ac:dyDescent="0.3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1</v>
      </c>
      <c r="I11" s="20">
        <f t="shared" si="0"/>
        <v>300</v>
      </c>
      <c r="J11" s="21"/>
    </row>
    <row r="12" spans="1:10" ht="28.95" customHeight="1" x14ac:dyDescent="0.3">
      <c r="A12" s="22" t="s">
        <v>18</v>
      </c>
      <c r="B12" s="49" t="s">
        <v>29</v>
      </c>
      <c r="C12" s="50"/>
      <c r="D12" s="50"/>
      <c r="E12" s="51"/>
      <c r="F12" s="23" t="s">
        <v>17</v>
      </c>
      <c r="G12" s="24">
        <v>180</v>
      </c>
      <c r="H12" s="25">
        <v>1</v>
      </c>
      <c r="I12" s="26">
        <f t="shared" si="0"/>
        <v>180</v>
      </c>
      <c r="J12" s="21"/>
    </row>
    <row r="13" spans="1:10" ht="30" customHeight="1" x14ac:dyDescent="0.3">
      <c r="A13" s="22" t="s">
        <v>19</v>
      </c>
      <c r="B13" s="49" t="s">
        <v>30</v>
      </c>
      <c r="C13" s="50"/>
      <c r="D13" s="50"/>
      <c r="E13" s="51"/>
      <c r="F13" s="23" t="s">
        <v>31</v>
      </c>
      <c r="G13" s="24">
        <v>45</v>
      </c>
      <c r="H13" s="25">
        <v>2</v>
      </c>
      <c r="I13" s="26">
        <f t="shared" si="0"/>
        <v>90</v>
      </c>
      <c r="J13" s="21"/>
    </row>
    <row r="14" spans="1:10" ht="30" customHeight="1" x14ac:dyDescent="0.3">
      <c r="A14" s="22"/>
      <c r="B14" s="49"/>
      <c r="C14" s="50"/>
      <c r="D14" s="50"/>
      <c r="E14" s="51"/>
      <c r="F14" s="23"/>
      <c r="G14" s="27"/>
      <c r="H14" s="28"/>
      <c r="I14" s="26"/>
      <c r="J14" s="21"/>
    </row>
    <row r="15" spans="1:10" ht="30" customHeight="1" x14ac:dyDescent="0.3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3">
      <c r="A16" s="22"/>
      <c r="B16" s="49"/>
      <c r="C16" s="50"/>
      <c r="D16" s="50"/>
      <c r="E16" s="51"/>
      <c r="F16" s="23"/>
      <c r="G16" s="29"/>
      <c r="H16" s="30"/>
      <c r="I16" s="20"/>
      <c r="J16" s="21"/>
    </row>
    <row r="17" spans="1:10" ht="30" customHeight="1" x14ac:dyDescent="0.3">
      <c r="A17" s="22"/>
      <c r="B17" s="49"/>
      <c r="C17" s="50"/>
      <c r="D17" s="50"/>
      <c r="E17" s="51"/>
      <c r="F17" s="23"/>
      <c r="G17" s="27"/>
      <c r="H17" s="30"/>
      <c r="I17" s="26"/>
      <c r="J17" s="21"/>
    </row>
    <row r="18" spans="1:10" ht="30" customHeight="1" x14ac:dyDescent="0.3">
      <c r="A18" s="31"/>
      <c r="B18" s="49"/>
      <c r="C18" s="50"/>
      <c r="D18" s="50"/>
      <c r="E18" s="51"/>
      <c r="F18" s="23"/>
      <c r="G18" s="33"/>
      <c r="H18" s="30"/>
      <c r="I18" s="35"/>
      <c r="J18" s="36"/>
    </row>
    <row r="19" spans="1:10" ht="30" customHeight="1" x14ac:dyDescent="0.3">
      <c r="A19" s="37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3">
      <c r="A20" s="31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3">
      <c r="A21" s="31"/>
      <c r="B21" s="52"/>
      <c r="C21" s="52"/>
      <c r="D21" s="52"/>
      <c r="E21" s="52"/>
      <c r="F21" s="32"/>
      <c r="G21" s="33"/>
      <c r="H21" s="34"/>
      <c r="I21" s="35"/>
      <c r="J21" s="36"/>
    </row>
    <row r="22" spans="1:10" ht="30" customHeight="1" x14ac:dyDescent="0.3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3">
      <c r="A23" s="31"/>
      <c r="B23" s="47"/>
      <c r="C23" s="47"/>
      <c r="D23" s="47"/>
      <c r="E23" s="47"/>
      <c r="F23" s="32"/>
      <c r="G23" s="33"/>
      <c r="H23" s="34"/>
      <c r="I23" s="35"/>
      <c r="J23" s="36"/>
    </row>
    <row r="24" spans="1:10" ht="30" customHeight="1" x14ac:dyDescent="0.3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3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3">
      <c r="A26" s="31"/>
      <c r="B26" s="48"/>
      <c r="C26" s="48"/>
      <c r="D26" s="48"/>
      <c r="E26" s="48"/>
      <c r="F26" s="32"/>
      <c r="G26" s="33"/>
      <c r="H26" s="34"/>
      <c r="I26" s="35"/>
      <c r="J26" s="36"/>
    </row>
    <row r="27" spans="1:10" ht="30" customHeight="1" thickBot="1" x14ac:dyDescent="0.35">
      <c r="A27" s="31"/>
      <c r="B27" s="48"/>
      <c r="C27" s="48"/>
      <c r="D27" s="48"/>
      <c r="E27" s="48"/>
      <c r="F27" s="32"/>
      <c r="G27" s="33"/>
      <c r="H27" s="38"/>
      <c r="I27" s="39"/>
      <c r="J27" s="40"/>
    </row>
    <row r="28" spans="1:10" ht="15" thickBot="1" x14ac:dyDescent="0.35">
      <c r="A28" s="41"/>
      <c r="B28" s="41"/>
      <c r="C28" s="42"/>
      <c r="D28" s="42"/>
      <c r="E28" s="42"/>
      <c r="F28" s="42"/>
      <c r="G28" s="42"/>
      <c r="H28" s="43" t="s">
        <v>20</v>
      </c>
      <c r="I28" s="44">
        <f>SUM(I9:I27)</f>
        <v>872</v>
      </c>
      <c r="J28" s="45">
        <f>I28*kurs</f>
        <v>0</v>
      </c>
    </row>
    <row r="33" spans="2:10" x14ac:dyDescent="0.25">
      <c r="B33" t="s">
        <v>21</v>
      </c>
      <c r="J33" s="46"/>
    </row>
    <row r="34" spans="2:10" x14ac:dyDescent="0.25">
      <c r="B34" t="s">
        <v>22</v>
      </c>
      <c r="J34" s="46"/>
    </row>
  </sheetData>
  <mergeCells count="21"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25:E25"/>
    <mergeCell ref="B26:E26"/>
    <mergeCell ref="B27:E27"/>
    <mergeCell ref="B19:E19"/>
    <mergeCell ref="B20:E20"/>
    <mergeCell ref="B21:E21"/>
    <mergeCell ref="B22:E22"/>
    <mergeCell ref="B23:E23"/>
    <mergeCell ref="B24:E24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83305-881B-4120-8CE4-F2DEE17C04B8}">
  <dimension ref="A1:J34"/>
  <sheetViews>
    <sheetView view="pageBreakPreview" zoomScaleNormal="100" zoomScaleSheetLayoutView="100" workbookViewId="0">
      <selection activeCell="B8" sqref="B8:E8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23</v>
      </c>
      <c r="F4" s="3"/>
      <c r="I4" s="3" t="s">
        <v>3</v>
      </c>
      <c r="J4" s="6">
        <v>45684</v>
      </c>
    </row>
    <row r="5" spans="1:10" x14ac:dyDescent="0.25">
      <c r="B5" s="3"/>
      <c r="C5" s="4"/>
      <c r="F5" s="3"/>
      <c r="I5" s="3" t="s">
        <v>4</v>
      </c>
      <c r="J5" s="6">
        <v>45700</v>
      </c>
    </row>
    <row r="6" spans="1:10" x14ac:dyDescent="0.25">
      <c r="A6" s="7" t="s">
        <v>5</v>
      </c>
      <c r="B6" s="8"/>
      <c r="E6" t="s">
        <v>6</v>
      </c>
      <c r="F6" s="53">
        <v>2502003717</v>
      </c>
      <c r="G6" s="53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3</v>
      </c>
      <c r="I9" s="20">
        <f t="shared" ref="I9:I13" si="0">G9*H9</f>
        <v>165</v>
      </c>
      <c r="J9" s="21"/>
    </row>
    <row r="10" spans="1:10" ht="28.95" customHeight="1" x14ac:dyDescent="0.3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v>109</v>
      </c>
      <c r="I10" s="20">
        <f t="shared" si="0"/>
        <v>163.5</v>
      </c>
      <c r="J10" s="21"/>
    </row>
    <row r="11" spans="1:10" ht="28.95" customHeight="1" x14ac:dyDescent="0.3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3</v>
      </c>
      <c r="I11" s="20">
        <f t="shared" si="0"/>
        <v>900</v>
      </c>
      <c r="J11" s="21"/>
    </row>
    <row r="12" spans="1:10" ht="28.95" customHeight="1" x14ac:dyDescent="0.3">
      <c r="A12" s="22" t="s">
        <v>18</v>
      </c>
      <c r="B12" s="49" t="s">
        <v>29</v>
      </c>
      <c r="C12" s="50"/>
      <c r="D12" s="50"/>
      <c r="E12" s="51"/>
      <c r="F12" s="23" t="s">
        <v>17</v>
      </c>
      <c r="G12" s="24">
        <v>180</v>
      </c>
      <c r="H12" s="25">
        <v>3</v>
      </c>
      <c r="I12" s="26">
        <f t="shared" si="0"/>
        <v>540</v>
      </c>
      <c r="J12" s="21"/>
    </row>
    <row r="13" spans="1:10" ht="30" customHeight="1" x14ac:dyDescent="0.3">
      <c r="A13" s="22" t="s">
        <v>19</v>
      </c>
      <c r="B13" s="49" t="s">
        <v>30</v>
      </c>
      <c r="C13" s="50"/>
      <c r="D13" s="50"/>
      <c r="E13" s="51"/>
      <c r="F13" s="23" t="s">
        <v>31</v>
      </c>
      <c r="G13" s="24">
        <v>45</v>
      </c>
      <c r="H13" s="25">
        <v>6</v>
      </c>
      <c r="I13" s="26">
        <f t="shared" si="0"/>
        <v>270</v>
      </c>
      <c r="J13" s="21"/>
    </row>
    <row r="14" spans="1:10" ht="30" customHeight="1" x14ac:dyDescent="0.3">
      <c r="A14" s="22"/>
      <c r="B14" s="49"/>
      <c r="C14" s="50"/>
      <c r="D14" s="50"/>
      <c r="E14" s="51"/>
      <c r="F14" s="23"/>
      <c r="G14" s="27"/>
      <c r="H14" s="28"/>
      <c r="I14" s="26"/>
      <c r="J14" s="21"/>
    </row>
    <row r="15" spans="1:10" ht="30" customHeight="1" x14ac:dyDescent="0.3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3">
      <c r="A16" s="22"/>
      <c r="B16" s="49"/>
      <c r="C16" s="50"/>
      <c r="D16" s="50"/>
      <c r="E16" s="51"/>
      <c r="F16" s="23"/>
      <c r="G16" s="29"/>
      <c r="H16" s="30"/>
      <c r="I16" s="20"/>
      <c r="J16" s="21"/>
    </row>
    <row r="17" spans="1:10" ht="30" customHeight="1" x14ac:dyDescent="0.3">
      <c r="A17" s="22"/>
      <c r="B17" s="49"/>
      <c r="C17" s="50"/>
      <c r="D17" s="50"/>
      <c r="E17" s="51"/>
      <c r="F17" s="23"/>
      <c r="G17" s="27"/>
      <c r="H17" s="30"/>
      <c r="I17" s="26"/>
      <c r="J17" s="21"/>
    </row>
    <row r="18" spans="1:10" ht="30" customHeight="1" x14ac:dyDescent="0.3">
      <c r="A18" s="31"/>
      <c r="B18" s="49"/>
      <c r="C18" s="50"/>
      <c r="D18" s="50"/>
      <c r="E18" s="51"/>
      <c r="F18" s="23"/>
      <c r="G18" s="33"/>
      <c r="H18" s="30"/>
      <c r="I18" s="35"/>
      <c r="J18" s="36"/>
    </row>
    <row r="19" spans="1:10" ht="30" customHeight="1" x14ac:dyDescent="0.3">
      <c r="A19" s="37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3">
      <c r="A20" s="31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3">
      <c r="A21" s="31"/>
      <c r="B21" s="52"/>
      <c r="C21" s="52"/>
      <c r="D21" s="52"/>
      <c r="E21" s="52"/>
      <c r="F21" s="32"/>
      <c r="G21" s="33"/>
      <c r="H21" s="34"/>
      <c r="I21" s="35"/>
      <c r="J21" s="36"/>
    </row>
    <row r="22" spans="1:10" ht="30" customHeight="1" x14ac:dyDescent="0.3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3">
      <c r="A23" s="31"/>
      <c r="B23" s="47"/>
      <c r="C23" s="47"/>
      <c r="D23" s="47"/>
      <c r="E23" s="47"/>
      <c r="F23" s="32"/>
      <c r="G23" s="33"/>
      <c r="H23" s="34"/>
      <c r="I23" s="35"/>
      <c r="J23" s="36"/>
    </row>
    <row r="24" spans="1:10" ht="30" customHeight="1" x14ac:dyDescent="0.3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3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3">
      <c r="A26" s="31"/>
      <c r="B26" s="48"/>
      <c r="C26" s="48"/>
      <c r="D26" s="48"/>
      <c r="E26" s="48"/>
      <c r="F26" s="32"/>
      <c r="G26" s="33"/>
      <c r="H26" s="34"/>
      <c r="I26" s="35"/>
      <c r="J26" s="36"/>
    </row>
    <row r="27" spans="1:10" ht="30" customHeight="1" thickBot="1" x14ac:dyDescent="0.35">
      <c r="A27" s="31"/>
      <c r="B27" s="48"/>
      <c r="C27" s="48"/>
      <c r="D27" s="48"/>
      <c r="E27" s="48"/>
      <c r="F27" s="32"/>
      <c r="G27" s="33"/>
      <c r="H27" s="38"/>
      <c r="I27" s="39"/>
      <c r="J27" s="40"/>
    </row>
    <row r="28" spans="1:10" ht="15" thickBot="1" x14ac:dyDescent="0.35">
      <c r="A28" s="41"/>
      <c r="B28" s="41"/>
      <c r="C28" s="42"/>
      <c r="D28" s="42"/>
      <c r="E28" s="42"/>
      <c r="F28" s="42"/>
      <c r="G28" s="42"/>
      <c r="H28" s="43" t="s">
        <v>20</v>
      </c>
      <c r="I28" s="44">
        <f>SUM(I9:I27)</f>
        <v>2038.5</v>
      </c>
      <c r="J28" s="45">
        <f>I28*kurs</f>
        <v>0</v>
      </c>
    </row>
    <row r="33" spans="2:10" x14ac:dyDescent="0.25">
      <c r="B33" t="s">
        <v>21</v>
      </c>
      <c r="J33" s="46"/>
    </row>
    <row r="34" spans="2:10" x14ac:dyDescent="0.25">
      <c r="B34" t="s">
        <v>22</v>
      </c>
      <c r="J34" s="46"/>
    </row>
  </sheetData>
  <mergeCells count="21">
    <mergeCell ref="B19:E19"/>
    <mergeCell ref="F6:G6"/>
    <mergeCell ref="B8:E8"/>
    <mergeCell ref="B9:E9"/>
    <mergeCell ref="B11:E11"/>
    <mergeCell ref="B12:E12"/>
    <mergeCell ref="B13:E13"/>
    <mergeCell ref="B14:E14"/>
    <mergeCell ref="B15:E15"/>
    <mergeCell ref="B16:E16"/>
    <mergeCell ref="B17:E17"/>
    <mergeCell ref="B18:E18"/>
    <mergeCell ref="B10:E10"/>
    <mergeCell ref="B25:E25"/>
    <mergeCell ref="B26:E26"/>
    <mergeCell ref="B27:E27"/>
    <mergeCell ref="B20:E20"/>
    <mergeCell ref="B21:E21"/>
    <mergeCell ref="B22:E22"/>
    <mergeCell ref="B23:E23"/>
    <mergeCell ref="B24:E24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Jun 2026</vt:lpstr>
      <vt:lpstr>Mart 2025</vt:lpstr>
      <vt:lpstr>jan2025</vt:lpstr>
      <vt:lpstr>'jan2025'!kurs</vt:lpstr>
      <vt:lpstr>'Jun 2026'!kurs</vt:lpstr>
      <vt:lpstr>'Mart 2025'!kurs</vt:lpstr>
      <vt:lpstr>'jan2025'!Print_Area</vt:lpstr>
      <vt:lpstr>'Jun 2026'!Print_Area</vt:lpstr>
      <vt:lpstr>'Mart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Branimir Trickovic</dc:creator>
  <cp:lastModifiedBy>Marko Mitic</cp:lastModifiedBy>
  <cp:lastPrinted>2026-05-08T12:46:26Z</cp:lastPrinted>
  <dcterms:created xsi:type="dcterms:W3CDTF">2025-02-10T14:20:52Z</dcterms:created>
  <dcterms:modified xsi:type="dcterms:W3CDTF">2026-07-08T13:08:04Z</dcterms:modified>
</cp:coreProperties>
</file>